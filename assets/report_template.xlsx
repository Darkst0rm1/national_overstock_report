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kehe-my.sharepoint.com/personal/debby_everitt_treeoflife_com/Documents/Desktop/Deb/OVERSTOCK/Overstock National/"/>
    </mc:Choice>
  </mc:AlternateContent>
  <xr:revisionPtr revIDLastSave="0" documentId="8_{1FCB9B93-7D07-458A-9440-54D14D1FBF35}" xr6:coauthVersionLast="47" xr6:coauthVersionMax="47" xr10:uidLastSave="{00000000-0000-0000-0000-000000000000}"/>
  <bookViews>
    <workbookView xWindow="28680" yWindow="-7140" windowWidth="29040" windowHeight="15720" firstSheet="3" activeTab="3" xr2:uid="{00000000-000D-0000-FFFF-FFFF00000000}"/>
  </bookViews>
  <sheets>
    <sheet name="Allocation" sheetId="4" r:id="rId1"/>
    <sheet name="Overstock" sheetId="3" r:id="rId2"/>
    <sheet name="Price List" sheetId="1" r:id="rId3"/>
    <sheet name="Old report" sheetId="2" r:id="rId4"/>
  </sheets>
  <definedNames>
    <definedName name="_xlnm._FilterDatabase" localSheetId="3" hidden="1">'Old report'!$A$1:$M$370</definedName>
    <definedName name="_xlnm._FilterDatabase" localSheetId="1" hidden="1">Overstock!$A$1:$AE$362</definedName>
    <definedName name="_xlnm._FilterDatabase" localSheetId="2" hidden="1">'Price List'!$A$1:$K$3297</definedName>
  </definedNames>
  <calcPr calcId="191028"/>
  <pivotCaches>
    <pivotCache cacheId="66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6" i="2" l="1"/>
  <c r="E76" i="2"/>
  <c r="F76" i="2"/>
  <c r="G76" i="2"/>
  <c r="N76" i="2"/>
  <c r="A77" i="2"/>
  <c r="E77" i="2"/>
  <c r="F77" i="2"/>
  <c r="G77" i="2"/>
  <c r="N77" i="2"/>
  <c r="A78" i="2"/>
  <c r="E78" i="2"/>
  <c r="F78" i="2"/>
  <c r="G78" i="2"/>
  <c r="N78" i="2"/>
  <c r="N137" i="2"/>
  <c r="N138" i="2"/>
  <c r="N148" i="2"/>
  <c r="N120" i="2"/>
  <c r="N149" i="2"/>
  <c r="N107" i="2"/>
  <c r="N164" i="2"/>
  <c r="N165" i="2"/>
  <c r="N338" i="2"/>
  <c r="N151" i="2"/>
  <c r="N115" i="2"/>
  <c r="N296" i="2"/>
  <c r="N281" i="2"/>
  <c r="N255" i="2"/>
  <c r="N270" i="2"/>
  <c r="N271" i="2"/>
  <c r="N273" i="2"/>
  <c r="N199" i="2"/>
  <c r="N292" i="2"/>
  <c r="N204" i="2"/>
  <c r="N208" i="2"/>
  <c r="N187" i="2"/>
  <c r="N168" i="2"/>
  <c r="N118" i="2"/>
  <c r="N116" i="2"/>
  <c r="N166" i="2"/>
  <c r="N233" i="2"/>
  <c r="N251" i="2"/>
  <c r="N193" i="2"/>
  <c r="N119" i="2"/>
  <c r="N300" i="2"/>
  <c r="N139" i="2"/>
  <c r="N312" i="2"/>
  <c r="N304" i="2"/>
  <c r="N322" i="2"/>
  <c r="N194" i="2"/>
  <c r="N210" i="2"/>
  <c r="N209" i="2"/>
  <c r="N95" i="2"/>
  <c r="N96" i="2"/>
  <c r="N97" i="2"/>
  <c r="N211" i="2"/>
  <c r="N98" i="2"/>
  <c r="N140" i="2"/>
  <c r="N286" i="2"/>
  <c r="N287" i="2"/>
  <c r="N297" i="2"/>
  <c r="N293" i="2"/>
  <c r="N130" i="2"/>
  <c r="N219" i="2"/>
  <c r="N272" i="2"/>
  <c r="N205" i="2"/>
  <c r="N230" i="2"/>
  <c r="N152" i="2"/>
  <c r="N247" i="2"/>
  <c r="N90" i="2"/>
  <c r="N133" i="2"/>
  <c r="N256" i="2"/>
  <c r="N274" i="2"/>
  <c r="N275" i="2"/>
  <c r="N298" i="2"/>
  <c r="N141" i="2"/>
  <c r="O141" i="2" s="1"/>
  <c r="N79" i="2"/>
  <c r="N197" i="2"/>
  <c r="N340" i="2"/>
  <c r="N348" i="2"/>
  <c r="N352" i="2"/>
  <c r="N363" i="2"/>
  <c r="N355" i="2"/>
  <c r="N285" i="2"/>
  <c r="N282" i="2"/>
  <c r="N283" i="2"/>
  <c r="N263" i="2"/>
  <c r="N264" i="2"/>
  <c r="N234" i="2"/>
  <c r="N235" i="2"/>
  <c r="N315" i="2"/>
  <c r="N171" i="2"/>
  <c r="N353" i="2"/>
  <c r="N198" i="2"/>
  <c r="N200" i="2"/>
  <c r="N175" i="2"/>
  <c r="N153" i="2"/>
  <c r="N182" i="2"/>
  <c r="N128" i="2"/>
  <c r="N121" i="2"/>
  <c r="N129" i="2"/>
  <c r="N320" i="2"/>
  <c r="N212" i="2"/>
  <c r="N301" i="2"/>
  <c r="N242" i="2"/>
  <c r="N243" i="2"/>
  <c r="N244" i="2"/>
  <c r="N117" i="2"/>
  <c r="N188" i="2"/>
  <c r="N195" i="2"/>
  <c r="N305" i="2"/>
  <c r="N302" i="2"/>
  <c r="N284" i="2"/>
  <c r="N317" i="2"/>
  <c r="N279" i="2"/>
  <c r="N318" i="2"/>
  <c r="N265" i="2"/>
  <c r="N266" i="2"/>
  <c r="N220" i="2"/>
  <c r="N221" i="2"/>
  <c r="N213" i="2"/>
  <c r="N172" i="2"/>
  <c r="N294" i="2"/>
  <c r="N276" i="2"/>
  <c r="N196" i="2"/>
  <c r="N25" i="2"/>
  <c r="N14" i="2"/>
  <c r="N26" i="2"/>
  <c r="N27" i="2"/>
  <c r="N31" i="2"/>
  <c r="N40" i="2"/>
  <c r="N35" i="2"/>
  <c r="N13" i="2"/>
  <c r="N183" i="2"/>
  <c r="N82" i="2"/>
  <c r="N32" i="2"/>
  <c r="N62" i="2"/>
  <c r="N33" i="2"/>
  <c r="N185" i="2"/>
  <c r="N65" i="2"/>
  <c r="N66" i="2"/>
  <c r="N6" i="2"/>
  <c r="N142" i="2"/>
  <c r="N3" i="2"/>
  <c r="N143" i="2"/>
  <c r="N70" i="2"/>
  <c r="N75" i="2"/>
  <c r="N43" i="2"/>
  <c r="N44" i="2"/>
  <c r="N45" i="2"/>
  <c r="N46" i="2"/>
  <c r="N47" i="2"/>
  <c r="N48" i="2"/>
  <c r="N49" i="2"/>
  <c r="N50" i="2"/>
  <c r="N99" i="2"/>
  <c r="N100" i="2"/>
  <c r="N101" i="2"/>
  <c r="N51" i="2"/>
  <c r="N10" i="2"/>
  <c r="N361" i="2"/>
  <c r="N167" i="2"/>
  <c r="N60" i="2"/>
  <c r="N52" i="2"/>
  <c r="N15" i="2"/>
  <c r="N29" i="2"/>
  <c r="N38" i="2"/>
  <c r="N58" i="2"/>
  <c r="N63" i="2"/>
  <c r="N83" i="2"/>
  <c r="N122" i="2"/>
  <c r="N37" i="2"/>
  <c r="N81" i="2"/>
  <c r="N30" i="2"/>
  <c r="N18" i="2"/>
  <c r="N5" i="2"/>
  <c r="N34" i="2"/>
  <c r="N314" i="2"/>
  <c r="N345" i="2"/>
  <c r="N346" i="2"/>
  <c r="N350" i="2"/>
  <c r="N351" i="2"/>
  <c r="N366" i="2"/>
  <c r="N360" i="2"/>
  <c r="N367" i="2"/>
  <c r="N368" i="2"/>
  <c r="N357" i="2"/>
  <c r="N364" i="2"/>
  <c r="N356" i="2"/>
  <c r="N89" i="2"/>
  <c r="N80" i="2"/>
  <c r="N53" i="2"/>
  <c r="N106" i="2"/>
  <c r="N67" i="2"/>
  <c r="N7" i="2"/>
  <c r="N54" i="2"/>
  <c r="N125" i="2"/>
  <c r="N11" i="2"/>
  <c r="N12" i="2"/>
  <c r="N72" i="2"/>
  <c r="O72" i="2" s="1"/>
  <c r="P72" i="2" s="1"/>
  <c r="N154" i="2"/>
  <c r="O154" i="2" s="1"/>
  <c r="P154" i="2" s="1"/>
  <c r="N123" i="2"/>
  <c r="N19" i="2"/>
  <c r="N64" i="2"/>
  <c r="N110" i="2"/>
  <c r="N111" i="2"/>
  <c r="N16" i="2"/>
  <c r="N20" i="2"/>
  <c r="N349" i="2"/>
  <c r="N126" i="2"/>
  <c r="N42" i="2"/>
  <c r="N73" i="2"/>
  <c r="N173" i="2"/>
  <c r="N22" i="2"/>
  <c r="N71" i="2"/>
  <c r="N189" i="2"/>
  <c r="N9" i="2"/>
  <c r="N23" i="2"/>
  <c r="N61" i="2"/>
  <c r="N21" i="2"/>
  <c r="N39" i="2"/>
  <c r="N68" i="2"/>
  <c r="N41" i="2"/>
  <c r="N102" i="2"/>
  <c r="N87" i="2"/>
  <c r="N69" i="2"/>
  <c r="N127" i="2"/>
  <c r="N59" i="2"/>
  <c r="N74" i="2"/>
  <c r="N28" i="2"/>
  <c r="N17" i="2"/>
  <c r="N88" i="2"/>
  <c r="N103" i="2"/>
  <c r="N8" i="2"/>
  <c r="N55" i="2"/>
  <c r="N104" i="2"/>
  <c r="N214" i="2"/>
  <c r="N36" i="2"/>
  <c r="N56" i="2"/>
  <c r="N91" i="2"/>
  <c r="N92" i="2"/>
  <c r="N93" i="2"/>
  <c r="N326" i="2"/>
  <c r="N327" i="2"/>
  <c r="N57" i="2"/>
  <c r="N4" i="2"/>
  <c r="N24" i="2"/>
  <c r="N288" i="2"/>
  <c r="N124" i="2"/>
  <c r="N2" i="2"/>
  <c r="N150" i="2"/>
  <c r="N232" i="2"/>
  <c r="N261" i="2"/>
  <c r="N299" i="2"/>
  <c r="N239" i="2"/>
  <c r="N254" i="2"/>
  <c r="N169" i="2"/>
  <c r="N184" i="2"/>
  <c r="N252" i="2"/>
  <c r="N112" i="2"/>
  <c r="N206" i="2"/>
  <c r="N289" i="2"/>
  <c r="N131" i="2"/>
  <c r="N176" i="2"/>
  <c r="N94" i="2"/>
  <c r="N336" i="2"/>
  <c r="N236" i="2"/>
  <c r="N333" i="2"/>
  <c r="N335" i="2"/>
  <c r="N306" i="2"/>
  <c r="N248" i="2"/>
  <c r="N334" i="2"/>
  <c r="N170" i="2"/>
  <c r="N144" i="2"/>
  <c r="N145" i="2"/>
  <c r="N155" i="2"/>
  <c r="N309" i="2"/>
  <c r="N310" i="2"/>
  <c r="N177" i="2"/>
  <c r="N186" i="2"/>
  <c r="N323" i="2"/>
  <c r="N342" i="2"/>
  <c r="N215" i="2"/>
  <c r="N105" i="2"/>
  <c r="N319" i="2"/>
  <c r="N216" i="2"/>
  <c r="N190" i="2"/>
  <c r="N132" i="2"/>
  <c r="N277" i="2"/>
  <c r="N222" i="2"/>
  <c r="N307" i="2"/>
  <c r="N308" i="2"/>
  <c r="N330" i="2"/>
  <c r="N201" i="2"/>
  <c r="N134" i="2"/>
  <c r="N135" i="2"/>
  <c r="N228" i="2"/>
  <c r="N257" i="2"/>
  <c r="N258" i="2"/>
  <c r="N259" i="2"/>
  <c r="N260" i="2"/>
  <c r="N278" i="2"/>
  <c r="N229" i="2"/>
  <c r="N337" i="2"/>
  <c r="N325" i="2"/>
  <c r="N343" i="2"/>
  <c r="N354" i="2"/>
  <c r="N344" i="2"/>
  <c r="N369" i="2"/>
  <c r="N358" i="2"/>
  <c r="N359" i="2"/>
  <c r="N365" i="2"/>
  <c r="N225" i="2"/>
  <c r="N108" i="2"/>
  <c r="N109" i="2"/>
  <c r="N341" i="2"/>
  <c r="N237" i="2"/>
  <c r="N238" i="2"/>
  <c r="N156" i="2"/>
  <c r="O156" i="2" s="1"/>
  <c r="P156" i="2" s="1"/>
  <c r="N146" i="2"/>
  <c r="N147" i="2"/>
  <c r="N226" i="2"/>
  <c r="N316" i="2"/>
  <c r="N267" i="2"/>
  <c r="N113" i="2"/>
  <c r="N268" i="2"/>
  <c r="N362" i="2"/>
  <c r="N370" i="2"/>
  <c r="N157" i="2"/>
  <c r="N303" i="2"/>
  <c r="N191" i="2"/>
  <c r="N174" i="2"/>
  <c r="N347" i="2"/>
  <c r="N192" i="2"/>
  <c r="N114" i="2"/>
  <c r="N178" i="2"/>
  <c r="N217" i="2"/>
  <c r="N227" i="2"/>
  <c r="N202" i="2"/>
  <c r="N158" i="2"/>
  <c r="N159" i="2"/>
  <c r="N160" i="2"/>
  <c r="N161" i="2"/>
  <c r="N162" i="2"/>
  <c r="N179" i="2"/>
  <c r="N207" i="2"/>
  <c r="N249" i="2"/>
  <c r="N280" i="2"/>
  <c r="N180" i="2"/>
  <c r="N231" i="2"/>
  <c r="N181" i="2"/>
  <c r="N313" i="2"/>
  <c r="N163" i="2"/>
  <c r="N223" i="2"/>
  <c r="N224" i="2"/>
  <c r="N245" i="2"/>
  <c r="N218" i="2"/>
  <c r="N290" i="2"/>
  <c r="N328" i="2"/>
  <c r="N329" i="2"/>
  <c r="N85" i="2"/>
  <c r="N203" i="2"/>
  <c r="N86" i="2"/>
  <c r="N339" i="2"/>
  <c r="N269" i="2"/>
  <c r="N84" i="2"/>
  <c r="N253" i="2"/>
  <c r="N240" i="2"/>
  <c r="N241" i="2"/>
  <c r="N262" i="2"/>
  <c r="N246" i="2"/>
  <c r="N250" i="2"/>
  <c r="N324" i="2"/>
  <c r="N321" i="2"/>
  <c r="N291" i="2"/>
  <c r="N331" i="2"/>
  <c r="N311" i="2"/>
  <c r="N332" i="2"/>
  <c r="N295" i="2"/>
  <c r="N136" i="2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5" i="4"/>
  <c r="G137" i="2"/>
  <c r="G138" i="2"/>
  <c r="G148" i="2"/>
  <c r="G120" i="2"/>
  <c r="G149" i="2"/>
  <c r="G107" i="2"/>
  <c r="G164" i="2"/>
  <c r="G165" i="2"/>
  <c r="G338" i="2"/>
  <c r="G151" i="2"/>
  <c r="G115" i="2"/>
  <c r="G296" i="2"/>
  <c r="G281" i="2"/>
  <c r="G255" i="2"/>
  <c r="G270" i="2"/>
  <c r="G271" i="2"/>
  <c r="G273" i="2"/>
  <c r="G199" i="2"/>
  <c r="G292" i="2"/>
  <c r="G204" i="2"/>
  <c r="G208" i="2"/>
  <c r="G187" i="2"/>
  <c r="G168" i="2"/>
  <c r="G118" i="2"/>
  <c r="G116" i="2"/>
  <c r="G166" i="2"/>
  <c r="G233" i="2"/>
  <c r="G251" i="2"/>
  <c r="G193" i="2"/>
  <c r="G119" i="2"/>
  <c r="G300" i="2"/>
  <c r="G139" i="2"/>
  <c r="G312" i="2"/>
  <c r="G304" i="2"/>
  <c r="G322" i="2"/>
  <c r="G194" i="2"/>
  <c r="G210" i="2"/>
  <c r="G209" i="2"/>
  <c r="G95" i="2"/>
  <c r="G96" i="2"/>
  <c r="G97" i="2"/>
  <c r="G211" i="2"/>
  <c r="G98" i="2"/>
  <c r="G140" i="2"/>
  <c r="G286" i="2"/>
  <c r="G287" i="2"/>
  <c r="G297" i="2"/>
  <c r="G293" i="2"/>
  <c r="G130" i="2"/>
  <c r="G219" i="2"/>
  <c r="G272" i="2"/>
  <c r="G205" i="2"/>
  <c r="G230" i="2"/>
  <c r="G152" i="2"/>
  <c r="G247" i="2"/>
  <c r="G90" i="2"/>
  <c r="G133" i="2"/>
  <c r="G256" i="2"/>
  <c r="G274" i="2"/>
  <c r="G275" i="2"/>
  <c r="G298" i="2"/>
  <c r="G141" i="2"/>
  <c r="G79" i="2"/>
  <c r="G197" i="2"/>
  <c r="G340" i="2"/>
  <c r="G348" i="2"/>
  <c r="G352" i="2"/>
  <c r="G363" i="2"/>
  <c r="G355" i="2"/>
  <c r="G285" i="2"/>
  <c r="G282" i="2"/>
  <c r="G283" i="2"/>
  <c r="G263" i="2"/>
  <c r="G264" i="2"/>
  <c r="G234" i="2"/>
  <c r="G235" i="2"/>
  <c r="G315" i="2"/>
  <c r="G171" i="2"/>
  <c r="G353" i="2"/>
  <c r="G198" i="2"/>
  <c r="G200" i="2"/>
  <c r="G175" i="2"/>
  <c r="G153" i="2"/>
  <c r="G182" i="2"/>
  <c r="G128" i="2"/>
  <c r="G121" i="2"/>
  <c r="G129" i="2"/>
  <c r="G320" i="2"/>
  <c r="G212" i="2"/>
  <c r="G301" i="2"/>
  <c r="G242" i="2"/>
  <c r="G243" i="2"/>
  <c r="G244" i="2"/>
  <c r="G117" i="2"/>
  <c r="G188" i="2"/>
  <c r="G195" i="2"/>
  <c r="G305" i="2"/>
  <c r="G302" i="2"/>
  <c r="G284" i="2"/>
  <c r="G317" i="2"/>
  <c r="G279" i="2"/>
  <c r="G318" i="2"/>
  <c r="G265" i="2"/>
  <c r="G266" i="2"/>
  <c r="G220" i="2"/>
  <c r="G221" i="2"/>
  <c r="G213" i="2"/>
  <c r="G172" i="2"/>
  <c r="G294" i="2"/>
  <c r="G276" i="2"/>
  <c r="G196" i="2"/>
  <c r="G25" i="2"/>
  <c r="G14" i="2"/>
  <c r="G26" i="2"/>
  <c r="G27" i="2"/>
  <c r="G31" i="2"/>
  <c r="G40" i="2"/>
  <c r="G35" i="2"/>
  <c r="G13" i="2"/>
  <c r="G183" i="2"/>
  <c r="G82" i="2"/>
  <c r="G32" i="2"/>
  <c r="G62" i="2"/>
  <c r="G33" i="2"/>
  <c r="G185" i="2"/>
  <c r="G65" i="2"/>
  <c r="G66" i="2"/>
  <c r="G6" i="2"/>
  <c r="G142" i="2"/>
  <c r="G3" i="2"/>
  <c r="G143" i="2"/>
  <c r="G70" i="2"/>
  <c r="G75" i="2"/>
  <c r="G43" i="2"/>
  <c r="G44" i="2"/>
  <c r="G45" i="2"/>
  <c r="G46" i="2"/>
  <c r="G47" i="2"/>
  <c r="G48" i="2"/>
  <c r="G49" i="2"/>
  <c r="G50" i="2"/>
  <c r="G99" i="2"/>
  <c r="G100" i="2"/>
  <c r="G101" i="2"/>
  <c r="G51" i="2"/>
  <c r="G10" i="2"/>
  <c r="G361" i="2"/>
  <c r="G167" i="2"/>
  <c r="G60" i="2"/>
  <c r="G52" i="2"/>
  <c r="G15" i="2"/>
  <c r="G29" i="2"/>
  <c r="G38" i="2"/>
  <c r="G58" i="2"/>
  <c r="G63" i="2"/>
  <c r="G83" i="2"/>
  <c r="G122" i="2"/>
  <c r="G37" i="2"/>
  <c r="G81" i="2"/>
  <c r="G30" i="2"/>
  <c r="G18" i="2"/>
  <c r="G5" i="2"/>
  <c r="G34" i="2"/>
  <c r="G314" i="2"/>
  <c r="G345" i="2"/>
  <c r="G346" i="2"/>
  <c r="G350" i="2"/>
  <c r="G351" i="2"/>
  <c r="G366" i="2"/>
  <c r="G360" i="2"/>
  <c r="G367" i="2"/>
  <c r="G368" i="2"/>
  <c r="G357" i="2"/>
  <c r="G364" i="2"/>
  <c r="G356" i="2"/>
  <c r="G89" i="2"/>
  <c r="G80" i="2"/>
  <c r="G53" i="2"/>
  <c r="G106" i="2"/>
  <c r="G67" i="2"/>
  <c r="G7" i="2"/>
  <c r="G54" i="2"/>
  <c r="G125" i="2"/>
  <c r="G11" i="2"/>
  <c r="G12" i="2"/>
  <c r="G72" i="2"/>
  <c r="G154" i="2"/>
  <c r="G123" i="2"/>
  <c r="G19" i="2"/>
  <c r="G64" i="2"/>
  <c r="G110" i="2"/>
  <c r="G111" i="2"/>
  <c r="G16" i="2"/>
  <c r="G20" i="2"/>
  <c r="G349" i="2"/>
  <c r="G126" i="2"/>
  <c r="G42" i="2"/>
  <c r="G73" i="2"/>
  <c r="G173" i="2"/>
  <c r="G22" i="2"/>
  <c r="G71" i="2"/>
  <c r="G189" i="2"/>
  <c r="G9" i="2"/>
  <c r="G23" i="2"/>
  <c r="G61" i="2"/>
  <c r="G21" i="2"/>
  <c r="G39" i="2"/>
  <c r="G68" i="2"/>
  <c r="G41" i="2"/>
  <c r="G102" i="2"/>
  <c r="G87" i="2"/>
  <c r="G69" i="2"/>
  <c r="G127" i="2"/>
  <c r="G59" i="2"/>
  <c r="G74" i="2"/>
  <c r="G28" i="2"/>
  <c r="G17" i="2"/>
  <c r="G88" i="2"/>
  <c r="G103" i="2"/>
  <c r="G8" i="2"/>
  <c r="G55" i="2"/>
  <c r="G104" i="2"/>
  <c r="G214" i="2"/>
  <c r="G36" i="2"/>
  <c r="G56" i="2"/>
  <c r="G91" i="2"/>
  <c r="G92" i="2"/>
  <c r="G93" i="2"/>
  <c r="G326" i="2"/>
  <c r="G327" i="2"/>
  <c r="G57" i="2"/>
  <c r="G4" i="2"/>
  <c r="G24" i="2"/>
  <c r="G288" i="2"/>
  <c r="G124" i="2"/>
  <c r="G2" i="2"/>
  <c r="G150" i="2"/>
  <c r="G232" i="2"/>
  <c r="G261" i="2"/>
  <c r="G299" i="2"/>
  <c r="G239" i="2"/>
  <c r="G254" i="2"/>
  <c r="G169" i="2"/>
  <c r="G184" i="2"/>
  <c r="G252" i="2"/>
  <c r="G112" i="2"/>
  <c r="G206" i="2"/>
  <c r="G289" i="2"/>
  <c r="G131" i="2"/>
  <c r="G176" i="2"/>
  <c r="G94" i="2"/>
  <c r="G336" i="2"/>
  <c r="G236" i="2"/>
  <c r="G333" i="2"/>
  <c r="G335" i="2"/>
  <c r="G306" i="2"/>
  <c r="G248" i="2"/>
  <c r="G334" i="2"/>
  <c r="G170" i="2"/>
  <c r="G144" i="2"/>
  <c r="G145" i="2"/>
  <c r="G155" i="2"/>
  <c r="G309" i="2"/>
  <c r="G310" i="2"/>
  <c r="G177" i="2"/>
  <c r="G186" i="2"/>
  <c r="G323" i="2"/>
  <c r="G342" i="2"/>
  <c r="G215" i="2"/>
  <c r="G105" i="2"/>
  <c r="G319" i="2"/>
  <c r="G216" i="2"/>
  <c r="G190" i="2"/>
  <c r="G132" i="2"/>
  <c r="G277" i="2"/>
  <c r="G222" i="2"/>
  <c r="G307" i="2"/>
  <c r="G308" i="2"/>
  <c r="G330" i="2"/>
  <c r="G201" i="2"/>
  <c r="G134" i="2"/>
  <c r="G135" i="2"/>
  <c r="G228" i="2"/>
  <c r="G257" i="2"/>
  <c r="G258" i="2"/>
  <c r="G259" i="2"/>
  <c r="G260" i="2"/>
  <c r="G278" i="2"/>
  <c r="G229" i="2"/>
  <c r="G337" i="2"/>
  <c r="G325" i="2"/>
  <c r="G343" i="2"/>
  <c r="G354" i="2"/>
  <c r="G344" i="2"/>
  <c r="G369" i="2"/>
  <c r="G358" i="2"/>
  <c r="G359" i="2"/>
  <c r="G365" i="2"/>
  <c r="G225" i="2"/>
  <c r="G108" i="2"/>
  <c r="G109" i="2"/>
  <c r="G341" i="2"/>
  <c r="G237" i="2"/>
  <c r="G238" i="2"/>
  <c r="G156" i="2"/>
  <c r="G146" i="2"/>
  <c r="G147" i="2"/>
  <c r="G226" i="2"/>
  <c r="G316" i="2"/>
  <c r="G267" i="2"/>
  <c r="G113" i="2"/>
  <c r="G268" i="2"/>
  <c r="G362" i="2"/>
  <c r="G370" i="2"/>
  <c r="G157" i="2"/>
  <c r="G303" i="2"/>
  <c r="G191" i="2"/>
  <c r="G174" i="2"/>
  <c r="G347" i="2"/>
  <c r="G192" i="2"/>
  <c r="G114" i="2"/>
  <c r="G178" i="2"/>
  <c r="G217" i="2"/>
  <c r="G227" i="2"/>
  <c r="G202" i="2"/>
  <c r="G158" i="2"/>
  <c r="G159" i="2"/>
  <c r="G160" i="2"/>
  <c r="G161" i="2"/>
  <c r="G162" i="2"/>
  <c r="G179" i="2"/>
  <c r="G207" i="2"/>
  <c r="G249" i="2"/>
  <c r="G280" i="2"/>
  <c r="G180" i="2"/>
  <c r="G231" i="2"/>
  <c r="G181" i="2"/>
  <c r="G313" i="2"/>
  <c r="G163" i="2"/>
  <c r="G223" i="2"/>
  <c r="G224" i="2"/>
  <c r="G245" i="2"/>
  <c r="G218" i="2"/>
  <c r="G290" i="2"/>
  <c r="G328" i="2"/>
  <c r="G329" i="2"/>
  <c r="G85" i="2"/>
  <c r="G203" i="2"/>
  <c r="G86" i="2"/>
  <c r="G339" i="2"/>
  <c r="G269" i="2"/>
  <c r="G84" i="2"/>
  <c r="G253" i="2"/>
  <c r="G240" i="2"/>
  <c r="G241" i="2"/>
  <c r="G262" i="2"/>
  <c r="G246" i="2"/>
  <c r="G250" i="2"/>
  <c r="G324" i="2"/>
  <c r="G321" i="2"/>
  <c r="G291" i="2"/>
  <c r="G331" i="2"/>
  <c r="G311" i="2"/>
  <c r="G332" i="2"/>
  <c r="G295" i="2"/>
  <c r="G136" i="2"/>
  <c r="F137" i="2"/>
  <c r="F138" i="2"/>
  <c r="F148" i="2"/>
  <c r="F120" i="2"/>
  <c r="F149" i="2"/>
  <c r="F107" i="2"/>
  <c r="F164" i="2"/>
  <c r="F165" i="2"/>
  <c r="F338" i="2"/>
  <c r="F151" i="2"/>
  <c r="F115" i="2"/>
  <c r="F296" i="2"/>
  <c r="F281" i="2"/>
  <c r="F255" i="2"/>
  <c r="F270" i="2"/>
  <c r="F271" i="2"/>
  <c r="F273" i="2"/>
  <c r="F199" i="2"/>
  <c r="F292" i="2"/>
  <c r="F204" i="2"/>
  <c r="F208" i="2"/>
  <c r="F187" i="2"/>
  <c r="F168" i="2"/>
  <c r="F118" i="2"/>
  <c r="F116" i="2"/>
  <c r="F166" i="2"/>
  <c r="F233" i="2"/>
  <c r="F251" i="2"/>
  <c r="F193" i="2"/>
  <c r="F119" i="2"/>
  <c r="F300" i="2"/>
  <c r="F139" i="2"/>
  <c r="F312" i="2"/>
  <c r="F304" i="2"/>
  <c r="F322" i="2"/>
  <c r="F194" i="2"/>
  <c r="F210" i="2"/>
  <c r="F209" i="2"/>
  <c r="F95" i="2"/>
  <c r="F96" i="2"/>
  <c r="F97" i="2"/>
  <c r="F211" i="2"/>
  <c r="F98" i="2"/>
  <c r="F140" i="2"/>
  <c r="F286" i="2"/>
  <c r="F287" i="2"/>
  <c r="F297" i="2"/>
  <c r="F293" i="2"/>
  <c r="F130" i="2"/>
  <c r="F219" i="2"/>
  <c r="F272" i="2"/>
  <c r="F205" i="2"/>
  <c r="F230" i="2"/>
  <c r="F152" i="2"/>
  <c r="F247" i="2"/>
  <c r="F90" i="2"/>
  <c r="F133" i="2"/>
  <c r="F256" i="2"/>
  <c r="F274" i="2"/>
  <c r="F275" i="2"/>
  <c r="F298" i="2"/>
  <c r="F141" i="2"/>
  <c r="F79" i="2"/>
  <c r="F197" i="2"/>
  <c r="F340" i="2"/>
  <c r="F348" i="2"/>
  <c r="F352" i="2"/>
  <c r="F363" i="2"/>
  <c r="F355" i="2"/>
  <c r="F285" i="2"/>
  <c r="F282" i="2"/>
  <c r="F283" i="2"/>
  <c r="F263" i="2"/>
  <c r="F264" i="2"/>
  <c r="F234" i="2"/>
  <c r="F235" i="2"/>
  <c r="F315" i="2"/>
  <c r="F171" i="2"/>
  <c r="F353" i="2"/>
  <c r="F198" i="2"/>
  <c r="F200" i="2"/>
  <c r="F175" i="2"/>
  <c r="F153" i="2"/>
  <c r="F182" i="2"/>
  <c r="F128" i="2"/>
  <c r="F121" i="2"/>
  <c r="F129" i="2"/>
  <c r="F320" i="2"/>
  <c r="F212" i="2"/>
  <c r="F301" i="2"/>
  <c r="F242" i="2"/>
  <c r="F243" i="2"/>
  <c r="F244" i="2"/>
  <c r="F117" i="2"/>
  <c r="F188" i="2"/>
  <c r="F195" i="2"/>
  <c r="F305" i="2"/>
  <c r="F302" i="2"/>
  <c r="F284" i="2"/>
  <c r="F317" i="2"/>
  <c r="F279" i="2"/>
  <c r="F318" i="2"/>
  <c r="F265" i="2"/>
  <c r="F266" i="2"/>
  <c r="F220" i="2"/>
  <c r="F221" i="2"/>
  <c r="F213" i="2"/>
  <c r="F172" i="2"/>
  <c r="F294" i="2"/>
  <c r="F276" i="2"/>
  <c r="F196" i="2"/>
  <c r="F25" i="2"/>
  <c r="F14" i="2"/>
  <c r="F26" i="2"/>
  <c r="F27" i="2"/>
  <c r="F31" i="2"/>
  <c r="F40" i="2"/>
  <c r="F35" i="2"/>
  <c r="F13" i="2"/>
  <c r="F183" i="2"/>
  <c r="F82" i="2"/>
  <c r="F32" i="2"/>
  <c r="F62" i="2"/>
  <c r="F33" i="2"/>
  <c r="F185" i="2"/>
  <c r="F65" i="2"/>
  <c r="F66" i="2"/>
  <c r="F6" i="2"/>
  <c r="F142" i="2"/>
  <c r="F3" i="2"/>
  <c r="F143" i="2"/>
  <c r="F70" i="2"/>
  <c r="F75" i="2"/>
  <c r="F43" i="2"/>
  <c r="F44" i="2"/>
  <c r="F45" i="2"/>
  <c r="F46" i="2"/>
  <c r="F47" i="2"/>
  <c r="F48" i="2"/>
  <c r="F49" i="2"/>
  <c r="F50" i="2"/>
  <c r="F99" i="2"/>
  <c r="F100" i="2"/>
  <c r="F101" i="2"/>
  <c r="F51" i="2"/>
  <c r="F10" i="2"/>
  <c r="F361" i="2"/>
  <c r="F167" i="2"/>
  <c r="F60" i="2"/>
  <c r="F52" i="2"/>
  <c r="F15" i="2"/>
  <c r="F29" i="2"/>
  <c r="F38" i="2"/>
  <c r="F58" i="2"/>
  <c r="F63" i="2"/>
  <c r="F83" i="2"/>
  <c r="F122" i="2"/>
  <c r="F37" i="2"/>
  <c r="F81" i="2"/>
  <c r="F30" i="2"/>
  <c r="F18" i="2"/>
  <c r="F5" i="2"/>
  <c r="F34" i="2"/>
  <c r="F314" i="2"/>
  <c r="F345" i="2"/>
  <c r="F346" i="2"/>
  <c r="F350" i="2"/>
  <c r="F351" i="2"/>
  <c r="F366" i="2"/>
  <c r="F360" i="2"/>
  <c r="F367" i="2"/>
  <c r="F368" i="2"/>
  <c r="F357" i="2"/>
  <c r="F364" i="2"/>
  <c r="F356" i="2"/>
  <c r="F89" i="2"/>
  <c r="F80" i="2"/>
  <c r="F53" i="2"/>
  <c r="F106" i="2"/>
  <c r="F67" i="2"/>
  <c r="F7" i="2"/>
  <c r="F54" i="2"/>
  <c r="F125" i="2"/>
  <c r="F11" i="2"/>
  <c r="F12" i="2"/>
  <c r="F72" i="2"/>
  <c r="F154" i="2"/>
  <c r="F123" i="2"/>
  <c r="F19" i="2"/>
  <c r="F64" i="2"/>
  <c r="F110" i="2"/>
  <c r="F111" i="2"/>
  <c r="F16" i="2"/>
  <c r="F20" i="2"/>
  <c r="F349" i="2"/>
  <c r="F126" i="2"/>
  <c r="F42" i="2"/>
  <c r="F73" i="2"/>
  <c r="F173" i="2"/>
  <c r="F22" i="2"/>
  <c r="F71" i="2"/>
  <c r="F189" i="2"/>
  <c r="F9" i="2"/>
  <c r="F23" i="2"/>
  <c r="F61" i="2"/>
  <c r="F21" i="2"/>
  <c r="F39" i="2"/>
  <c r="F68" i="2"/>
  <c r="F41" i="2"/>
  <c r="F102" i="2"/>
  <c r="F87" i="2"/>
  <c r="F69" i="2"/>
  <c r="F127" i="2"/>
  <c r="F59" i="2"/>
  <c r="F74" i="2"/>
  <c r="F28" i="2"/>
  <c r="F17" i="2"/>
  <c r="F88" i="2"/>
  <c r="F103" i="2"/>
  <c r="F8" i="2"/>
  <c r="F55" i="2"/>
  <c r="F104" i="2"/>
  <c r="F214" i="2"/>
  <c r="F36" i="2"/>
  <c r="F56" i="2"/>
  <c r="F91" i="2"/>
  <c r="F92" i="2"/>
  <c r="F93" i="2"/>
  <c r="F326" i="2"/>
  <c r="F327" i="2"/>
  <c r="F57" i="2"/>
  <c r="F4" i="2"/>
  <c r="F24" i="2"/>
  <c r="F288" i="2"/>
  <c r="F124" i="2"/>
  <c r="F2" i="2"/>
  <c r="F150" i="2"/>
  <c r="F232" i="2"/>
  <c r="F261" i="2"/>
  <c r="F299" i="2"/>
  <c r="F239" i="2"/>
  <c r="F254" i="2"/>
  <c r="F169" i="2"/>
  <c r="F184" i="2"/>
  <c r="F252" i="2"/>
  <c r="F112" i="2"/>
  <c r="F206" i="2"/>
  <c r="F289" i="2"/>
  <c r="F131" i="2"/>
  <c r="F176" i="2"/>
  <c r="F94" i="2"/>
  <c r="F336" i="2"/>
  <c r="F236" i="2"/>
  <c r="F333" i="2"/>
  <c r="F335" i="2"/>
  <c r="F306" i="2"/>
  <c r="F248" i="2"/>
  <c r="F334" i="2"/>
  <c r="F170" i="2"/>
  <c r="F144" i="2"/>
  <c r="F145" i="2"/>
  <c r="F155" i="2"/>
  <c r="F309" i="2"/>
  <c r="F310" i="2"/>
  <c r="F177" i="2"/>
  <c r="F186" i="2"/>
  <c r="F323" i="2"/>
  <c r="F342" i="2"/>
  <c r="F215" i="2"/>
  <c r="F105" i="2"/>
  <c r="F319" i="2"/>
  <c r="F216" i="2"/>
  <c r="F190" i="2"/>
  <c r="F132" i="2"/>
  <c r="F277" i="2"/>
  <c r="F222" i="2"/>
  <c r="F307" i="2"/>
  <c r="F308" i="2"/>
  <c r="F330" i="2"/>
  <c r="F201" i="2"/>
  <c r="F134" i="2"/>
  <c r="F135" i="2"/>
  <c r="F228" i="2"/>
  <c r="F257" i="2"/>
  <c r="F258" i="2"/>
  <c r="F259" i="2"/>
  <c r="F260" i="2"/>
  <c r="F278" i="2"/>
  <c r="F229" i="2"/>
  <c r="F337" i="2"/>
  <c r="F325" i="2"/>
  <c r="F343" i="2"/>
  <c r="F354" i="2"/>
  <c r="F344" i="2"/>
  <c r="F369" i="2"/>
  <c r="F358" i="2"/>
  <c r="F359" i="2"/>
  <c r="F365" i="2"/>
  <c r="F225" i="2"/>
  <c r="F108" i="2"/>
  <c r="F109" i="2"/>
  <c r="F341" i="2"/>
  <c r="F237" i="2"/>
  <c r="F238" i="2"/>
  <c r="F156" i="2"/>
  <c r="F146" i="2"/>
  <c r="F147" i="2"/>
  <c r="F226" i="2"/>
  <c r="F316" i="2"/>
  <c r="F267" i="2"/>
  <c r="F113" i="2"/>
  <c r="F268" i="2"/>
  <c r="F362" i="2"/>
  <c r="F370" i="2"/>
  <c r="F157" i="2"/>
  <c r="F303" i="2"/>
  <c r="F191" i="2"/>
  <c r="F174" i="2"/>
  <c r="F347" i="2"/>
  <c r="F192" i="2"/>
  <c r="F114" i="2"/>
  <c r="F178" i="2"/>
  <c r="F217" i="2"/>
  <c r="F227" i="2"/>
  <c r="F202" i="2"/>
  <c r="F158" i="2"/>
  <c r="F159" i="2"/>
  <c r="F160" i="2"/>
  <c r="F161" i="2"/>
  <c r="F162" i="2"/>
  <c r="F179" i="2"/>
  <c r="F207" i="2"/>
  <c r="F249" i="2"/>
  <c r="F280" i="2"/>
  <c r="F180" i="2"/>
  <c r="F231" i="2"/>
  <c r="F181" i="2"/>
  <c r="F313" i="2"/>
  <c r="F163" i="2"/>
  <c r="F223" i="2"/>
  <c r="F224" i="2"/>
  <c r="F245" i="2"/>
  <c r="F218" i="2"/>
  <c r="F290" i="2"/>
  <c r="F328" i="2"/>
  <c r="F329" i="2"/>
  <c r="F85" i="2"/>
  <c r="F203" i="2"/>
  <c r="F86" i="2"/>
  <c r="F339" i="2"/>
  <c r="F269" i="2"/>
  <c r="F84" i="2"/>
  <c r="F253" i="2"/>
  <c r="F240" i="2"/>
  <c r="F241" i="2"/>
  <c r="F262" i="2"/>
  <c r="F246" i="2"/>
  <c r="F250" i="2"/>
  <c r="F324" i="2"/>
  <c r="F321" i="2"/>
  <c r="F291" i="2"/>
  <c r="F331" i="2"/>
  <c r="F311" i="2"/>
  <c r="F332" i="2"/>
  <c r="F295" i="2"/>
  <c r="F136" i="2"/>
  <c r="E137" i="2"/>
  <c r="E138" i="2"/>
  <c r="E120" i="2"/>
  <c r="E338" i="2"/>
  <c r="E151" i="2"/>
  <c r="E115" i="2"/>
  <c r="E296" i="2"/>
  <c r="E281" i="2"/>
  <c r="E255" i="2"/>
  <c r="E270" i="2"/>
  <c r="E271" i="2"/>
  <c r="E273" i="2"/>
  <c r="E199" i="2"/>
  <c r="E292" i="2"/>
  <c r="E204" i="2"/>
  <c r="E208" i="2"/>
  <c r="E187" i="2"/>
  <c r="E168" i="2"/>
  <c r="E118" i="2"/>
  <c r="E116" i="2"/>
  <c r="E166" i="2"/>
  <c r="E233" i="2"/>
  <c r="E251" i="2"/>
  <c r="E193" i="2"/>
  <c r="E119" i="2"/>
  <c r="E300" i="2"/>
  <c r="E312" i="2"/>
  <c r="E304" i="2"/>
  <c r="E322" i="2"/>
  <c r="E95" i="2"/>
  <c r="E96" i="2"/>
  <c r="E97" i="2"/>
  <c r="E211" i="2"/>
  <c r="E98" i="2"/>
  <c r="E140" i="2"/>
  <c r="E286" i="2"/>
  <c r="E287" i="2"/>
  <c r="E297" i="2"/>
  <c r="E293" i="2"/>
  <c r="E130" i="2"/>
  <c r="E219" i="2"/>
  <c r="E272" i="2"/>
  <c r="E205" i="2"/>
  <c r="E230" i="2"/>
  <c r="E152" i="2"/>
  <c r="E247" i="2"/>
  <c r="E90" i="2"/>
  <c r="E133" i="2"/>
  <c r="E256" i="2"/>
  <c r="E274" i="2"/>
  <c r="E275" i="2"/>
  <c r="E298" i="2"/>
  <c r="E141" i="2"/>
  <c r="E79" i="2"/>
  <c r="E197" i="2"/>
  <c r="E340" i="2"/>
  <c r="E348" i="2"/>
  <c r="E352" i="2"/>
  <c r="E363" i="2"/>
  <c r="E355" i="2"/>
  <c r="E285" i="2"/>
  <c r="E282" i="2"/>
  <c r="E283" i="2"/>
  <c r="E263" i="2"/>
  <c r="E264" i="2"/>
  <c r="E234" i="2"/>
  <c r="E235" i="2"/>
  <c r="E315" i="2"/>
  <c r="E171" i="2"/>
  <c r="E353" i="2"/>
  <c r="E198" i="2"/>
  <c r="E200" i="2"/>
  <c r="E175" i="2"/>
  <c r="E153" i="2"/>
  <c r="E182" i="2"/>
  <c r="E128" i="2"/>
  <c r="E121" i="2"/>
  <c r="E129" i="2"/>
  <c r="E320" i="2"/>
  <c r="E212" i="2"/>
  <c r="E301" i="2"/>
  <c r="E242" i="2"/>
  <c r="E243" i="2"/>
  <c r="E244" i="2"/>
  <c r="E188" i="2"/>
  <c r="E195" i="2"/>
  <c r="E305" i="2"/>
  <c r="E302" i="2"/>
  <c r="E284" i="2"/>
  <c r="E317" i="2"/>
  <c r="E279" i="2"/>
  <c r="E318" i="2"/>
  <c r="E265" i="2"/>
  <c r="E266" i="2"/>
  <c r="E220" i="2"/>
  <c r="E221" i="2"/>
  <c r="E213" i="2"/>
  <c r="E172" i="2"/>
  <c r="E294" i="2"/>
  <c r="E276" i="2"/>
  <c r="E196" i="2"/>
  <c r="E14" i="2"/>
  <c r="E13" i="2"/>
  <c r="E183" i="2"/>
  <c r="E82" i="2"/>
  <c r="E32" i="2"/>
  <c r="E62" i="2"/>
  <c r="E33" i="2"/>
  <c r="E185" i="2"/>
  <c r="E65" i="2"/>
  <c r="E66" i="2"/>
  <c r="E6" i="2"/>
  <c r="E142" i="2"/>
  <c r="E3" i="2"/>
  <c r="E143" i="2"/>
  <c r="E70" i="2"/>
  <c r="E75" i="2"/>
  <c r="E43" i="2"/>
  <c r="E44" i="2"/>
  <c r="E45" i="2"/>
  <c r="E46" i="2"/>
  <c r="E47" i="2"/>
  <c r="E48" i="2"/>
  <c r="E49" i="2"/>
  <c r="E50" i="2"/>
  <c r="E99" i="2"/>
  <c r="E100" i="2"/>
  <c r="E101" i="2"/>
  <c r="E51" i="2"/>
  <c r="E10" i="2"/>
  <c r="E361" i="2"/>
  <c r="E167" i="2"/>
  <c r="E52" i="2"/>
  <c r="E15" i="2"/>
  <c r="E29" i="2"/>
  <c r="E38" i="2"/>
  <c r="E58" i="2"/>
  <c r="E63" i="2"/>
  <c r="E83" i="2"/>
  <c r="E122" i="2"/>
  <c r="E37" i="2"/>
  <c r="E81" i="2"/>
  <c r="E18" i="2"/>
  <c r="E5" i="2"/>
  <c r="E34" i="2"/>
  <c r="E314" i="2"/>
  <c r="E345" i="2"/>
  <c r="E346" i="2"/>
  <c r="E350" i="2"/>
  <c r="E351" i="2"/>
  <c r="E366" i="2"/>
  <c r="E360" i="2"/>
  <c r="E367" i="2"/>
  <c r="E368" i="2"/>
  <c r="E357" i="2"/>
  <c r="E364" i="2"/>
  <c r="E356" i="2"/>
  <c r="E89" i="2"/>
  <c r="E80" i="2"/>
  <c r="E53" i="2"/>
  <c r="E106" i="2"/>
  <c r="E67" i="2"/>
  <c r="E7" i="2"/>
  <c r="E54" i="2"/>
  <c r="E125" i="2"/>
  <c r="E11" i="2"/>
  <c r="E12" i="2"/>
  <c r="E72" i="2"/>
  <c r="E154" i="2"/>
  <c r="E123" i="2"/>
  <c r="E19" i="2"/>
  <c r="E64" i="2"/>
  <c r="E110" i="2"/>
  <c r="E111" i="2"/>
  <c r="E16" i="2"/>
  <c r="E20" i="2"/>
  <c r="E349" i="2"/>
  <c r="E126" i="2"/>
  <c r="E42" i="2"/>
  <c r="E73" i="2"/>
  <c r="E173" i="2"/>
  <c r="E22" i="2"/>
  <c r="E71" i="2"/>
  <c r="E189" i="2"/>
  <c r="E9" i="2"/>
  <c r="E23" i="2"/>
  <c r="E61" i="2"/>
  <c r="E21" i="2"/>
  <c r="E39" i="2"/>
  <c r="E68" i="2"/>
  <c r="E41" i="2"/>
  <c r="E102" i="2"/>
  <c r="E87" i="2"/>
  <c r="E69" i="2"/>
  <c r="E127" i="2"/>
  <c r="E59" i="2"/>
  <c r="E74" i="2"/>
  <c r="E28" i="2"/>
  <c r="E17" i="2"/>
  <c r="E88" i="2"/>
  <c r="E103" i="2"/>
  <c r="E8" i="2"/>
  <c r="E55" i="2"/>
  <c r="E104" i="2"/>
  <c r="E214" i="2"/>
  <c r="E36" i="2"/>
  <c r="E56" i="2"/>
  <c r="E91" i="2"/>
  <c r="E92" i="2"/>
  <c r="E93" i="2"/>
  <c r="E326" i="2"/>
  <c r="E327" i="2"/>
  <c r="E57" i="2"/>
  <c r="E4" i="2"/>
  <c r="E24" i="2"/>
  <c r="E288" i="2"/>
  <c r="E124" i="2"/>
  <c r="E2" i="2"/>
  <c r="E232" i="2"/>
  <c r="E261" i="2"/>
  <c r="E299" i="2"/>
  <c r="E239" i="2"/>
  <c r="E254" i="2"/>
  <c r="E169" i="2"/>
  <c r="E184" i="2"/>
  <c r="E252" i="2"/>
  <c r="E112" i="2"/>
  <c r="E206" i="2"/>
  <c r="E289" i="2"/>
  <c r="E131" i="2"/>
  <c r="E176" i="2"/>
  <c r="E94" i="2"/>
  <c r="E336" i="2"/>
  <c r="E236" i="2"/>
  <c r="E333" i="2"/>
  <c r="E335" i="2"/>
  <c r="E306" i="2"/>
  <c r="E248" i="2"/>
  <c r="E334" i="2"/>
  <c r="E170" i="2"/>
  <c r="E144" i="2"/>
  <c r="E155" i="2"/>
  <c r="E309" i="2"/>
  <c r="E310" i="2"/>
  <c r="E342" i="2"/>
  <c r="E215" i="2"/>
  <c r="E105" i="2"/>
  <c r="E319" i="2"/>
  <c r="E216" i="2"/>
  <c r="E190" i="2"/>
  <c r="E132" i="2"/>
  <c r="E277" i="2"/>
  <c r="E222" i="2"/>
  <c r="E307" i="2"/>
  <c r="E308" i="2"/>
  <c r="E330" i="2"/>
  <c r="E201" i="2"/>
  <c r="E134" i="2"/>
  <c r="E135" i="2"/>
  <c r="E228" i="2"/>
  <c r="E257" i="2"/>
  <c r="E258" i="2"/>
  <c r="E259" i="2"/>
  <c r="E260" i="2"/>
  <c r="E278" i="2"/>
  <c r="E229" i="2"/>
  <c r="E337" i="2"/>
  <c r="E325" i="2"/>
  <c r="E343" i="2"/>
  <c r="E354" i="2"/>
  <c r="E344" i="2"/>
  <c r="E369" i="2"/>
  <c r="E358" i="2"/>
  <c r="E359" i="2"/>
  <c r="E365" i="2"/>
  <c r="E225" i="2"/>
  <c r="E108" i="2"/>
  <c r="E109" i="2"/>
  <c r="E341" i="2"/>
  <c r="E237" i="2"/>
  <c r="E238" i="2"/>
  <c r="E156" i="2"/>
  <c r="E146" i="2"/>
  <c r="E147" i="2"/>
  <c r="E226" i="2"/>
  <c r="E316" i="2"/>
  <c r="E267" i="2"/>
  <c r="E113" i="2"/>
  <c r="E268" i="2"/>
  <c r="E362" i="2"/>
  <c r="E370" i="2"/>
  <c r="E157" i="2"/>
  <c r="E303" i="2"/>
  <c r="E191" i="2"/>
  <c r="E174" i="2"/>
  <c r="E347" i="2"/>
  <c r="E192" i="2"/>
  <c r="E114" i="2"/>
  <c r="E178" i="2"/>
  <c r="E217" i="2"/>
  <c r="E227" i="2"/>
  <c r="E202" i="2"/>
  <c r="E158" i="2"/>
  <c r="E159" i="2"/>
  <c r="E160" i="2"/>
  <c r="E161" i="2"/>
  <c r="E162" i="2"/>
  <c r="E179" i="2"/>
  <c r="E207" i="2"/>
  <c r="E249" i="2"/>
  <c r="E280" i="2"/>
  <c r="E180" i="2"/>
  <c r="E231" i="2"/>
  <c r="E181" i="2"/>
  <c r="E313" i="2"/>
  <c r="E163" i="2"/>
  <c r="E223" i="2"/>
  <c r="E224" i="2"/>
  <c r="E245" i="2"/>
  <c r="E218" i="2"/>
  <c r="E290" i="2"/>
  <c r="E328" i="2"/>
  <c r="E329" i="2"/>
  <c r="E85" i="2"/>
  <c r="E203" i="2"/>
  <c r="E86" i="2"/>
  <c r="E339" i="2"/>
  <c r="E269" i="2"/>
  <c r="E84" i="2"/>
  <c r="E253" i="2"/>
  <c r="E240" i="2"/>
  <c r="E241" i="2"/>
  <c r="E262" i="2"/>
  <c r="E246" i="2"/>
  <c r="E250" i="2"/>
  <c r="E324" i="2"/>
  <c r="E321" i="2"/>
  <c r="E291" i="2"/>
  <c r="E331" i="2"/>
  <c r="E311" i="2"/>
  <c r="E332" i="2"/>
  <c r="E295" i="2"/>
  <c r="E136" i="2"/>
  <c r="A137" i="2"/>
  <c r="A138" i="2"/>
  <c r="A148" i="2"/>
  <c r="A120" i="2"/>
  <c r="A149" i="2"/>
  <c r="A107" i="2"/>
  <c r="A164" i="2"/>
  <c r="A165" i="2"/>
  <c r="A338" i="2"/>
  <c r="A151" i="2"/>
  <c r="A115" i="2"/>
  <c r="A296" i="2"/>
  <c r="A281" i="2"/>
  <c r="A255" i="2"/>
  <c r="A270" i="2"/>
  <c r="A271" i="2"/>
  <c r="A273" i="2"/>
  <c r="A199" i="2"/>
  <c r="A292" i="2"/>
  <c r="A204" i="2"/>
  <c r="A208" i="2"/>
  <c r="A187" i="2"/>
  <c r="A168" i="2"/>
  <c r="A118" i="2"/>
  <c r="A116" i="2"/>
  <c r="A166" i="2"/>
  <c r="A233" i="2"/>
  <c r="A251" i="2"/>
  <c r="A193" i="2"/>
  <c r="A119" i="2"/>
  <c r="A300" i="2"/>
  <c r="A139" i="2"/>
  <c r="A312" i="2"/>
  <c r="A304" i="2"/>
  <c r="A322" i="2"/>
  <c r="A194" i="2"/>
  <c r="A210" i="2"/>
  <c r="A209" i="2"/>
  <c r="A95" i="2"/>
  <c r="A96" i="2"/>
  <c r="A97" i="2"/>
  <c r="A211" i="2"/>
  <c r="A98" i="2"/>
  <c r="A140" i="2"/>
  <c r="A286" i="2"/>
  <c r="A287" i="2"/>
  <c r="A297" i="2"/>
  <c r="A293" i="2"/>
  <c r="A130" i="2"/>
  <c r="A219" i="2"/>
  <c r="A272" i="2"/>
  <c r="A205" i="2"/>
  <c r="A230" i="2"/>
  <c r="A152" i="2"/>
  <c r="A247" i="2"/>
  <c r="A90" i="2"/>
  <c r="A133" i="2"/>
  <c r="A256" i="2"/>
  <c r="A274" i="2"/>
  <c r="A275" i="2"/>
  <c r="A298" i="2"/>
  <c r="A141" i="2"/>
  <c r="A79" i="2"/>
  <c r="A197" i="2"/>
  <c r="A340" i="2"/>
  <c r="A348" i="2"/>
  <c r="A352" i="2"/>
  <c r="A363" i="2"/>
  <c r="A355" i="2"/>
  <c r="A285" i="2"/>
  <c r="A282" i="2"/>
  <c r="A283" i="2"/>
  <c r="A263" i="2"/>
  <c r="A264" i="2"/>
  <c r="A234" i="2"/>
  <c r="A235" i="2"/>
  <c r="A315" i="2"/>
  <c r="A171" i="2"/>
  <c r="A353" i="2"/>
  <c r="A198" i="2"/>
  <c r="A200" i="2"/>
  <c r="A175" i="2"/>
  <c r="A153" i="2"/>
  <c r="A182" i="2"/>
  <c r="A128" i="2"/>
  <c r="A121" i="2"/>
  <c r="A129" i="2"/>
  <c r="A320" i="2"/>
  <c r="A212" i="2"/>
  <c r="A301" i="2"/>
  <c r="A242" i="2"/>
  <c r="A243" i="2"/>
  <c r="A244" i="2"/>
  <c r="A117" i="2"/>
  <c r="A188" i="2"/>
  <c r="A195" i="2"/>
  <c r="A305" i="2"/>
  <c r="A302" i="2"/>
  <c r="A284" i="2"/>
  <c r="A317" i="2"/>
  <c r="A279" i="2"/>
  <c r="A318" i="2"/>
  <c r="A265" i="2"/>
  <c r="A266" i="2"/>
  <c r="A220" i="2"/>
  <c r="A221" i="2"/>
  <c r="A213" i="2"/>
  <c r="A172" i="2"/>
  <c r="A294" i="2"/>
  <c r="A276" i="2"/>
  <c r="A196" i="2"/>
  <c r="A25" i="2"/>
  <c r="A14" i="2"/>
  <c r="A26" i="2"/>
  <c r="A27" i="2"/>
  <c r="A31" i="2"/>
  <c r="A40" i="2"/>
  <c r="A35" i="2"/>
  <c r="A13" i="2"/>
  <c r="A183" i="2"/>
  <c r="A82" i="2"/>
  <c r="A32" i="2"/>
  <c r="A62" i="2"/>
  <c r="A33" i="2"/>
  <c r="A185" i="2"/>
  <c r="A65" i="2"/>
  <c r="A66" i="2"/>
  <c r="A6" i="2"/>
  <c r="A142" i="2"/>
  <c r="A3" i="2"/>
  <c r="A143" i="2"/>
  <c r="A70" i="2"/>
  <c r="A75" i="2"/>
  <c r="A43" i="2"/>
  <c r="A44" i="2"/>
  <c r="A45" i="2"/>
  <c r="A46" i="2"/>
  <c r="A47" i="2"/>
  <c r="A48" i="2"/>
  <c r="A49" i="2"/>
  <c r="A50" i="2"/>
  <c r="A99" i="2"/>
  <c r="A100" i="2"/>
  <c r="A101" i="2"/>
  <c r="A51" i="2"/>
  <c r="A10" i="2"/>
  <c r="A361" i="2"/>
  <c r="A167" i="2"/>
  <c r="A60" i="2"/>
  <c r="A52" i="2"/>
  <c r="A15" i="2"/>
  <c r="A29" i="2"/>
  <c r="A38" i="2"/>
  <c r="A58" i="2"/>
  <c r="A63" i="2"/>
  <c r="A83" i="2"/>
  <c r="A122" i="2"/>
  <c r="A37" i="2"/>
  <c r="A81" i="2"/>
  <c r="A30" i="2"/>
  <c r="A18" i="2"/>
  <c r="A5" i="2"/>
  <c r="A34" i="2"/>
  <c r="A314" i="2"/>
  <c r="A345" i="2"/>
  <c r="A346" i="2"/>
  <c r="A350" i="2"/>
  <c r="A351" i="2"/>
  <c r="A366" i="2"/>
  <c r="A360" i="2"/>
  <c r="A367" i="2"/>
  <c r="A368" i="2"/>
  <c r="A357" i="2"/>
  <c r="A364" i="2"/>
  <c r="A356" i="2"/>
  <c r="A89" i="2"/>
  <c r="A80" i="2"/>
  <c r="A53" i="2"/>
  <c r="A106" i="2"/>
  <c r="A67" i="2"/>
  <c r="A7" i="2"/>
  <c r="A54" i="2"/>
  <c r="A125" i="2"/>
  <c r="A11" i="2"/>
  <c r="A12" i="2"/>
  <c r="A72" i="2"/>
  <c r="A154" i="2"/>
  <c r="A123" i="2"/>
  <c r="A19" i="2"/>
  <c r="A64" i="2"/>
  <c r="A110" i="2"/>
  <c r="A111" i="2"/>
  <c r="A16" i="2"/>
  <c r="A20" i="2"/>
  <c r="A349" i="2"/>
  <c r="A126" i="2"/>
  <c r="A42" i="2"/>
  <c r="A73" i="2"/>
  <c r="A173" i="2"/>
  <c r="A22" i="2"/>
  <c r="A71" i="2"/>
  <c r="A189" i="2"/>
  <c r="A9" i="2"/>
  <c r="A23" i="2"/>
  <c r="A61" i="2"/>
  <c r="A21" i="2"/>
  <c r="A39" i="2"/>
  <c r="A68" i="2"/>
  <c r="A41" i="2"/>
  <c r="A102" i="2"/>
  <c r="A87" i="2"/>
  <c r="A69" i="2"/>
  <c r="A127" i="2"/>
  <c r="A59" i="2"/>
  <c r="A74" i="2"/>
  <c r="A28" i="2"/>
  <c r="A17" i="2"/>
  <c r="A88" i="2"/>
  <c r="A103" i="2"/>
  <c r="A8" i="2"/>
  <c r="A55" i="2"/>
  <c r="A104" i="2"/>
  <c r="A214" i="2"/>
  <c r="A36" i="2"/>
  <c r="A56" i="2"/>
  <c r="A91" i="2"/>
  <c r="A92" i="2"/>
  <c r="A93" i="2"/>
  <c r="A326" i="2"/>
  <c r="A327" i="2"/>
  <c r="A57" i="2"/>
  <c r="A4" i="2"/>
  <c r="A24" i="2"/>
  <c r="A288" i="2"/>
  <c r="A124" i="2"/>
  <c r="A2" i="2"/>
  <c r="A150" i="2"/>
  <c r="A232" i="2"/>
  <c r="A261" i="2"/>
  <c r="A299" i="2"/>
  <c r="A239" i="2"/>
  <c r="A254" i="2"/>
  <c r="A169" i="2"/>
  <c r="A184" i="2"/>
  <c r="A252" i="2"/>
  <c r="A112" i="2"/>
  <c r="A206" i="2"/>
  <c r="A289" i="2"/>
  <c r="A131" i="2"/>
  <c r="A176" i="2"/>
  <c r="A94" i="2"/>
  <c r="A336" i="2"/>
  <c r="A236" i="2"/>
  <c r="A333" i="2"/>
  <c r="A335" i="2"/>
  <c r="A306" i="2"/>
  <c r="A248" i="2"/>
  <c r="A334" i="2"/>
  <c r="A170" i="2"/>
  <c r="A144" i="2"/>
  <c r="A145" i="2"/>
  <c r="A155" i="2"/>
  <c r="A309" i="2"/>
  <c r="A310" i="2"/>
  <c r="A177" i="2"/>
  <c r="A186" i="2"/>
  <c r="A323" i="2"/>
  <c r="A342" i="2"/>
  <c r="A215" i="2"/>
  <c r="A105" i="2"/>
  <c r="A319" i="2"/>
  <c r="A216" i="2"/>
  <c r="A190" i="2"/>
  <c r="A132" i="2"/>
  <c r="A277" i="2"/>
  <c r="A222" i="2"/>
  <c r="A307" i="2"/>
  <c r="A308" i="2"/>
  <c r="A330" i="2"/>
  <c r="A201" i="2"/>
  <c r="A134" i="2"/>
  <c r="A135" i="2"/>
  <c r="A228" i="2"/>
  <c r="A257" i="2"/>
  <c r="A258" i="2"/>
  <c r="A259" i="2"/>
  <c r="A260" i="2"/>
  <c r="A278" i="2"/>
  <c r="A229" i="2"/>
  <c r="A337" i="2"/>
  <c r="A325" i="2"/>
  <c r="A343" i="2"/>
  <c r="A354" i="2"/>
  <c r="A344" i="2"/>
  <c r="A369" i="2"/>
  <c r="A358" i="2"/>
  <c r="A359" i="2"/>
  <c r="A365" i="2"/>
  <c r="A225" i="2"/>
  <c r="A108" i="2"/>
  <c r="A109" i="2"/>
  <c r="A341" i="2"/>
  <c r="A237" i="2"/>
  <c r="A238" i="2"/>
  <c r="A156" i="2"/>
  <c r="A146" i="2"/>
  <c r="A147" i="2"/>
  <c r="A226" i="2"/>
  <c r="A316" i="2"/>
  <c r="A267" i="2"/>
  <c r="A113" i="2"/>
  <c r="A268" i="2"/>
  <c r="A362" i="2"/>
  <c r="A370" i="2"/>
  <c r="A157" i="2"/>
  <c r="A303" i="2"/>
  <c r="A191" i="2"/>
  <c r="A174" i="2"/>
  <c r="A347" i="2"/>
  <c r="A192" i="2"/>
  <c r="A114" i="2"/>
  <c r="A178" i="2"/>
  <c r="A217" i="2"/>
  <c r="A227" i="2"/>
  <c r="A202" i="2"/>
  <c r="A158" i="2"/>
  <c r="A159" i="2"/>
  <c r="A160" i="2"/>
  <c r="A161" i="2"/>
  <c r="A162" i="2"/>
  <c r="A179" i="2"/>
  <c r="A207" i="2"/>
  <c r="A249" i="2"/>
  <c r="A280" i="2"/>
  <c r="A180" i="2"/>
  <c r="A231" i="2"/>
  <c r="A181" i="2"/>
  <c r="A313" i="2"/>
  <c r="A163" i="2"/>
  <c r="A223" i="2"/>
  <c r="A224" i="2"/>
  <c r="A245" i="2"/>
  <c r="A218" i="2"/>
  <c r="A290" i="2"/>
  <c r="A328" i="2"/>
  <c r="A329" i="2"/>
  <c r="A85" i="2"/>
  <c r="A203" i="2"/>
  <c r="A86" i="2"/>
  <c r="A339" i="2"/>
  <c r="A269" i="2"/>
  <c r="A84" i="2"/>
  <c r="A253" i="2"/>
  <c r="A240" i="2"/>
  <c r="A241" i="2"/>
  <c r="A262" i="2"/>
  <c r="A246" i="2"/>
  <c r="A250" i="2"/>
  <c r="A324" i="2"/>
  <c r="A321" i="2"/>
  <c r="A291" i="2"/>
  <c r="A331" i="2"/>
  <c r="A311" i="2"/>
  <c r="A332" i="2"/>
  <c r="A295" i="2"/>
  <c r="A136" i="2"/>
  <c r="O324" i="2" l="1"/>
  <c r="P324" i="2" s="1"/>
  <c r="O325" i="2"/>
  <c r="P325" i="2" s="1"/>
  <c r="O370" i="2"/>
  <c r="P370" i="2" s="1"/>
  <c r="O216" i="2"/>
  <c r="P216" i="2" s="1"/>
  <c r="O109" i="2"/>
  <c r="P109" i="2" s="1"/>
  <c r="O179" i="2"/>
  <c r="P179" i="2" s="1"/>
  <c r="O258" i="2"/>
  <c r="P258" i="2" s="1"/>
  <c r="O295" i="2"/>
  <c r="P295" i="2" s="1"/>
  <c r="O136" i="2"/>
  <c r="O237" i="2"/>
  <c r="P237" i="2" s="1"/>
  <c r="O70" i="2"/>
  <c r="P70" i="2" s="1"/>
  <c r="O28" i="2"/>
  <c r="P28" i="2" s="1"/>
  <c r="O235" i="2"/>
  <c r="O143" i="2"/>
  <c r="P143" i="2" s="1"/>
  <c r="O40" i="2"/>
  <c r="P40" i="2" s="1"/>
  <c r="O265" i="2"/>
  <c r="O212" i="2"/>
  <c r="O298" i="2"/>
  <c r="O297" i="2"/>
  <c r="O312" i="2"/>
  <c r="O292" i="2"/>
  <c r="O91" i="2"/>
  <c r="P91" i="2" s="1"/>
  <c r="O327" i="2"/>
  <c r="P327" i="2" s="1"/>
  <c r="O189" i="2"/>
  <c r="P189" i="2" s="1"/>
  <c r="O123" i="2"/>
  <c r="P123" i="2" s="1"/>
  <c r="O364" i="2"/>
  <c r="P364" i="2" s="1"/>
  <c r="O30" i="2"/>
  <c r="P30" i="2" s="1"/>
  <c r="O10" i="2"/>
  <c r="P10" i="2" s="1"/>
  <c r="O35" i="2"/>
  <c r="P35" i="2" s="1"/>
  <c r="O266" i="2"/>
  <c r="O301" i="2"/>
  <c r="O293" i="2"/>
  <c r="O304" i="2"/>
  <c r="O204" i="2"/>
  <c r="O107" i="2"/>
  <c r="O358" i="2"/>
  <c r="P358" i="2" s="1"/>
  <c r="O330" i="2"/>
  <c r="P330" i="2" s="1"/>
  <c r="O354" i="2"/>
  <c r="P354" i="2" s="1"/>
  <c r="O241" i="2"/>
  <c r="P241" i="2" s="1"/>
  <c r="O223" i="2"/>
  <c r="P223" i="2" s="1"/>
  <c r="O186" i="2"/>
  <c r="P186" i="2" s="1"/>
  <c r="O160" i="2"/>
  <c r="P160" i="2" s="1"/>
  <c r="O131" i="2"/>
  <c r="P131" i="2" s="1"/>
  <c r="O245" i="2"/>
  <c r="P245" i="2" s="1"/>
  <c r="O343" i="2"/>
  <c r="P343" i="2" s="1"/>
  <c r="O299" i="2"/>
  <c r="P299" i="2" s="1"/>
  <c r="O259" i="2"/>
  <c r="P259" i="2" s="1"/>
  <c r="O238" i="2"/>
  <c r="P238" i="2" s="1"/>
  <c r="O217" i="2"/>
  <c r="P217" i="2" s="1"/>
  <c r="O180" i="2"/>
  <c r="P180" i="2" s="1"/>
  <c r="O157" i="2"/>
  <c r="P157" i="2" s="1"/>
  <c r="O112" i="2"/>
  <c r="P112" i="2" s="1"/>
  <c r="O267" i="2"/>
  <c r="P267" i="2" s="1"/>
  <c r="O262" i="2"/>
  <c r="P262" i="2" s="1"/>
  <c r="O224" i="2"/>
  <c r="P224" i="2" s="1"/>
  <c r="O307" i="2"/>
  <c r="P307" i="2" s="1"/>
  <c r="O308" i="2"/>
  <c r="P308" i="2" s="1"/>
  <c r="O326" i="2"/>
  <c r="P326" i="2" s="1"/>
  <c r="O74" i="2"/>
  <c r="P74" i="2" s="1"/>
  <c r="O71" i="2"/>
  <c r="P71" i="2" s="1"/>
  <c r="O357" i="2"/>
  <c r="P357" i="2" s="1"/>
  <c r="O81" i="2"/>
  <c r="P81" i="2" s="1"/>
  <c r="O51" i="2"/>
  <c r="P51" i="2" s="1"/>
  <c r="O234" i="2"/>
  <c r="O331" i="2"/>
  <c r="P331" i="2" s="1"/>
  <c r="O342" i="2"/>
  <c r="P342" i="2" s="1"/>
  <c r="O24" i="2"/>
  <c r="P24" i="2" s="1"/>
  <c r="O103" i="2"/>
  <c r="P103" i="2" s="1"/>
  <c r="O61" i="2"/>
  <c r="P61" i="2" s="1"/>
  <c r="O110" i="2"/>
  <c r="P110" i="2" s="1"/>
  <c r="O80" i="2"/>
  <c r="P80" i="2" s="1"/>
  <c r="O34" i="2"/>
  <c r="P34" i="2" s="1"/>
  <c r="O60" i="2"/>
  <c r="P60" i="2" s="1"/>
  <c r="O44" i="2"/>
  <c r="P44" i="2" s="1"/>
  <c r="O82" i="2"/>
  <c r="P82" i="2" s="1"/>
  <c r="O213" i="2"/>
  <c r="O244" i="2"/>
  <c r="O353" i="2"/>
  <c r="O340" i="2"/>
  <c r="O272" i="2"/>
  <c r="O210" i="2"/>
  <c r="O168" i="2"/>
  <c r="O338" i="2"/>
  <c r="O77" i="2"/>
  <c r="P77" i="2" s="1"/>
  <c r="O94" i="2"/>
  <c r="P94" i="2" s="1"/>
  <c r="O147" i="2"/>
  <c r="P147" i="2" s="1"/>
  <c r="O176" i="2"/>
  <c r="P176" i="2" s="1"/>
  <c r="O206" i="2"/>
  <c r="P206" i="2" s="1"/>
  <c r="O231" i="2"/>
  <c r="P231" i="2" s="1"/>
  <c r="O253" i="2"/>
  <c r="P253" i="2" s="1"/>
  <c r="O289" i="2"/>
  <c r="P289" i="2" s="1"/>
  <c r="O319" i="2"/>
  <c r="P319" i="2" s="1"/>
  <c r="O337" i="2"/>
  <c r="P337" i="2" s="1"/>
  <c r="O69" i="2"/>
  <c r="P69" i="2" s="1"/>
  <c r="O6" i="2"/>
  <c r="P6" i="2" s="1"/>
  <c r="O4" i="2"/>
  <c r="P4" i="2" s="1"/>
  <c r="O88" i="2"/>
  <c r="P88" i="2" s="1"/>
  <c r="O23" i="2"/>
  <c r="P23" i="2" s="1"/>
  <c r="O64" i="2"/>
  <c r="P64" i="2" s="1"/>
  <c r="O89" i="2"/>
  <c r="P89" i="2" s="1"/>
  <c r="O5" i="2"/>
  <c r="P5" i="2" s="1"/>
  <c r="O167" i="2"/>
  <c r="P167" i="2" s="1"/>
  <c r="O43" i="2"/>
  <c r="P43" i="2" s="1"/>
  <c r="O183" i="2"/>
  <c r="P183" i="2" s="1"/>
  <c r="O221" i="2"/>
  <c r="O243" i="2"/>
  <c r="O171" i="2"/>
  <c r="O197" i="2"/>
  <c r="O219" i="2"/>
  <c r="O194" i="2"/>
  <c r="O187" i="2"/>
  <c r="O165" i="2"/>
  <c r="O105" i="2"/>
  <c r="P105" i="2" s="1"/>
  <c r="O150" i="2"/>
  <c r="P150" i="2" s="1"/>
  <c r="O177" i="2"/>
  <c r="P177" i="2" s="1"/>
  <c r="O207" i="2"/>
  <c r="P207" i="2" s="1"/>
  <c r="O232" i="2"/>
  <c r="P232" i="2" s="1"/>
  <c r="O254" i="2"/>
  <c r="P254" i="2" s="1"/>
  <c r="O290" i="2"/>
  <c r="P290" i="2" s="1"/>
  <c r="O321" i="2"/>
  <c r="P321" i="2" s="1"/>
  <c r="O339" i="2"/>
  <c r="P339" i="2" s="1"/>
  <c r="O360" i="2"/>
  <c r="P360" i="2" s="1"/>
  <c r="O125" i="2"/>
  <c r="P125" i="2" s="1"/>
  <c r="O57" i="2"/>
  <c r="P57" i="2" s="1"/>
  <c r="O17" i="2"/>
  <c r="P17" i="2" s="1"/>
  <c r="O9" i="2"/>
  <c r="P9" i="2" s="1"/>
  <c r="O19" i="2"/>
  <c r="P19" i="2" s="1"/>
  <c r="O356" i="2"/>
  <c r="P356" i="2" s="1"/>
  <c r="O18" i="2"/>
  <c r="P18" i="2" s="1"/>
  <c r="O361" i="2"/>
  <c r="P361" i="2" s="1"/>
  <c r="O75" i="2"/>
  <c r="P75" i="2" s="1"/>
  <c r="O13" i="2"/>
  <c r="P13" i="2" s="1"/>
  <c r="O220" i="2"/>
  <c r="O242" i="2"/>
  <c r="O315" i="2"/>
  <c r="O79" i="2"/>
  <c r="O130" i="2"/>
  <c r="O322" i="2"/>
  <c r="O208" i="2"/>
  <c r="O164" i="2"/>
  <c r="O108" i="2"/>
  <c r="P108" i="2" s="1"/>
  <c r="O155" i="2"/>
  <c r="P155" i="2" s="1"/>
  <c r="O178" i="2"/>
  <c r="P178" i="2" s="1"/>
  <c r="O215" i="2"/>
  <c r="P215" i="2" s="1"/>
  <c r="O236" i="2"/>
  <c r="P236" i="2" s="1"/>
  <c r="O257" i="2"/>
  <c r="P257" i="2" s="1"/>
  <c r="O291" i="2"/>
  <c r="P291" i="2" s="1"/>
  <c r="O323" i="2"/>
  <c r="P323" i="2" s="1"/>
  <c r="O341" i="2"/>
  <c r="P341" i="2" s="1"/>
  <c r="O93" i="2"/>
  <c r="P93" i="2" s="1"/>
  <c r="O22" i="2"/>
  <c r="P22" i="2" s="1"/>
  <c r="O368" i="2"/>
  <c r="P368" i="2" s="1"/>
  <c r="O3" i="2"/>
  <c r="P3" i="2" s="1"/>
  <c r="O318" i="2"/>
  <c r="O264" i="2"/>
  <c r="O287" i="2"/>
  <c r="O139" i="2"/>
  <c r="O199" i="2"/>
  <c r="O120" i="2"/>
  <c r="O113" i="2"/>
  <c r="P113" i="2" s="1"/>
  <c r="O158" i="2"/>
  <c r="P158" i="2" s="1"/>
  <c r="O181" i="2"/>
  <c r="P181" i="2" s="1"/>
  <c r="O218" i="2"/>
  <c r="P218" i="2" s="1"/>
  <c r="O239" i="2"/>
  <c r="P239" i="2" s="1"/>
  <c r="O260" i="2"/>
  <c r="P260" i="2" s="1"/>
  <c r="O303" i="2"/>
  <c r="P303" i="2" s="1"/>
  <c r="O328" i="2"/>
  <c r="P328" i="2" s="1"/>
  <c r="O344" i="2"/>
  <c r="P344" i="2" s="1"/>
  <c r="O149" i="2"/>
  <c r="O59" i="2"/>
  <c r="P59" i="2" s="1"/>
  <c r="O37" i="2"/>
  <c r="P37" i="2" s="1"/>
  <c r="O101" i="2"/>
  <c r="P101" i="2" s="1"/>
  <c r="O31" i="2"/>
  <c r="P31" i="2" s="1"/>
  <c r="O320" i="2"/>
  <c r="O275" i="2"/>
  <c r="O92" i="2"/>
  <c r="P92" i="2" s="1"/>
  <c r="O127" i="2"/>
  <c r="P127" i="2" s="1"/>
  <c r="O173" i="2"/>
  <c r="P173" i="2" s="1"/>
  <c r="O12" i="2"/>
  <c r="P12" i="2" s="1"/>
  <c r="O367" i="2"/>
  <c r="P367" i="2" s="1"/>
  <c r="O122" i="2"/>
  <c r="P122" i="2" s="1"/>
  <c r="O100" i="2"/>
  <c r="P100" i="2" s="1"/>
  <c r="O142" i="2"/>
  <c r="P142" i="2" s="1"/>
  <c r="O27" i="2"/>
  <c r="P27" i="2" s="1"/>
  <c r="O279" i="2"/>
  <c r="O129" i="2"/>
  <c r="O263" i="2"/>
  <c r="O274" i="2"/>
  <c r="O286" i="2"/>
  <c r="O300" i="2"/>
  <c r="O273" i="2"/>
  <c r="O148" i="2"/>
  <c r="O76" i="2"/>
  <c r="P76" i="2" s="1"/>
  <c r="O114" i="2"/>
  <c r="P114" i="2" s="1"/>
  <c r="O159" i="2"/>
  <c r="P159" i="2" s="1"/>
  <c r="O184" i="2"/>
  <c r="P184" i="2" s="1"/>
  <c r="O222" i="2"/>
  <c r="P222" i="2" s="1"/>
  <c r="O240" i="2"/>
  <c r="P240" i="2" s="1"/>
  <c r="O261" i="2"/>
  <c r="P261" i="2" s="1"/>
  <c r="O306" i="2"/>
  <c r="P306" i="2" s="1"/>
  <c r="O329" i="2"/>
  <c r="P329" i="2" s="1"/>
  <c r="O347" i="2"/>
  <c r="P347" i="2" s="1"/>
  <c r="O128" i="2"/>
  <c r="O36" i="2"/>
  <c r="P36" i="2" s="1"/>
  <c r="O102" i="2"/>
  <c r="P102" i="2" s="1"/>
  <c r="O126" i="2"/>
  <c r="P126" i="2" s="1"/>
  <c r="O54" i="2"/>
  <c r="P54" i="2" s="1"/>
  <c r="O351" i="2"/>
  <c r="P351" i="2" s="1"/>
  <c r="O58" i="2"/>
  <c r="P58" i="2" s="1"/>
  <c r="O49" i="2"/>
  <c r="P49" i="2" s="1"/>
  <c r="O65" i="2"/>
  <c r="P65" i="2" s="1"/>
  <c r="O25" i="2"/>
  <c r="P25" i="2" s="1"/>
  <c r="O302" i="2"/>
  <c r="O182" i="2"/>
  <c r="O285" i="2"/>
  <c r="O90" i="2"/>
  <c r="O211" i="2"/>
  <c r="O251" i="2"/>
  <c r="O255" i="2"/>
  <c r="O78" i="2"/>
  <c r="P78" i="2" s="1"/>
  <c r="O134" i="2"/>
  <c r="P134" i="2" s="1"/>
  <c r="O162" i="2"/>
  <c r="P162" i="2" s="1"/>
  <c r="O191" i="2"/>
  <c r="P191" i="2" s="1"/>
  <c r="O225" i="2"/>
  <c r="P225" i="2" s="1"/>
  <c r="O246" i="2"/>
  <c r="P246" i="2" s="1"/>
  <c r="O268" i="2"/>
  <c r="P268" i="2" s="1"/>
  <c r="O309" i="2"/>
  <c r="P309" i="2" s="1"/>
  <c r="O332" i="2"/>
  <c r="P332" i="2" s="1"/>
  <c r="O359" i="2"/>
  <c r="P359" i="2" s="1"/>
  <c r="O214" i="2"/>
  <c r="P214" i="2" s="1"/>
  <c r="O41" i="2"/>
  <c r="P41" i="2" s="1"/>
  <c r="O349" i="2"/>
  <c r="P349" i="2" s="1"/>
  <c r="O7" i="2"/>
  <c r="P7" i="2" s="1"/>
  <c r="O350" i="2"/>
  <c r="P350" i="2" s="1"/>
  <c r="O38" i="2"/>
  <c r="P38" i="2" s="1"/>
  <c r="O48" i="2"/>
  <c r="P48" i="2" s="1"/>
  <c r="O185" i="2"/>
  <c r="P185" i="2" s="1"/>
  <c r="O196" i="2"/>
  <c r="O305" i="2"/>
  <c r="O153" i="2"/>
  <c r="O355" i="2"/>
  <c r="O247" i="2"/>
  <c r="O97" i="2"/>
  <c r="O233" i="2"/>
  <c r="O281" i="2"/>
  <c r="O135" i="2"/>
  <c r="P135" i="2" s="1"/>
  <c r="O163" i="2"/>
  <c r="P163" i="2" s="1"/>
  <c r="O192" i="2"/>
  <c r="P192" i="2" s="1"/>
  <c r="O226" i="2"/>
  <c r="P226" i="2" s="1"/>
  <c r="O248" i="2"/>
  <c r="P248" i="2" s="1"/>
  <c r="O269" i="2"/>
  <c r="P269" i="2" s="1"/>
  <c r="O310" i="2"/>
  <c r="P310" i="2" s="1"/>
  <c r="O333" i="2"/>
  <c r="P333" i="2" s="1"/>
  <c r="O362" i="2"/>
  <c r="P362" i="2" s="1"/>
  <c r="O73" i="2"/>
  <c r="P73" i="2" s="1"/>
  <c r="O11" i="2"/>
  <c r="P11" i="2" s="1"/>
  <c r="O83" i="2"/>
  <c r="P83" i="2" s="1"/>
  <c r="O26" i="2"/>
  <c r="P26" i="2" s="1"/>
  <c r="O317" i="2"/>
  <c r="O121" i="2"/>
  <c r="O283" i="2"/>
  <c r="O256" i="2"/>
  <c r="O140" i="2"/>
  <c r="O119" i="2"/>
  <c r="O271" i="2"/>
  <c r="O138" i="2"/>
  <c r="O56" i="2"/>
  <c r="P56" i="2" s="1"/>
  <c r="O42" i="2"/>
  <c r="P42" i="2" s="1"/>
  <c r="O366" i="2"/>
  <c r="P366" i="2" s="1"/>
  <c r="O50" i="2"/>
  <c r="P50" i="2" s="1"/>
  <c r="O66" i="2"/>
  <c r="P66" i="2" s="1"/>
  <c r="O284" i="2"/>
  <c r="O282" i="2"/>
  <c r="O98" i="2"/>
  <c r="O193" i="2"/>
  <c r="O270" i="2"/>
  <c r="O137" i="2"/>
  <c r="O132" i="2"/>
  <c r="P132" i="2" s="1"/>
  <c r="O161" i="2"/>
  <c r="P161" i="2" s="1"/>
  <c r="O190" i="2"/>
  <c r="P190" i="2" s="1"/>
  <c r="O104" i="2"/>
  <c r="P104" i="2" s="1"/>
  <c r="O68" i="2"/>
  <c r="P68" i="2" s="1"/>
  <c r="O20" i="2"/>
  <c r="P20" i="2" s="1"/>
  <c r="O67" i="2"/>
  <c r="P67" i="2" s="1"/>
  <c r="O346" i="2"/>
  <c r="P346" i="2" s="1"/>
  <c r="O29" i="2"/>
  <c r="P29" i="2" s="1"/>
  <c r="O47" i="2"/>
  <c r="P47" i="2" s="1"/>
  <c r="O33" i="2"/>
  <c r="P33" i="2" s="1"/>
  <c r="O276" i="2"/>
  <c r="O195" i="2"/>
  <c r="O175" i="2"/>
  <c r="O363" i="2"/>
  <c r="O152" i="2"/>
  <c r="O96" i="2"/>
  <c r="O166" i="2"/>
  <c r="O296" i="2"/>
  <c r="O144" i="2"/>
  <c r="P144" i="2" s="1"/>
  <c r="O169" i="2"/>
  <c r="P169" i="2" s="1"/>
  <c r="O201" i="2"/>
  <c r="P201" i="2" s="1"/>
  <c r="O227" i="2"/>
  <c r="P227" i="2" s="1"/>
  <c r="O249" i="2"/>
  <c r="P249" i="2" s="1"/>
  <c r="O277" i="2"/>
  <c r="P277" i="2" s="1"/>
  <c r="O311" i="2"/>
  <c r="P311" i="2" s="1"/>
  <c r="O334" i="2"/>
  <c r="P334" i="2" s="1"/>
  <c r="O365" i="2"/>
  <c r="P365" i="2" s="1"/>
  <c r="O124" i="2"/>
  <c r="P124" i="2" s="1"/>
  <c r="O55" i="2"/>
  <c r="P55" i="2" s="1"/>
  <c r="O39" i="2"/>
  <c r="P39" i="2" s="1"/>
  <c r="O16" i="2"/>
  <c r="P16" i="2" s="1"/>
  <c r="O106" i="2"/>
  <c r="P106" i="2" s="1"/>
  <c r="O345" i="2"/>
  <c r="P345" i="2" s="1"/>
  <c r="O15" i="2"/>
  <c r="P15" i="2" s="1"/>
  <c r="O46" i="2"/>
  <c r="P46" i="2" s="1"/>
  <c r="O62" i="2"/>
  <c r="P62" i="2" s="1"/>
  <c r="O294" i="2"/>
  <c r="O188" i="2"/>
  <c r="O200" i="2"/>
  <c r="O352" i="2"/>
  <c r="O230" i="2"/>
  <c r="O95" i="2"/>
  <c r="O116" i="2"/>
  <c r="O115" i="2"/>
  <c r="O85" i="2"/>
  <c r="P85" i="2" s="1"/>
  <c r="O145" i="2"/>
  <c r="P145" i="2" s="1"/>
  <c r="O170" i="2"/>
  <c r="P170" i="2" s="1"/>
  <c r="O202" i="2"/>
  <c r="P202" i="2" s="1"/>
  <c r="O228" i="2"/>
  <c r="P228" i="2" s="1"/>
  <c r="O250" i="2"/>
  <c r="P250" i="2" s="1"/>
  <c r="O278" i="2"/>
  <c r="P278" i="2" s="1"/>
  <c r="O313" i="2"/>
  <c r="P313" i="2" s="1"/>
  <c r="O335" i="2"/>
  <c r="P335" i="2" s="1"/>
  <c r="O369" i="2"/>
  <c r="P369" i="2" s="1"/>
  <c r="O99" i="2"/>
  <c r="P99" i="2" s="1"/>
  <c r="O87" i="2"/>
  <c r="P87" i="2" s="1"/>
  <c r="O63" i="2"/>
  <c r="P63" i="2" s="1"/>
  <c r="O14" i="2"/>
  <c r="P14" i="2" s="1"/>
  <c r="O133" i="2"/>
  <c r="O2" i="2"/>
  <c r="P2" i="2" s="1"/>
  <c r="O84" i="2"/>
  <c r="P84" i="2" s="1"/>
  <c r="O288" i="2"/>
  <c r="P288" i="2" s="1"/>
  <c r="O8" i="2"/>
  <c r="P8" i="2" s="1"/>
  <c r="O21" i="2"/>
  <c r="P21" i="2" s="1"/>
  <c r="O111" i="2"/>
  <c r="P111" i="2" s="1"/>
  <c r="O53" i="2"/>
  <c r="P53" i="2" s="1"/>
  <c r="O314" i="2"/>
  <c r="P314" i="2" s="1"/>
  <c r="O52" i="2"/>
  <c r="P52" i="2" s="1"/>
  <c r="O45" i="2"/>
  <c r="P45" i="2" s="1"/>
  <c r="O32" i="2"/>
  <c r="P32" i="2" s="1"/>
  <c r="O172" i="2"/>
  <c r="O117" i="2"/>
  <c r="O198" i="2"/>
  <c r="O348" i="2"/>
  <c r="O205" i="2"/>
  <c r="O209" i="2"/>
  <c r="O118" i="2"/>
  <c r="O151" i="2"/>
  <c r="O86" i="2"/>
  <c r="P86" i="2" s="1"/>
  <c r="O146" i="2"/>
  <c r="P146" i="2" s="1"/>
  <c r="O174" i="2"/>
  <c r="P174" i="2" s="1"/>
  <c r="O203" i="2"/>
  <c r="P203" i="2" s="1"/>
  <c r="O229" i="2"/>
  <c r="P229" i="2" s="1"/>
  <c r="O252" i="2"/>
  <c r="P252" i="2" s="1"/>
  <c r="O280" i="2"/>
  <c r="P280" i="2" s="1"/>
  <c r="O316" i="2"/>
  <c r="P316" i="2" s="1"/>
  <c r="O336" i="2"/>
  <c r="P336" i="2" s="1"/>
</calcChain>
</file>

<file path=xl/sharedStrings.xml><?xml version="1.0" encoding="utf-8"?>
<sst xmlns="http://schemas.openxmlformats.org/spreadsheetml/2006/main" count="22529" uniqueCount="5216">
  <si>
    <t>Sum of Confirmed Quantity (CS)</t>
  </si>
  <si>
    <t>Column Labels</t>
  </si>
  <si>
    <t>Row Labels</t>
  </si>
  <si>
    <t>2910</t>
  </si>
  <si>
    <t>2920</t>
  </si>
  <si>
    <t>2925</t>
  </si>
  <si>
    <t>2930</t>
  </si>
  <si>
    <t>(blank)</t>
  </si>
  <si>
    <t>Grand Total</t>
  </si>
  <si>
    <t>Unique Key</t>
  </si>
  <si>
    <t>10001127</t>
  </si>
  <si>
    <t>10003061</t>
  </si>
  <si>
    <t>10007757</t>
  </si>
  <si>
    <t>10007843</t>
  </si>
  <si>
    <t>10007849</t>
  </si>
  <si>
    <t>10007851</t>
  </si>
  <si>
    <t>10010749</t>
  </si>
  <si>
    <t>10010755</t>
  </si>
  <si>
    <t>10011275</t>
  </si>
  <si>
    <t>10013039</t>
  </si>
  <si>
    <t>10013105</t>
  </si>
  <si>
    <t>10013128</t>
  </si>
  <si>
    <t>10013144</t>
  </si>
  <si>
    <t>10016044</t>
  </si>
  <si>
    <t>10016081</t>
  </si>
  <si>
    <t>10016204</t>
  </si>
  <si>
    <t>10016401</t>
  </si>
  <si>
    <t>10016404</t>
  </si>
  <si>
    <t>10016408</t>
  </si>
  <si>
    <t>10017114</t>
  </si>
  <si>
    <t>10017604</t>
  </si>
  <si>
    <t>10017611</t>
  </si>
  <si>
    <t>10017617</t>
  </si>
  <si>
    <t>10018016</t>
  </si>
  <si>
    <t>10018053</t>
  </si>
  <si>
    <t>10018646</t>
  </si>
  <si>
    <t>10018656</t>
  </si>
  <si>
    <t>10018657</t>
  </si>
  <si>
    <t>10018659</t>
  </si>
  <si>
    <t>10018661</t>
  </si>
  <si>
    <t>10018980</t>
  </si>
  <si>
    <t>10019107</t>
  </si>
  <si>
    <t>10019131</t>
  </si>
  <si>
    <t>10019641</t>
  </si>
  <si>
    <t>10019648</t>
  </si>
  <si>
    <t>10019690</t>
  </si>
  <si>
    <t>10019703</t>
  </si>
  <si>
    <t>10019704</t>
  </si>
  <si>
    <t>10019706</t>
  </si>
  <si>
    <t>10019707</t>
  </si>
  <si>
    <t>10019778</t>
  </si>
  <si>
    <t>10019780</t>
  </si>
  <si>
    <t>10020850</t>
  </si>
  <si>
    <t>10020851</t>
  </si>
  <si>
    <t>10023481</t>
  </si>
  <si>
    <t>10023483</t>
  </si>
  <si>
    <t>10029943</t>
  </si>
  <si>
    <t>10029944</t>
  </si>
  <si>
    <t>10031164</t>
  </si>
  <si>
    <t>10033021</t>
  </si>
  <si>
    <t>10033115</t>
  </si>
  <si>
    <t>10033175</t>
  </si>
  <si>
    <t>10038126</t>
  </si>
  <si>
    <t>10038130</t>
  </si>
  <si>
    <t>10038132</t>
  </si>
  <si>
    <t>10038139</t>
  </si>
  <si>
    <t>10038153</t>
  </si>
  <si>
    <t>10040122</t>
  </si>
  <si>
    <t>10040391</t>
  </si>
  <si>
    <t>10040699</t>
  </si>
  <si>
    <t>10040869</t>
  </si>
  <si>
    <t>10041270</t>
  </si>
  <si>
    <t>10041273</t>
  </si>
  <si>
    <t>10042157</t>
  </si>
  <si>
    <t>10045483</t>
  </si>
  <si>
    <t>10045485</t>
  </si>
  <si>
    <t>10049305</t>
  </si>
  <si>
    <t>10050324</t>
  </si>
  <si>
    <t>10050485</t>
  </si>
  <si>
    <t>10050486</t>
  </si>
  <si>
    <t>10050609</t>
  </si>
  <si>
    <t>10050613</t>
  </si>
  <si>
    <t>10050619</t>
  </si>
  <si>
    <t>10052076</t>
  </si>
  <si>
    <t>10052110</t>
  </si>
  <si>
    <t>10052112</t>
  </si>
  <si>
    <t>10052114</t>
  </si>
  <si>
    <t>10054147</t>
  </si>
  <si>
    <t>10057233</t>
  </si>
  <si>
    <t>10058342</t>
  </si>
  <si>
    <t>10058821</t>
  </si>
  <si>
    <t>10061008</t>
  </si>
  <si>
    <t>10061010</t>
  </si>
  <si>
    <t>10061013</t>
  </si>
  <si>
    <t>10061060</t>
  </si>
  <si>
    <t>10061099</t>
  </si>
  <si>
    <t>10063101</t>
  </si>
  <si>
    <t>10063102</t>
  </si>
  <si>
    <t>10063103</t>
  </si>
  <si>
    <t>10065013</t>
  </si>
  <si>
    <t>10066215</t>
  </si>
  <si>
    <t>10066216</t>
  </si>
  <si>
    <t>10066217</t>
  </si>
  <si>
    <t>10067042</t>
  </si>
  <si>
    <t>10076520</t>
  </si>
  <si>
    <t>10076532</t>
  </si>
  <si>
    <t>10076782</t>
  </si>
  <si>
    <t>10076880</t>
  </si>
  <si>
    <t>10079023</t>
  </si>
  <si>
    <t>10080616</t>
  </si>
  <si>
    <t>10083460</t>
  </si>
  <si>
    <t>10083462</t>
  </si>
  <si>
    <t>10088045</t>
  </si>
  <si>
    <t>10099045</t>
  </si>
  <si>
    <t>10100028</t>
  </si>
  <si>
    <t>10100030</t>
  </si>
  <si>
    <t>10100031</t>
  </si>
  <si>
    <t>10100278</t>
  </si>
  <si>
    <t>10100282</t>
  </si>
  <si>
    <t>10100364</t>
  </si>
  <si>
    <t>10100487</t>
  </si>
  <si>
    <t>Sales Order</t>
  </si>
  <si>
    <t>Sales Order Item</t>
  </si>
  <si>
    <t>Key Account #</t>
  </si>
  <si>
    <t>Sales Order Type</t>
  </si>
  <si>
    <t>Creation Date</t>
  </si>
  <si>
    <t>Order Status</t>
  </si>
  <si>
    <t>Rejection Status</t>
  </si>
  <si>
    <t>Sold To Party</t>
  </si>
  <si>
    <t>Ship To Party</t>
  </si>
  <si>
    <t>Material</t>
  </si>
  <si>
    <t>Material Description</t>
  </si>
  <si>
    <t>Order Quantity (CS)</t>
  </si>
  <si>
    <t>Confirmed Quantity (CS)</t>
  </si>
  <si>
    <t>Picked Quantity (CS)</t>
  </si>
  <si>
    <t>Invoice Quantity (CS)</t>
  </si>
  <si>
    <t>Invoice #</t>
  </si>
  <si>
    <t>Outbound Delivery #</t>
  </si>
  <si>
    <t>Confirmed Quantity (KG)</t>
  </si>
  <si>
    <t>Invoice Item Amount</t>
  </si>
  <si>
    <t>Invoice Quantity (KG)</t>
  </si>
  <si>
    <t>Item Net Amount</t>
  </si>
  <si>
    <t>Item Net Amount (Confirmed)</t>
  </si>
  <si>
    <t>Order Quantity</t>
  </si>
  <si>
    <t>Order Quantity (KG)</t>
  </si>
  <si>
    <t>Picked Quantity (KG)</t>
  </si>
  <si>
    <t>Plant</t>
  </si>
  <si>
    <t>Ship To Name</t>
  </si>
  <si>
    <t>BBD / Shelf Life</t>
  </si>
  <si>
    <t>Item Value</t>
  </si>
  <si>
    <t>Requested Delivery Date</t>
  </si>
  <si>
    <t>Ship to Arrive Date</t>
  </si>
  <si>
    <t>3002794</t>
  </si>
  <si>
    <t>ONIND</t>
  </si>
  <si>
    <t>ZORA</t>
  </si>
  <si>
    <t>C</t>
  </si>
  <si>
    <t>A</t>
  </si>
  <si>
    <t>10214530</t>
  </si>
  <si>
    <t>20214530</t>
  </si>
  <si>
    <t>DC CLOTTED CREAM 12X170G</t>
  </si>
  <si>
    <t>NIAGARA HOME BAKERY</t>
  </si>
  <si>
    <t>3008049</t>
  </si>
  <si>
    <t>10117761</t>
  </si>
  <si>
    <t>20117761</t>
  </si>
  <si>
    <t>SNO AMBER MIST 6X200G</t>
  </si>
  <si>
    <t>MENDEL'S GLOBAL CHEESE (ONLY)</t>
  </si>
  <si>
    <t>3008050</t>
  </si>
  <si>
    <t>10117598</t>
  </si>
  <si>
    <t>20117598</t>
  </si>
  <si>
    <t>FOOD DEPOT INT INC (WHOLESALE)</t>
  </si>
  <si>
    <t>3008307</t>
  </si>
  <si>
    <t>10717283</t>
  </si>
  <si>
    <t>20717283</t>
  </si>
  <si>
    <t>LA BOTTEGA (CHEESE)</t>
  </si>
  <si>
    <t>3009475</t>
  </si>
  <si>
    <t>BCIND</t>
  </si>
  <si>
    <t>10066089</t>
  </si>
  <si>
    <t>20066089</t>
  </si>
  <si>
    <t>SOH PRETZELS MINI</t>
  </si>
  <si>
    <t>SUNRISE MARKET  CLEAROUT</t>
  </si>
  <si>
    <t>3010042</t>
  </si>
  <si>
    <t>LIQID</t>
  </si>
  <si>
    <t>10000912</t>
  </si>
  <si>
    <t>20000912</t>
  </si>
  <si>
    <t>STW 170G FIRM APPNZLR STYL</t>
  </si>
  <si>
    <t>NUTRI-GLOBE-P/U FROM CALGARY W/H</t>
  </si>
  <si>
    <t>3010875</t>
  </si>
  <si>
    <t>FSIND</t>
  </si>
  <si>
    <t>10074880</t>
  </si>
  <si>
    <t>20074880</t>
  </si>
  <si>
    <t>WORLDWIDE SPECIALTY FOODS LTD</t>
  </si>
  <si>
    <t>3011082</t>
  </si>
  <si>
    <t>ATIND</t>
  </si>
  <si>
    <t>10000813</t>
  </si>
  <si>
    <t>20000813</t>
  </si>
  <si>
    <t>IRELAND MATURE CHED BULK 2X2.5KG</t>
  </si>
  <si>
    <t>DOLMA FOOD</t>
  </si>
  <si>
    <t>3011635</t>
  </si>
  <si>
    <t>10120116</t>
  </si>
  <si>
    <t>20120116</t>
  </si>
  <si>
    <t>MULDER MEATS (1983) LTD</t>
  </si>
  <si>
    <t>3013228</t>
  </si>
  <si>
    <t>10120219</t>
  </si>
  <si>
    <t>20120219</t>
  </si>
  <si>
    <t>THE MILL STREET CHEESE MARKET</t>
  </si>
  <si>
    <t>3015332</t>
  </si>
  <si>
    <t>10049999</t>
  </si>
  <si>
    <t>20049999</t>
  </si>
  <si>
    <t>BEL BOUR 150G GARLIC &amp; HERB</t>
  </si>
  <si>
    <t>OLD COUNTRY MKT ALBERNI DELI</t>
  </si>
  <si>
    <t>CLAWSON HUNTSMN 5 LAY BULK 2X2KG</t>
  </si>
  <si>
    <t>3016217</t>
  </si>
  <si>
    <t>10125105</t>
  </si>
  <si>
    <t>20125105</t>
  </si>
  <si>
    <t>BAL SNACKS CHOCO LATTE</t>
  </si>
  <si>
    <t>ELLIOT LAKE MEATS AND DELI</t>
  </si>
  <si>
    <t>3019222</t>
  </si>
  <si>
    <t>3019356</t>
  </si>
  <si>
    <t>10150032</t>
  </si>
  <si>
    <t>20150032</t>
  </si>
  <si>
    <t>SNO BLACK BOMBER 1X2KG</t>
  </si>
  <si>
    <t>COUNTRY TRADITIONS FROZEN FOODS</t>
  </si>
  <si>
    <t>CB CRUNCHY PEANUT BUTTER</t>
  </si>
  <si>
    <t>3019752</t>
  </si>
  <si>
    <t>10062506</t>
  </si>
  <si>
    <t>20062506</t>
  </si>
  <si>
    <t>CL GOODA CHEESE SPICED</t>
  </si>
  <si>
    <t>LO-BOY MARKET          CLEARANCE</t>
  </si>
  <si>
    <t>KC SEA SALT 56G GF</t>
  </si>
  <si>
    <t>3019989</t>
  </si>
  <si>
    <t>10225936</t>
  </si>
  <si>
    <t>20225936</t>
  </si>
  <si>
    <t>CC CHED W HORSERADISH 12X150G</t>
  </si>
  <si>
    <t>ALMOST PERFECT</t>
  </si>
  <si>
    <t>3021494</t>
  </si>
  <si>
    <t>10000913</t>
  </si>
  <si>
    <t>20000913</t>
  </si>
  <si>
    <t>CAPE CHIPS SALT LS FAT 220G</t>
  </si>
  <si>
    <t>NUTRI-GLOBE-P/U FR SURREY BRANCH</t>
  </si>
  <si>
    <t>3022985</t>
  </si>
  <si>
    <t>10130665</t>
  </si>
  <si>
    <t>20130665</t>
  </si>
  <si>
    <t>SCHEFFLERS MEAT (CHEESE)</t>
  </si>
  <si>
    <t>3023002</t>
  </si>
  <si>
    <t>10120237</t>
  </si>
  <si>
    <t>20120237</t>
  </si>
  <si>
    <t>ALEX FARMS CHEESE</t>
  </si>
  <si>
    <t>3023207</t>
  </si>
  <si>
    <t>IL APPLEWOOD SMKD SLICES 8X180G</t>
  </si>
  <si>
    <t>3023390</t>
  </si>
  <si>
    <t>IRS TORTO SWT ORNG OIL SEV</t>
  </si>
  <si>
    <t>RB CINNAMON SPICE TWINKLES</t>
  </si>
  <si>
    <t>RB MINI SNOWFLAKES</t>
  </si>
  <si>
    <t>LBS POSH PRALINE ALMD 45G</t>
  </si>
  <si>
    <t>3023399</t>
  </si>
  <si>
    <t>NUPST VEGAN CHILI</t>
  </si>
  <si>
    <t>3026929</t>
  </si>
  <si>
    <t>3027374</t>
  </si>
  <si>
    <t>BD ALM BREEZE UNSWT VANILLA</t>
  </si>
  <si>
    <t>3027489</t>
  </si>
  <si>
    <t>3028127</t>
  </si>
  <si>
    <t>NATUR-A MINI SOY VANILLA ORG</t>
  </si>
  <si>
    <t>3028474</t>
  </si>
  <si>
    <t>3029800</t>
  </si>
  <si>
    <t>SCHAR PIZZA CRUST GF</t>
  </si>
  <si>
    <t>3030829</t>
  </si>
  <si>
    <t>B</t>
  </si>
  <si>
    <t>CB CHOCOLATE ALMOND FUDGE</t>
  </si>
  <si>
    <t>3035878</t>
  </si>
  <si>
    <t>BD ALM BREEZE VANILLA</t>
  </si>
  <si>
    <t>3037053</t>
  </si>
  <si>
    <t>3038967</t>
  </si>
  <si>
    <t>10182593</t>
  </si>
  <si>
    <t>20182593</t>
  </si>
  <si>
    <t>ZARKY'S FINE FOODS</t>
  </si>
  <si>
    <t>3038995</t>
  </si>
  <si>
    <t>3040453</t>
  </si>
  <si>
    <t>IL APPLEWD SMKD CHED BULK 2X3KG</t>
  </si>
  <si>
    <t>CC SHROPSHIRE BLUE BULK 2X2KG</t>
  </si>
  <si>
    <t>CC 1057 SCOTTISH CHED 12X200G</t>
  </si>
  <si>
    <t>3041680</t>
  </si>
  <si>
    <t>3042246</t>
  </si>
  <si>
    <t>10123006</t>
  </si>
  <si>
    <t>21000245</t>
  </si>
  <si>
    <t>AGROSGN BRIE DBL CREAM 170G</t>
  </si>
  <si>
    <t>NUTRI-GLOBE MARKETING</t>
  </si>
  <si>
    <t>3042247</t>
  </si>
  <si>
    <t>13000158</t>
  </si>
  <si>
    <t>21000254</t>
  </si>
  <si>
    <t>CL LAVENDER GOODA</t>
  </si>
  <si>
    <t>MULHOUSE FINE FOODS</t>
  </si>
  <si>
    <t>3042551</t>
  </si>
  <si>
    <t>3042752</t>
  </si>
  <si>
    <t>10013000</t>
  </si>
  <si>
    <t>20013000</t>
  </si>
  <si>
    <t>OKA CHEESE CLASSIQ 1X2.5KG</t>
  </si>
  <si>
    <t>BENNY'S WHOLESALE</t>
  </si>
  <si>
    <t>3045928</t>
  </si>
  <si>
    <t>3045968</t>
  </si>
  <si>
    <t>13000001</t>
  </si>
  <si>
    <t>21000001</t>
  </si>
  <si>
    <t>JW MINI SHRTBR STARS 1816X</t>
  </si>
  <si>
    <t>TOL Employee 2910</t>
  </si>
  <si>
    <t>3046835</t>
  </si>
  <si>
    <t>BCC  CHEESE BUFFALO MOZZARELLA</t>
  </si>
  <si>
    <t>CC MOROCCAN SPICE BULK 2X1.6KG</t>
  </si>
  <si>
    <t>3051021</t>
  </si>
  <si>
    <t>3052365</t>
  </si>
  <si>
    <t>10159306</t>
  </si>
  <si>
    <t>20159306</t>
  </si>
  <si>
    <t>BCC CHEESE BURRATA 6x250G</t>
  </si>
  <si>
    <t>3052465</t>
  </si>
  <si>
    <t>BCC CHEESE MINI BUFFALO BOCCONCINI</t>
  </si>
  <si>
    <t>3052502</t>
  </si>
  <si>
    <t>10780161</t>
  </si>
  <si>
    <t>20780161</t>
  </si>
  <si>
    <t>SGN SM CHEESE GOAT 180GR</t>
  </si>
  <si>
    <t>CANNING &amp; CORNWALLIS VALUFOODS</t>
  </si>
  <si>
    <t>OKA CHEESE SWIS SMKD 1X4.5KG</t>
  </si>
  <si>
    <t>OKA CHEESE LIGHT 1X2.5KG</t>
  </si>
  <si>
    <t>3053715</t>
  </si>
  <si>
    <t>3053717</t>
  </si>
  <si>
    <t>AGROSGN BRIE CHEVALR TC 650G</t>
  </si>
  <si>
    <t>OKA CHEESE ORIGINAL 1X2.5KG</t>
  </si>
  <si>
    <t>SABANA QUESO FRESCO</t>
  </si>
  <si>
    <t>3053745</t>
  </si>
  <si>
    <t>3054147</t>
  </si>
  <si>
    <t>SOH PRETZEL PIECE BUFFALO</t>
  </si>
  <si>
    <t>3054785</t>
  </si>
  <si>
    <t>3054962</t>
  </si>
  <si>
    <t>10117854</t>
  </si>
  <si>
    <t>20117854</t>
  </si>
  <si>
    <t>3054982</t>
  </si>
  <si>
    <t>3055442</t>
  </si>
  <si>
    <t>3056334</t>
  </si>
  <si>
    <t>3056403</t>
  </si>
  <si>
    <t>3056411</t>
  </si>
  <si>
    <t>3056435</t>
  </si>
  <si>
    <t>3056492</t>
  </si>
  <si>
    <t>10110520</t>
  </si>
  <si>
    <t>20110520</t>
  </si>
  <si>
    <t>LADY YORK</t>
  </si>
  <si>
    <t>3056507</t>
  </si>
  <si>
    <t>10125620</t>
  </si>
  <si>
    <t>20125620</t>
  </si>
  <si>
    <t>MASSTOWN CREAMERY LTD</t>
  </si>
  <si>
    <t>3056525</t>
  </si>
  <si>
    <t>3056729</t>
  </si>
  <si>
    <t>10001663</t>
  </si>
  <si>
    <t>20001663</t>
  </si>
  <si>
    <t>KC HONEY DIJON 56G GF</t>
  </si>
  <si>
    <t>FALCON ESSENTIALS</t>
  </si>
  <si>
    <t>3058318</t>
  </si>
  <si>
    <t>BEL BOUR 150G CRACKD BLK PEP</t>
  </si>
  <si>
    <t>3058545</t>
  </si>
  <si>
    <t>10125176</t>
  </si>
  <si>
    <t>20125176</t>
  </si>
  <si>
    <t>G&amp;J GROCERY LTD</t>
  </si>
  <si>
    <t>3058752</t>
  </si>
  <si>
    <t>BC 540G OLD CHEDDAR CHEESE</t>
  </si>
  <si>
    <t>3059050</t>
  </si>
  <si>
    <t>PRIND</t>
  </si>
  <si>
    <t>13000090</t>
  </si>
  <si>
    <t>21000165</t>
  </si>
  <si>
    <t>G.H. POPCORN CARAMEL 227G</t>
  </si>
  <si>
    <t>Liquidation Warehouse</t>
  </si>
  <si>
    <t>3059246</t>
  </si>
  <si>
    <t>3059261</t>
  </si>
  <si>
    <t>KC AIR FRIED TEXAS BBQ GF</t>
  </si>
  <si>
    <t>SOH PRETZEL PIECE CHEDDAR</t>
  </si>
  <si>
    <t>BEL BOUR 150GR SHAL &amp; CHIVES</t>
  </si>
  <si>
    <t>3059269</t>
  </si>
  <si>
    <t>10300060</t>
  </si>
  <si>
    <t>20300060</t>
  </si>
  <si>
    <t>JOE'S FOOD DISTRIBUTORS</t>
  </si>
  <si>
    <t>RUS GENOA SALAMI HOT</t>
  </si>
  <si>
    <t>3059272</t>
  </si>
  <si>
    <t>3059353</t>
  </si>
  <si>
    <t>3059864</t>
  </si>
  <si>
    <t>SHARWOODS CHUTNEY MANGO FS</t>
  </si>
  <si>
    <t>3060416</t>
  </si>
  <si>
    <t>3060482</t>
  </si>
  <si>
    <t>3060501</t>
  </si>
  <si>
    <t>PC SHREDDED FIERY JACK STYLE</t>
  </si>
  <si>
    <t>3060691</t>
  </si>
  <si>
    <t>3061198</t>
  </si>
  <si>
    <t>KC CHEDDAR 56G GF</t>
  </si>
  <si>
    <t>SOH PRETZEL PIECE JALAPENO</t>
  </si>
  <si>
    <t>JRTS SOFT DRINK MANGO</t>
  </si>
  <si>
    <t>3061974</t>
  </si>
  <si>
    <t>MCB PIZZA ITALIAN PIZZA CRST</t>
  </si>
  <si>
    <t>3061983</t>
  </si>
  <si>
    <t>QCLIQ</t>
  </si>
  <si>
    <t>13000253</t>
  </si>
  <si>
    <t>21000442</t>
  </si>
  <si>
    <t>BD ALM BREEZE BARISTA FS</t>
  </si>
  <si>
    <t>Bouffe A Rabais</t>
  </si>
  <si>
    <t>3062049</t>
  </si>
  <si>
    <t>3062121</t>
  </si>
  <si>
    <t>10201237</t>
  </si>
  <si>
    <t>20201237</t>
  </si>
  <si>
    <t>ALICIA'S FINE FOOD</t>
  </si>
  <si>
    <t>3062755</t>
  </si>
  <si>
    <t>10000936</t>
  </si>
  <si>
    <t>20000936</t>
  </si>
  <si>
    <t>SOH PRETZEL STICKS</t>
  </si>
  <si>
    <t>COUNTRY TRADITIONS FOODSERVICE</t>
  </si>
  <si>
    <t>PMO-PA GNOCCHI SPINACH GF</t>
  </si>
  <si>
    <t>3062808</t>
  </si>
  <si>
    <t>SCHAR BREAD DELI SEEDED GF</t>
  </si>
  <si>
    <t>3063362</t>
  </si>
  <si>
    <t>BEL KIRI CHESSE 150G TUB</t>
  </si>
  <si>
    <t>3063673</t>
  </si>
  <si>
    <t>LR RICE JASMINE BROWN ORG</t>
  </si>
  <si>
    <t>CERES JUICE GUAVA</t>
  </si>
  <si>
    <t>SB ICED TEA LEMON</t>
  </si>
  <si>
    <t>3064361</t>
  </si>
  <si>
    <t>3064400</t>
  </si>
  <si>
    <t>STW 170G FARMSTD GRUYERE</t>
  </si>
  <si>
    <t>3064405</t>
  </si>
  <si>
    <t>10149732</t>
  </si>
  <si>
    <t>20149732</t>
  </si>
  <si>
    <t>SUPERIOR MEATS &amp; BAKERY LTD</t>
  </si>
  <si>
    <t>3064518</t>
  </si>
  <si>
    <t>3064989</t>
  </si>
  <si>
    <t>FT REFRESH LIGHT TONIC 4X200</t>
  </si>
  <si>
    <t>3065069</t>
  </si>
  <si>
    <t>CAPE CHIPS SALT VINEGR 220G</t>
  </si>
  <si>
    <t>CS TEA MORNING THUNDER BLK</t>
  </si>
  <si>
    <t>MCV DIGESTIVE MK CHOC 18591</t>
  </si>
  <si>
    <t>3065236</t>
  </si>
  <si>
    <t>LR RICE CILANTRO LIME ORG</t>
  </si>
  <si>
    <t>3066063</t>
  </si>
  <si>
    <t>10050006</t>
  </si>
  <si>
    <t>20050006</t>
  </si>
  <si>
    <t>OLD COUNTRY MKT ALBERNI CLEAROUT</t>
  </si>
  <si>
    <t>3066231</t>
  </si>
  <si>
    <t>3067157</t>
  </si>
  <si>
    <t>CAPE CHIPS JALAPENO 220G</t>
  </si>
  <si>
    <t>3067206</t>
  </si>
  <si>
    <t>3067218</t>
  </si>
  <si>
    <t>3067251</t>
  </si>
  <si>
    <t>10621400</t>
  </si>
  <si>
    <t>20621400</t>
  </si>
  <si>
    <t>WARD FOODS LTD</t>
  </si>
  <si>
    <t>3067280</t>
  </si>
  <si>
    <t>3067479</t>
  </si>
  <si>
    <t>3067868</t>
  </si>
  <si>
    <t>3068156</t>
  </si>
  <si>
    <t>MCV DIGESTIVE WHITE VANILLA</t>
  </si>
  <si>
    <t>3068456</t>
  </si>
  <si>
    <t>TST PUNJAB CHICKPEA MASALA</t>
  </si>
  <si>
    <t>3068492</t>
  </si>
  <si>
    <t>3068520</t>
  </si>
  <si>
    <t>3068524</t>
  </si>
  <si>
    <t>3068555</t>
  </si>
  <si>
    <t>BEL TLC CHEESE DIPPERS 1X</t>
  </si>
  <si>
    <t>3068610</t>
  </si>
  <si>
    <t>3068874</t>
  </si>
  <si>
    <t>SCHAR CRACKERS MULTIGRAIN GF</t>
  </si>
  <si>
    <t>SCHAR MUFFIN CLASSIC GF</t>
  </si>
  <si>
    <t>LBS HEARTY TAMARI 45G PP</t>
  </si>
  <si>
    <t>SCHAR BREAD A B 10GRN 8PK GF</t>
  </si>
  <si>
    <t>3068906</t>
  </si>
  <si>
    <t>10130584</t>
  </si>
  <si>
    <t>20130584</t>
  </si>
  <si>
    <t>OLYMPIC FOOD &amp; CHEESE MART CHSE</t>
  </si>
  <si>
    <t>3069321</t>
  </si>
  <si>
    <t>3069886</t>
  </si>
  <si>
    <t>3069942</t>
  </si>
  <si>
    <t>3070140</t>
  </si>
  <si>
    <t>3070811</t>
  </si>
  <si>
    <t>3071269</t>
  </si>
  <si>
    <t>3071605</t>
  </si>
  <si>
    <t>TST ORIG TIKKA MASALA</t>
  </si>
  <si>
    <t>3071922</t>
  </si>
  <si>
    <t>MACY'S CHEESESTK ORIG CHED</t>
  </si>
  <si>
    <t>3072286</t>
  </si>
  <si>
    <t>CB WH CHOC MACAD NUT</t>
  </si>
  <si>
    <t>JW FINGERS 40G BULK</t>
  </si>
  <si>
    <t>3072804</t>
  </si>
  <si>
    <t>3072826</t>
  </si>
  <si>
    <t>10161543</t>
  </si>
  <si>
    <t>20161543</t>
  </si>
  <si>
    <t>SHARPE'S FOOD MARKET</t>
  </si>
  <si>
    <t>3072829</t>
  </si>
  <si>
    <t>3073814</t>
  </si>
  <si>
    <t>3073992</t>
  </si>
  <si>
    <t>3075952</t>
  </si>
  <si>
    <t>10050004</t>
  </si>
  <si>
    <t>20050004</t>
  </si>
  <si>
    <t>OLD COUNTRY MKT SCHIDLER CLEAROU</t>
  </si>
  <si>
    <t>3076904</t>
  </si>
  <si>
    <t>3076937</t>
  </si>
  <si>
    <t>STW 170G FARMSTD EMMENTAL</t>
  </si>
  <si>
    <t>3076944</t>
  </si>
  <si>
    <t>10121043</t>
  </si>
  <si>
    <t>20121043</t>
  </si>
  <si>
    <t>SARNIA PRODUCE INC.</t>
  </si>
  <si>
    <t>3076946</t>
  </si>
  <si>
    <t>3076987</t>
  </si>
  <si>
    <t>3077006</t>
  </si>
  <si>
    <t>10120347</t>
  </si>
  <si>
    <t>20120347</t>
  </si>
  <si>
    <t>TASTE OF COUNTRY</t>
  </si>
  <si>
    <t>3077080</t>
  </si>
  <si>
    <t>3078352</t>
  </si>
  <si>
    <t>SF PRETZEL CRISP BITES RANCH</t>
  </si>
  <si>
    <t>3078467</t>
  </si>
  <si>
    <t>3078628</t>
  </si>
  <si>
    <t>3078694</t>
  </si>
  <si>
    <t>13000299</t>
  </si>
  <si>
    <t>21000882</t>
  </si>
  <si>
    <t>RED BARON FZ DDS PEPPERONI</t>
  </si>
  <si>
    <t>80122486</t>
  </si>
  <si>
    <t>NF Sales Ltd (Liquidation Guy)-CAL FRZ</t>
  </si>
  <si>
    <t>RED BARON FZ FL HT PIZZA MEAT LOVERS</t>
  </si>
  <si>
    <t>3078700</t>
  </si>
  <si>
    <t>21000941</t>
  </si>
  <si>
    <t>JW SHORTBREAD FINGERS    115</t>
  </si>
  <si>
    <t>LO-BOY MARKET CLEARANCE - SURREY DEL</t>
  </si>
  <si>
    <t>3079494</t>
  </si>
  <si>
    <t>TATES COOKIES OATMEAL RAISIN</t>
  </si>
  <si>
    <t>3082856</t>
  </si>
  <si>
    <t>SF PRETZEL CRISP BIT HNY MST</t>
  </si>
  <si>
    <t>3082863</t>
  </si>
  <si>
    <t>3082926</t>
  </si>
  <si>
    <t>10120870</t>
  </si>
  <si>
    <t>20120870</t>
  </si>
  <si>
    <t>MORRIS WHOLESALE LTD</t>
  </si>
  <si>
    <t>3082930</t>
  </si>
  <si>
    <t>3083190</t>
  </si>
  <si>
    <t>3083349</t>
  </si>
  <si>
    <t>3083626</t>
  </si>
  <si>
    <t>3084247</t>
  </si>
  <si>
    <t>3084267</t>
  </si>
  <si>
    <t>3084280</t>
  </si>
  <si>
    <t>CB CORNED BEEF</t>
  </si>
  <si>
    <t>3084290</t>
  </si>
  <si>
    <t>3085718</t>
  </si>
  <si>
    <t>PC SLICED FIERY JACK STYLE</t>
  </si>
  <si>
    <t>3085745</t>
  </si>
  <si>
    <t>3085763</t>
  </si>
  <si>
    <t>MCB PASTA PENNE W DATTERINO</t>
  </si>
  <si>
    <t>3085775</t>
  </si>
  <si>
    <t>3085806</t>
  </si>
  <si>
    <t>3085860</t>
  </si>
  <si>
    <t>FRANCE BLUE</t>
  </si>
  <si>
    <t>DC CLOTTED CRM CHERRY 12X170G</t>
  </si>
  <si>
    <t>3086072</t>
  </si>
  <si>
    <t>BC 170G EXTRA OLD WHT CHEDD</t>
  </si>
  <si>
    <t>3086073</t>
  </si>
  <si>
    <t>3086925</t>
  </si>
  <si>
    <t>80135689</t>
  </si>
  <si>
    <t>MCV DIGESTIVE DK CHOC 18592</t>
  </si>
  <si>
    <t>S.SPECIAL KEG CHILI RED</t>
  </si>
  <si>
    <t>LR RICE SUSHI</t>
  </si>
  <si>
    <t>3087207</t>
  </si>
  <si>
    <t>3087225</t>
  </si>
  <si>
    <t>3087375</t>
  </si>
  <si>
    <t>3088637</t>
  </si>
  <si>
    <t>3088645</t>
  </si>
  <si>
    <t>3088692</t>
  </si>
  <si>
    <t>3088697</t>
  </si>
  <si>
    <t>3088726</t>
  </si>
  <si>
    <t>3088764</t>
  </si>
  <si>
    <t>10300082</t>
  </si>
  <si>
    <t>20300082</t>
  </si>
  <si>
    <t>POSTICINO RISTORANTE</t>
  </si>
  <si>
    <t>3088984</t>
  </si>
  <si>
    <t>LR RICE BROWN SHRT GRAIN ORG</t>
  </si>
  <si>
    <t>80138304</t>
  </si>
  <si>
    <t>JW SHORTBRD CHOCO CHIP 1149</t>
  </si>
  <si>
    <t>CLIPPER RISE &amp; SHINE ORG</t>
  </si>
  <si>
    <t>TST SAUCE MANGO CURRY</t>
  </si>
  <si>
    <t>3089006</t>
  </si>
  <si>
    <t>NUPST VEGAN BOLOGNESE</t>
  </si>
  <si>
    <t>80138660</t>
  </si>
  <si>
    <t>KKM OYSTER FLAVORED SAUCE</t>
  </si>
  <si>
    <t>3089402</t>
  </si>
  <si>
    <t>20901194</t>
  </si>
  <si>
    <t>KKF FZN BREAD WHITE</t>
  </si>
  <si>
    <t>80138419</t>
  </si>
  <si>
    <t>COUNTRY TRADITIONS FROZEN FOODS FZ</t>
  </si>
  <si>
    <t>3089716</t>
  </si>
  <si>
    <t>3090119</t>
  </si>
  <si>
    <t>CC WHT STILT MANGO GING 2X1.15KG</t>
  </si>
  <si>
    <t>3090227</t>
  </si>
  <si>
    <t>3090271</t>
  </si>
  <si>
    <t>PMO-OI OIL OLIVE EXTRA VIR</t>
  </si>
  <si>
    <t>80140424</t>
  </si>
  <si>
    <t>3090375</t>
  </si>
  <si>
    <t>KKF ALL PURP FLOUR BLEND</t>
  </si>
  <si>
    <t>ANGIE'S PUFFS WHITE CHEDDAR 170G</t>
  </si>
  <si>
    <t>3090828</t>
  </si>
  <si>
    <t>10011610</t>
  </si>
  <si>
    <t>20011610</t>
  </si>
  <si>
    <t>THE CHEESE MAN</t>
  </si>
  <si>
    <t>BDM</t>
  </si>
  <si>
    <t>Brand Name</t>
  </si>
  <si>
    <t>Description</t>
  </si>
  <si>
    <t>Pack</t>
  </si>
  <si>
    <t>Size</t>
  </si>
  <si>
    <t>Pricing Date</t>
  </si>
  <si>
    <t>1 - Store Door</t>
  </si>
  <si>
    <t>2 - Wholesale</t>
  </si>
  <si>
    <t>Sold by Wt</t>
  </si>
  <si>
    <t>NANCY QUISPE PT</t>
  </si>
  <si>
    <t>JARRITOS</t>
  </si>
  <si>
    <t>JARRITOS TAMARIND SOFT DRINK</t>
  </si>
  <si>
    <t>370 ML</t>
  </si>
  <si>
    <t>JARRITOS MANDARIN SOFT DRINK</t>
  </si>
  <si>
    <t>JARRITOS COLA SOFT DRINK</t>
  </si>
  <si>
    <t>JARRITOS GUAVA SOFT DRINK</t>
  </si>
  <si>
    <t>JARRITOS LIME SOFT DRINK</t>
  </si>
  <si>
    <t>JARRITOS PINEAPPLE SOFT DRINK</t>
  </si>
  <si>
    <t>JARRITOS FRUIT PUNCH SOFT DRINK</t>
  </si>
  <si>
    <t>JARRITOS GRAPEFRUIT SOFT DRINK</t>
  </si>
  <si>
    <t>JARRITOS STRAWBERRY SOFT DRINK</t>
  </si>
  <si>
    <t>JARRITOS MANGO SOFT DRINK</t>
  </si>
  <si>
    <t>SANGRIA SENORIAL</t>
  </si>
  <si>
    <t>SANGRIA SENORIAL GRAPE CIDER SOFT DRINK</t>
  </si>
  <si>
    <t>330 ML</t>
  </si>
  <si>
    <t>JARRITOS WATERMELON SOFT DRINK</t>
  </si>
  <si>
    <t>JARRITOS MANDARIN 1.5 LT</t>
  </si>
  <si>
    <t>1.5 LT</t>
  </si>
  <si>
    <t>JARRITOS MANGO 1.5 LT</t>
  </si>
  <si>
    <t>JARRITOS PINEAPPLE 1.5 LT</t>
  </si>
  <si>
    <t>JARRITOS LIME 1.5 LT</t>
  </si>
  <si>
    <t>JARRITOS MINERAGUA</t>
  </si>
  <si>
    <t>LA COSTENA</t>
  </si>
  <si>
    <t>LA COSTENA GREEN MEXICAN SAUCE</t>
  </si>
  <si>
    <t>455 ML</t>
  </si>
  <si>
    <t>LA COSTENA HOMESTYLE MEXICAN SALSA</t>
  </si>
  <si>
    <t>LA COSTENA RED MOLE</t>
  </si>
  <si>
    <t>255 ML</t>
  </si>
  <si>
    <t>LA COSTENA CHIPOTLE PEPPERS</t>
  </si>
  <si>
    <t>186 ML</t>
  </si>
  <si>
    <t>LA COSTENA GREEN TOMATILLO</t>
  </si>
  <si>
    <t>820 GR</t>
  </si>
  <si>
    <t>LA COSTENA PICKLED JALAPENO NACHO SLICES</t>
  </si>
  <si>
    <t>477 GR</t>
  </si>
  <si>
    <t>LA COSTENA PICKLED SLICED JALAPENO</t>
  </si>
  <si>
    <t>LA COSTENA RANCHERA SAUCE</t>
  </si>
  <si>
    <t>LA COSTENA REFRIED BLACK BEANS</t>
  </si>
  <si>
    <t>546 ML</t>
  </si>
  <si>
    <t>LA COSTENA REFRIED PINTO BEANS</t>
  </si>
  <si>
    <t>LA COSTENA WHOLE BLACK BEANS</t>
  </si>
  <si>
    <t>528.3 ML</t>
  </si>
  <si>
    <t>LA COSTENA WHOLE JALAPENO</t>
  </si>
  <si>
    <t>200 ML</t>
  </si>
  <si>
    <t>LA COSTENA WHOLE PINTO BEANS</t>
  </si>
  <si>
    <t>LC MEXICAN HOT SAUCE</t>
  </si>
  <si>
    <t>138 GR</t>
  </si>
  <si>
    <t>LC DICED CHIPOTLE PEPPERS</t>
  </si>
  <si>
    <t>217 GR</t>
  </si>
  <si>
    <t>LC ENCHILADAS RED SAUCE</t>
  </si>
  <si>
    <t>408 ML</t>
  </si>
  <si>
    <t>LC GREEN ENCHILADA SAUCE</t>
  </si>
  <si>
    <t>LC WHITE HOMINY</t>
  </si>
  <si>
    <t>783 ML</t>
  </si>
  <si>
    <t>LC ADOBO PASTE</t>
  </si>
  <si>
    <t>234 GR</t>
  </si>
  <si>
    <t>AMOL PRAKASH</t>
  </si>
  <si>
    <t>NATURA FOODS</t>
  </si>
  <si>
    <t>NATUR-A ORGANIC ORIGINAL RICE BEVERAGE</t>
  </si>
  <si>
    <t>946 ML</t>
  </si>
  <si>
    <t>NATUR-A CHOCOLATE ENRICHED SOY BEVERAGE</t>
  </si>
  <si>
    <t>NATUR-A ORIGINAL ENRICHED SOY BEVERAGE</t>
  </si>
  <si>
    <t>NATUR-A VANILLA ENRICHED SOY BEVERAGE</t>
  </si>
  <si>
    <t>NATUR-A STRAWBERRY ENRICHED SOY BEVERAGE</t>
  </si>
  <si>
    <t>NATUR-A UNSWEETENED ENRICHED SOY BEVERAGE</t>
  </si>
  <si>
    <t>NATURA FORTIFIED ORGANIC GLUTEN-FREE OATBEVERAGE CHOCOLATE</t>
  </si>
  <si>
    <t>NATURA FORTIFIED ORGANIC GLUTEN-FREE OATBEVERAGE ORIGINAL</t>
  </si>
  <si>
    <t>NATURA FORTIFIED ORGANIC GLUTEN-FREE OATBEVERAGE VANILLA</t>
  </si>
  <si>
    <t>NATUR-A MINI VANILLA ORGANIC SOY BEVERAGE</t>
  </si>
  <si>
    <t>3X200 ML</t>
  </si>
  <si>
    <t>NATUR-A MINI ORGANIC STRAWBERRY SOY BEVERAGE</t>
  </si>
  <si>
    <t>NATUR-A MINI ORGANIC CHOCOLATE SOY BEVERAGE</t>
  </si>
  <si>
    <t>NATUR-A ORGANIC CAPUCCINO SOY BEVERAGE</t>
  </si>
  <si>
    <t>NATUR-A UNSWEETENED ENRICHED ALMOND BEVERAGE</t>
  </si>
  <si>
    <t>NATUR-A ENRICHED ALMOND BEVERAGE-ORIGINAL</t>
  </si>
  <si>
    <t>NATUR-A ENRICHED ALMOND BEVERAGE-CHOCOLATE</t>
  </si>
  <si>
    <t>NATUR-A MINI FORTIFIED ALMOND BEVERAGE CHOCOLATE</t>
  </si>
  <si>
    <t>NATURA ORGANIC GLUTEN-FREE OAT BEVERAGE SIMPLE</t>
  </si>
  <si>
    <t>NATUR-A GF OAT BARISTA PREMIUM 946 ML</t>
  </si>
  <si>
    <t>NATUR-A GF ORGANIC MINI OAT CHOCOLATE 200 ML</t>
  </si>
  <si>
    <t>JAMES TYSON</t>
  </si>
  <si>
    <t>CRUNCHMASTER</t>
  </si>
  <si>
    <t>CRUNCHMASTER ORIGINAL MULTI-SEED CRACKERS</t>
  </si>
  <si>
    <t>128 GR</t>
  </si>
  <si>
    <t>LUNDBERG RICE</t>
  </si>
  <si>
    <t>LUNDBERG ORGANIC CREAMY PARMESAN RISOTTO</t>
  </si>
  <si>
    <t>156 GR</t>
  </si>
  <si>
    <t>CRUNCHMASTER ROASTED GARLIC MULTI-SEED CRACKERS</t>
  </si>
  <si>
    <t>CRUNCHMASTER ROSEMARY &amp; OLIVE OIL MULTI-SEED CRACKERS</t>
  </si>
  <si>
    <t>CRUNCHMASTER AVOCADO TOAST SALT &amp; PEPPER</t>
  </si>
  <si>
    <t>100 GR</t>
  </si>
  <si>
    <t>CRUNCHMASTER AVOCADO TOAST GUACAMOLE</t>
  </si>
  <si>
    <t>JARRITOS PINEAPPLE 4 PACK</t>
  </si>
  <si>
    <t>4X370 ML</t>
  </si>
  <si>
    <t>JARRITOS MANDARIN 4 PACK</t>
  </si>
  <si>
    <t>JARRITOS LIME 4 PACK</t>
  </si>
  <si>
    <t>JARRITOS GRAPEFRUIT 4 PACK</t>
  </si>
  <si>
    <t>JARRITOS MANGO 4 PACK</t>
  </si>
  <si>
    <t>JARRITOS GUAVA 4 PACK</t>
  </si>
  <si>
    <t>JARRITOS FIESTA PACK PALLET</t>
  </si>
  <si>
    <t>12X370 ML</t>
  </si>
  <si>
    <t>MICHELLE JEWELL NT</t>
  </si>
  <si>
    <t>AMY'S KITCHEN INC.</t>
  </si>
  <si>
    <t>AMY'S KITCHEN SOUP LENTIL</t>
  </si>
  <si>
    <t>398 ML</t>
  </si>
  <si>
    <t>AMY'S KITCHEN SOUP NO CHICKEN NOODLE</t>
  </si>
  <si>
    <t>AMY'S KITCHEN SOUP MINESTRONE</t>
  </si>
  <si>
    <t>AMY'S KITCHEN SOUP CREAM OF TOMATO</t>
  </si>
  <si>
    <t>AMY'S KITCHEN SOUP BLACK BEAN VEGETABLE</t>
  </si>
  <si>
    <t>AMY'S KITCHEN SOUP SPLIT PEA</t>
  </si>
  <si>
    <t>AMY'S KITCHEN SOUP VEGETABLE BARLEY</t>
  </si>
  <si>
    <t>AMY'S KITCHEN CHILI MEDIUM</t>
  </si>
  <si>
    <t>AMY'S KITCHEN ORGANIC CHILI MEDIUM WITH VEGETABLES</t>
  </si>
  <si>
    <t>AMY'S KITCHEN ORGANIC CHILI SPICY</t>
  </si>
  <si>
    <t>ASIF AHMAD GB</t>
  </si>
  <si>
    <t>EDEN FOODS INC</t>
  </si>
  <si>
    <t>EDEN ORGANIC CANNELLINI BEANS</t>
  </si>
  <si>
    <t>EDEN ORGANIC GARBANZO BEAN LOW FAT</t>
  </si>
  <si>
    <t>EDEN ORGANIC KIDNEY BEANS FAT FREE</t>
  </si>
  <si>
    <t>KINNIKINNICK</t>
  </si>
  <si>
    <t>KINNIKINNICK MONTANA'S CHOCOLATE CHIP COOKIES</t>
  </si>
  <si>
    <t>220 GR</t>
  </si>
  <si>
    <t>MAYACAMAS</t>
  </si>
  <si>
    <t>MAYACAMAS ALFREDO PASTA SAUCE MIX</t>
  </si>
  <si>
    <t>28 GR</t>
  </si>
  <si>
    <t>MAYACAMAS PESTO SAUCE MIX FOR PASTA</t>
  </si>
  <si>
    <t>14 GR</t>
  </si>
  <si>
    <t>MAYACAMAS CREAMY PESTO SAUCE MIX FOR PASTA</t>
  </si>
  <si>
    <t>MAYACAMAS HOLLANDAISE SAUCE MIX</t>
  </si>
  <si>
    <t>MAYACAMAS BERNAISE SAUCE MIX</t>
  </si>
  <si>
    <t>MAYACAMAS DEMI-GLACE SAUCE MIX</t>
  </si>
  <si>
    <t>20 GR</t>
  </si>
  <si>
    <t>OMEGA</t>
  </si>
  <si>
    <t>OMEGA FLAX SEED OIL 355ML</t>
  </si>
  <si>
    <t>355 ML</t>
  </si>
  <si>
    <t>OMEGA FLAX SEED OIL 946ML</t>
  </si>
  <si>
    <t>BOBS RED MILL</t>
  </si>
  <si>
    <t>BOB'S RED MILL GLUTEN FREE ALL PURPOSE BAKING FLOUR 11.34 KG</t>
  </si>
  <si>
    <t>11.34 KG</t>
  </si>
  <si>
    <t>MICHELLE MCROBERT NT</t>
  </si>
  <si>
    <t>SUSHI CHEF</t>
  </si>
  <si>
    <t>SUSHI CHEF SESAME SEEDS</t>
  </si>
  <si>
    <t>106 GR</t>
  </si>
  <si>
    <t>SUSHI CHEF PICKLED GINGER</t>
  </si>
  <si>
    <t>177 GR</t>
  </si>
  <si>
    <t>SUSHI CHEF MAKING KIT</t>
  </si>
  <si>
    <t>SUSHI KIT</t>
  </si>
  <si>
    <t>SUSHI CHEF WHITE MISO SOUP</t>
  </si>
  <si>
    <t>SUSHI CHEF RED MISO SOUP</t>
  </si>
  <si>
    <t>15 GR</t>
  </si>
  <si>
    <t>TINKYADA</t>
  </si>
  <si>
    <t>TINKYADA WHITE RICE SPAGHETTI PASTA</t>
  </si>
  <si>
    <t>454 GR</t>
  </si>
  <si>
    <t>TINKYADA BROWN RICE SPIRALS PASTA</t>
  </si>
  <si>
    <t>TINKYADA BROWN RICE ELBOWS PASTA</t>
  </si>
  <si>
    <t>TINKYADA SPINACH BROWN RICE SPAGHETTI PASTA</t>
  </si>
  <si>
    <t>340 GR</t>
  </si>
  <si>
    <t>TINKYADA ORGANIC BROWN SPAGHETTI PASTA</t>
  </si>
  <si>
    <t>TINKYADA ORGANIC BROWN SPIRALS PASTA</t>
  </si>
  <si>
    <t>TINKYADA ORGANIC BROWN RICE PENNE PASTA</t>
  </si>
  <si>
    <t>KINNIKINNICK GLUTEN FREE ANGEL FOOD CAKE MIX</t>
  </si>
  <si>
    <t>450 GR</t>
  </si>
  <si>
    <t>KINNIKINNICK GLUTEN FREE CHOCOLATE CAKE MIX</t>
  </si>
  <si>
    <t>500 GR</t>
  </si>
  <si>
    <t>KINNIKINNICK GLUTEN FREE WHITE CAKE MIX</t>
  </si>
  <si>
    <t>KINNIKINNICK GLUTEN FREE ALL PURPOSE FLOUR BLEND</t>
  </si>
  <si>
    <t>KINNIKINNICK PANKO STYLE BREAD CRUMBS</t>
  </si>
  <si>
    <t>350 GR</t>
  </si>
  <si>
    <t>KINNIKINNICK GRAHAM CRUMBS</t>
  </si>
  <si>
    <t>300 GR</t>
  </si>
  <si>
    <t>KINNIKINNICK KINNIKRITTERS GRAHAM ANIMAL COOKIES</t>
  </si>
  <si>
    <t>KINNIKINNICK GLUTEN FREE PANCAKE &amp; WAFFLE MIX</t>
  </si>
  <si>
    <t>LUNDBERG GLUTEN FREE WILD BLEND GOURMET NATURAL BROWN RICE</t>
  </si>
  <si>
    <t>LUNDBERG NUTRA-FARMED CALIFORNIA BROWN BASMATI RICE</t>
  </si>
  <si>
    <t>907 GR</t>
  </si>
  <si>
    <t>LUNDBERG NUTRA-FARMED CALIFORNIA WHITE JASMINE RICE</t>
  </si>
  <si>
    <t>LUNDBERG NUTRA-FARMED CALIFORNIA WHITE ARBORIO RICE</t>
  </si>
  <si>
    <t>LUNDBERG NUTRA-FARMED CALIFORNIA WHITE BASMATI RICE</t>
  </si>
  <si>
    <t>LUNDBERG ORGANIC CALFORNIA BROWN BASMATI RICE</t>
  </si>
  <si>
    <t>LUNDBERG ORGANIC CALFORNIA WHITE BASMATI RICE</t>
  </si>
  <si>
    <t>LUNDBERG RICE ORGANIC CALIFORNIA BROWN JASMINE RICE</t>
  </si>
  <si>
    <t>LUNDBERG ORGANIC GLUTEN FREE RICE CALIFORNIA WHITE JASMINE RICE</t>
  </si>
  <si>
    <t>LUNDBERG ORGANIC LONG GRAIN BROWN RICE</t>
  </si>
  <si>
    <t>LUNDBERG ORGANIC SHORT GRAIN BROWN RICE</t>
  </si>
  <si>
    <t>LUNDBERG ORGANIC SUSHI RICE SHORT GRAIN RICE</t>
  </si>
  <si>
    <t>SIMPLY DESSERTS</t>
  </si>
  <si>
    <t>SIMPLY DESSERTS CHOCOLATE PUDDING AND PIE FILLING</t>
  </si>
  <si>
    <t>48 GR</t>
  </si>
  <si>
    <t>SIMPLY DESSERTS ORANGE JEL DESSERT</t>
  </si>
  <si>
    <t>SIMPLY DESSERTS PEACH JEL DESSERT</t>
  </si>
  <si>
    <t>SIMPLY DESSERTS RASPBERRY JEL DESSERT</t>
  </si>
  <si>
    <t>SIMPLY DESSERTS STRAWBERRY JEL DESSERT</t>
  </si>
  <si>
    <t>SIMPLY DESSERTS STRAWBERRY PUDDING AND PIE FILLING</t>
  </si>
  <si>
    <t>SIMPLY DESSERTS VANILLA PUDDING AND PIE FILLING</t>
  </si>
  <si>
    <t>SUSHI CHEF NORI SEAWEED SHEETS</t>
  </si>
  <si>
    <t>13 GR</t>
  </si>
  <si>
    <t>SUSHI CHEF RICE VINEGAR DRESSING FOR SUSHI</t>
  </si>
  <si>
    <t>296 ML</t>
  </si>
  <si>
    <t>SUSHI CHEF REDUCED SODIUM SOY SAUCE</t>
  </si>
  <si>
    <t>SUSHI CHEF MIRIN-TRADITIONAL JAPANESE SWEETENED SAKE</t>
  </si>
  <si>
    <t>SUSHI CHEF EXTRA FANCY SHORT GRAIN RICE</t>
  </si>
  <si>
    <t>567 GR</t>
  </si>
  <si>
    <t>SUSHI CHEF BAMBOO ROLLING MAT AND PADDLE</t>
  </si>
  <si>
    <t>SUSHI CHEF PANKO (JAPANESE BREAD FLAKES)</t>
  </si>
  <si>
    <t>227 GR</t>
  </si>
  <si>
    <t>SUSHI CHEF 100% PURE JAPANESE SESAME OIL</t>
  </si>
  <si>
    <t>148 ML</t>
  </si>
  <si>
    <t>SUSHI CHEF TUXEDO SESAME SEEDS</t>
  </si>
  <si>
    <t>107 GR</t>
  </si>
  <si>
    <t>KINNIKINNICK FSP GLUTEN FREE ALL PURPOSEFLOUR BLEND</t>
  </si>
  <si>
    <t>4.53 KG</t>
  </si>
  <si>
    <t>KINNIKINNICK FSP GLUTEN FREE PANCAKE &amp; WAFFLE MIX</t>
  </si>
  <si>
    <t>KINNIKINNICK FSP GF GRAHAM CRUMBS</t>
  </si>
  <si>
    <t>KINNIKINNI KKF FSP GF CRUMBS PANKO</t>
  </si>
  <si>
    <t>SIMPLY DESSERTS LIME JEL DESSERT</t>
  </si>
  <si>
    <t>SIMPLY DESSERTS BLACK CHERRY W/ PROBIOTICS JEL DESSERT</t>
  </si>
  <si>
    <t>18 GR</t>
  </si>
  <si>
    <t>SIMPLY DESSERTS BANANA INSTANT PUDDING</t>
  </si>
  <si>
    <t>SIMPLY DESSERTS UNFLAVOURED JEL DESSERT</t>
  </si>
  <si>
    <t>7 GR</t>
  </si>
  <si>
    <t>SIMPLY DESSERTS BUTTERSCOTCH KETO PUDDING</t>
  </si>
  <si>
    <t>SIMPLY DELISH SHIPPER 48CT</t>
  </si>
  <si>
    <t>SHIPPER</t>
  </si>
  <si>
    <t>LUNDBERG ORGANIC BROWN RICE CAKE LIGHTLYSALTED</t>
  </si>
  <si>
    <t>241 GR</t>
  </si>
  <si>
    <t>LUNDBERG BROWN RICE CAKE UNSALTED</t>
  </si>
  <si>
    <t>LUNDBERG ORG BROWN RICE CAKE - WILD</t>
  </si>
  <si>
    <t>NATASHA KING PR</t>
  </si>
  <si>
    <t>CHEESELAND HOLLAND</t>
  </si>
  <si>
    <t>CHEESELAND NATURAL SMOKED GOODA CHEESE HOLLAND</t>
  </si>
  <si>
    <t>4.5 KG</t>
  </si>
  <si>
    <t>CHEESELAND HONEY BEE GOAT CHEESE HOLLAND</t>
  </si>
  <si>
    <t>4.0 KG</t>
  </si>
  <si>
    <t>CHEESELAND DOUBLE CREAM GOODA CHEESE HOLLAND</t>
  </si>
  <si>
    <t>CHEESELAND KOKOS COCONUT CHEESE HOLLAND</t>
  </si>
  <si>
    <t>Michael Gambino PR</t>
  </si>
  <si>
    <t>BAUERNBROT</t>
  </si>
  <si>
    <t>BAUERNBROT THREE GRAIN BREAD GERMANY</t>
  </si>
  <si>
    <t>BAUERNBROT FITNESS BREAD GERMANY</t>
  </si>
  <si>
    <t>BAUERNBROT PUMPERNICKEL BREAD GERMANY</t>
  </si>
  <si>
    <t>BAUERNBROT RYE BREAD GERMANY</t>
  </si>
  <si>
    <t>BAUERNBROT ORGANIC RYE BREAD GERMANY</t>
  </si>
  <si>
    <t>BAUERNBROT ORGANIC SUNFLOWER SEED BREAD GERMANY</t>
  </si>
  <si>
    <t>BAUERNBROT ORGANIC THREE GRAIN BREAD GERMANY</t>
  </si>
  <si>
    <t>ANNA MARIA D'ANGELA</t>
  </si>
  <si>
    <t>ANGIES ARTISAN TREAT</t>
  </si>
  <si>
    <t>ANGIE'S DARK CHOCOLATIER SEA SALT HOLIDRIZZLE KETTLE CORN</t>
  </si>
  <si>
    <t>ANGIE'S WHITE CHOCOLATIER PEPPERMINT KETTLE CORN</t>
  </si>
  <si>
    <t>CHEESELAND TRUFFE NOIRE CHEESE WITH TRUFFLES HOLLAND</t>
  </si>
  <si>
    <t>ANGIE'S SHIPPER HOLIDRIZZLE 60 COUNT</t>
  </si>
  <si>
    <t>CHEESELAND EWEPHORIA AGED SHEEP MILK CHEESE</t>
  </si>
  <si>
    <t>CHEESELAND GOODA WITH WALNUTS</t>
  </si>
  <si>
    <t>CHEESELAND GOODA WITH OLIVES AND TOMATO</t>
  </si>
  <si>
    <t>CHEESELAND GOODA WITH FINE HERBS</t>
  </si>
  <si>
    <t>CHEESELAND GOODA W CHILI HOT PEPPERS</t>
  </si>
  <si>
    <t>CHEESELAND GOAT CHEESE WITH CRANBERRIES XMAS</t>
  </si>
  <si>
    <t>5 KG</t>
  </si>
  <si>
    <t>CHEESELAND GOUDA CHS SPICED WITH CUMIN SEEDS</t>
  </si>
  <si>
    <t>CHEESELAND TWO SISTER ISABELLA AGED DUTCH CHEESE</t>
  </si>
  <si>
    <t>250 GR</t>
  </si>
  <si>
    <t>CHEESELAND RED PESTO TOMATO BASED GOUDA CHEESE</t>
  </si>
  <si>
    <t>CHEESELAND LAVENDER GOUDA CHEESE</t>
  </si>
  <si>
    <t>CHEESELAND DELFT BLUE GOUDA CHEESE</t>
  </si>
  <si>
    <t>CHEESELAND MIMOLETTE MATURED</t>
  </si>
  <si>
    <t>3.75 KG</t>
  </si>
  <si>
    <t>CHEESELAND CRANBERRY VAN GOAT CHEESE</t>
  </si>
  <si>
    <t>CHEESELAND FENUGREEK VAN GOAT CHEESE</t>
  </si>
  <si>
    <t>CHEESELAND TRUFFLE VAN GOAT CHEESE</t>
  </si>
  <si>
    <t>HENGSTENBERG</t>
  </si>
  <si>
    <t>HENGSTENBERG BAVARIAN STYLE SAUERKRAUT</t>
  </si>
  <si>
    <t>720 ML</t>
  </si>
  <si>
    <t>HENGSTENBERG RED CABBAGE WITH APPLE 720ML</t>
  </si>
  <si>
    <t>HENGSTENBERG RED CABBAGE 720ML</t>
  </si>
  <si>
    <t>HENGSTENBERG KNAX CRUNCHY GHERKINS</t>
  </si>
  <si>
    <t>HENGSTENBERG MILDESSA MILD WINE SAUERKRAUT 796ML</t>
  </si>
  <si>
    <t>796 ML</t>
  </si>
  <si>
    <t>HENGSTENBERG ORO TOMATO PASTE TRIPLE CONCENTRATE TUBE</t>
  </si>
  <si>
    <t>HENGSTENBERG SAUERKRAUT 10,200 ML</t>
  </si>
  <si>
    <t>10200 ML</t>
  </si>
  <si>
    <t>HENGSTENBERG RED CABBAGE 4,250 ML</t>
  </si>
  <si>
    <t>4250 ML</t>
  </si>
  <si>
    <t>HENGSTENBERG SANDWICH GHERKINS 2,650 ML</t>
  </si>
  <si>
    <t>2650 ML</t>
  </si>
  <si>
    <t>HENGSTENBERG SAUERKRAUT WITHOUT WINE</t>
  </si>
  <si>
    <t>Karishma Salian</t>
  </si>
  <si>
    <t>SKY RANCH</t>
  </si>
  <si>
    <t>SKY RANCH FZ 6" AUTHENTIC TORTILLA</t>
  </si>
  <si>
    <t>21.75 OZ</t>
  </si>
  <si>
    <t>SKY RANCH FZ 8" AUTHENTIC TORTILLA</t>
  </si>
  <si>
    <t>21 OZ</t>
  </si>
  <si>
    <t>SKY RANCH FZ 10" AUTHENTIC TORTILLA</t>
  </si>
  <si>
    <t>32 OZ</t>
  </si>
  <si>
    <t>SKY RANCH FZ 12" AUTHENTIC TORTILLA</t>
  </si>
  <si>
    <t>40 OZ</t>
  </si>
  <si>
    <t>SKY RANCH FZ 13" AUTHENTIC TORTILLA</t>
  </si>
  <si>
    <t>50 OZ</t>
  </si>
  <si>
    <t>SKY RANCH FZ 10" AUTHENTIC WW TORTILLA</t>
  </si>
  <si>
    <t>SKY RANCH FZ 12" AUTHENTIC WW TORTILLA</t>
  </si>
  <si>
    <t>45.8 OZ</t>
  </si>
  <si>
    <t>ANABELA NEVES PR</t>
  </si>
  <si>
    <t>PRESERVATORY</t>
  </si>
  <si>
    <t>PRESERVATORY JAM BLUEBERRY &amp; BOURBON110G</t>
  </si>
  <si>
    <t>110 GR</t>
  </si>
  <si>
    <t>PRESERVATORY PRESERVE FIGS &amp; WALNUT WINE 110G</t>
  </si>
  <si>
    <t>PRESERVATORY SPREAD RASPBERRY MERLOT PEPPERCORN PRESERVES</t>
  </si>
  <si>
    <t>PRESERVATORY SPREAD RHUBARB &amp; VANILLA PRESERVES</t>
  </si>
  <si>
    <t>PRESERVATORY SPREAD PEACH JALAPENO &amp; TEQUILA</t>
  </si>
  <si>
    <t>PRESERVATORY PINEAPPLE WITH GINGER &amp; SAKE</t>
  </si>
  <si>
    <t>PRESERVATORY GREEN TOMATO AND GARAM MASALA</t>
  </si>
  <si>
    <t>PRESERVATORY CHEESE LOVER 40G TRIO GIFT PACK</t>
  </si>
  <si>
    <t>120 GR</t>
  </si>
  <si>
    <t>PRESERVATORY LEMON &amp; CHILE PEPPER JELLY</t>
  </si>
  <si>
    <t>STEFANI ARISANTI</t>
  </si>
  <si>
    <t>GRECIAN DELIGHT</t>
  </si>
  <si>
    <t>GRECIAN DELIGHT READY CARVED SELECT HALAL BEEF &amp; LAMB GYRO SLICES</t>
  </si>
  <si>
    <t>5 LB</t>
  </si>
  <si>
    <t>GRECIAN DELIGHT FALAFEL UNCOOKED FRITTERS</t>
  </si>
  <si>
    <t>4 LB</t>
  </si>
  <si>
    <t>NIKISHA MOHAMMED</t>
  </si>
  <si>
    <t>PASTIFICIO LIGUORI</t>
  </si>
  <si>
    <t>LIGUORI BRONZO PASTA SPAGHETTI 3</t>
  </si>
  <si>
    <t>LIGUORI BRONZO PASTA SPAGH CHITARRA 5</t>
  </si>
  <si>
    <t>LIGUORI BRONZO PASTA LINGUINE 7</t>
  </si>
  <si>
    <t>LIGUORI BRONZO PASTA ELICOIDALI 29</t>
  </si>
  <si>
    <t>LIGUORI BRONZO PASTA FARFELLE 30</t>
  </si>
  <si>
    <t>LIGUORI BRONZO PASTA FUSILLI 31</t>
  </si>
  <si>
    <t>LIGUORI BRONZO PASTA PENNE RIGATE 42</t>
  </si>
  <si>
    <t>LIGUORI BRONZO PASTA PENNE ZITTI 44</t>
  </si>
  <si>
    <t>LIGUORI BRONZO PASTA ELBOWS 81</t>
  </si>
  <si>
    <t>LIGUORI BRONZO PASTA DITALI RIGATI 83</t>
  </si>
  <si>
    <t>LIGUORI BRONZO PASTA FARFALLINE 85</t>
  </si>
  <si>
    <t>JOHN MACYS CHEESESTK</t>
  </si>
  <si>
    <t>MACY'S ASIAGO &amp; CHEDDAR CHEESECRISPS</t>
  </si>
  <si>
    <t>127 GR</t>
  </si>
  <si>
    <t>MACY'S MELTING ROMANO CHEESECRISPS</t>
  </si>
  <si>
    <t>MACY'S CHIPOTLE &amp; CHEDDAR CHEESECRISPS</t>
  </si>
  <si>
    <t>MACY'S ORIGINAL CHEDDAR CHEESESTICKS</t>
  </si>
  <si>
    <t>113 GR</t>
  </si>
  <si>
    <t>MACY'S MELTING PARMESAN CHEESESTICKS</t>
  </si>
  <si>
    <t>MACY'S GARLIC ROMANO CHEESESTICKS</t>
  </si>
  <si>
    <t>MACY'S CHEESESTICKS ASSORTMENT SHIPPER 48 COUNT</t>
  </si>
  <si>
    <t>MACY'SCHEESECRISPS ASSORTMENT SHIPPER 48 COUNT</t>
  </si>
  <si>
    <t>WARREN PARK</t>
  </si>
  <si>
    <t>REAL</t>
  </si>
  <si>
    <t>REAL COCO REAL CREAM OF COCONUT</t>
  </si>
  <si>
    <t>623 GR</t>
  </si>
  <si>
    <t>MASTER OF MIXES</t>
  </si>
  <si>
    <t>MASTER OF MIXES SWEET 'N SOUR DRINK MIXER</t>
  </si>
  <si>
    <t>1 LT</t>
  </si>
  <si>
    <t>MASTER OF MIXES WHITE PEACH DAIQUIRI/MARGARITA</t>
  </si>
  <si>
    <t>MASTER OF MIXES WATERMELON DAIQUIRI/MARGARITA</t>
  </si>
  <si>
    <t>MASTER OF MIXES PINA COLADA DRINK MIXER</t>
  </si>
  <si>
    <t>MASTER OF MIXES MARGARITA DRINK MIXER</t>
  </si>
  <si>
    <t>MASTER OF MIXES MANGO DAIQUIRI/MARGARITA MIXER</t>
  </si>
  <si>
    <t>MASTER OF MIXES MOJITO DRINK MIXER</t>
  </si>
  <si>
    <t>MASTER OF MIXES BLOODY CAESAR MIXER</t>
  </si>
  <si>
    <t>MASTER OF MIXES STRAWBERRY DAIQUIRI/MARGARITA DRINK MIXER</t>
  </si>
  <si>
    <t>MACY'S BEST SELLER SHIPPER</t>
  </si>
  <si>
    <t>MACY'S GRILLED CROSTINI TOASTS</t>
  </si>
  <si>
    <t>SUSHI CHEF WASABI (POWDERED HORSERADISH)</t>
  </si>
  <si>
    <t>LA PANZANELLA</t>
  </si>
  <si>
    <t>LA PANZANELLA ORIGINAL MINI CROCCANTINI FLATBREAD CRACKERS BAG</t>
  </si>
  <si>
    <t>170 GR</t>
  </si>
  <si>
    <t>LA PANZANELLA ROSEMARY MINI CROCCANTINI CRACKERS BAG USA</t>
  </si>
  <si>
    <t>LA PANZANELLA GARLIC MINI CROCCANTINI CRACKERS BAG USA</t>
  </si>
  <si>
    <t>LA PANZANELLA PEPPER MINI CROCCANTINI CRACKERS BAG USA</t>
  </si>
  <si>
    <t>OMEGA COCONUT OIL</t>
  </si>
  <si>
    <t>LA PANZANELLA MINI CROCCANTINI CRACKERS SHIPPER USA</t>
  </si>
  <si>
    <t>OMEGA NUTRITION VIRGIN COCONUT OIL</t>
  </si>
  <si>
    <t>OMEGA ORGANIC PUMPKIN SEED OIL</t>
  </si>
  <si>
    <t>COOMBE C BRIT BULK</t>
  </si>
  <si>
    <t>COOMBE CASTLE SHROPSHIRE BLUE CHEESE</t>
  </si>
  <si>
    <t>2 KG</t>
  </si>
  <si>
    <t>ILCHESTER</t>
  </si>
  <si>
    <t>ILCHESTER APPLEWOOD SMOKED CHEDDAR CHEESE WEDGE ENGLAND</t>
  </si>
  <si>
    <t>150 GR</t>
  </si>
  <si>
    <t>COOMBE C BRIT PPK</t>
  </si>
  <si>
    <t>COOMBE CASTLE DORSET DRUM EXTRA AGED MATURE CHEDDAR CHEESE ENGLAND</t>
  </si>
  <si>
    <t>200 GR</t>
  </si>
  <si>
    <t>COOMBE CASTLE SAXON SHIRE CHEESE WEDGE ENGLAND</t>
  </si>
  <si>
    <t>KING JAMES ROYAL BLUE STILTON CHEESE WEAPPED ENGLAND</t>
  </si>
  <si>
    <t>ILCHESTER APPLEWOOD SMOKED CHEDDAR CHEESE ENGLAND</t>
  </si>
  <si>
    <t>3 KG</t>
  </si>
  <si>
    <t>COOMBE CASTLE RASPBERRY TIPPLE (RASP COULIS AND PROSECCO) CHEESE</t>
  </si>
  <si>
    <t>1 KG</t>
  </si>
  <si>
    <t>COOMBE CASTLE CHOCOLOT (CHEESE &amp; TRIPLE CHOCOLATE FUDGE DESSERT)</t>
  </si>
  <si>
    <t>ILCHESTER CHILI FUSION SPICY CHEDDAR CHEESE WEDGE</t>
  </si>
  <si>
    <t>ILCHESTER APPLEWOOD SMOKED CHEDDAR SLICES</t>
  </si>
  <si>
    <t>180 GR</t>
  </si>
  <si>
    <t>ILCHESTER CHILI FUSION SPICY CHEDDAR CHEESE HALF WHEEL</t>
  </si>
  <si>
    <t>1.5 KG</t>
  </si>
  <si>
    <t>COOMBE CASTLE WHITE STILTON WITH SWEETENED DEHYDRATED MANGO &amp; GINGER</t>
  </si>
  <si>
    <t>1.15 KG</t>
  </si>
  <si>
    <t>COOMBE C SEASONAL</t>
  </si>
  <si>
    <t>FORD FARM CHEDDAR CHEESE IN WAXED SHAMROCK SHAPE GREEN WAX</t>
  </si>
  <si>
    <t>COOMBE CASTLE WENSLEYDALE PARCHMENT CHEESE WEDGE ENGLAND</t>
  </si>
  <si>
    <t>FINEST CALL</t>
  </si>
  <si>
    <t>FINEST CALL MANGO PUREE</t>
  </si>
  <si>
    <t>FINEST CALL MARGARITA</t>
  </si>
  <si>
    <t>FINEST CALL PINA COLADA</t>
  </si>
  <si>
    <t>FINEST CALL STRAWBERRY PUREE</t>
  </si>
  <si>
    <t>FINEST CALL SUGAR SYRUP</t>
  </si>
  <si>
    <t>FINEST CALL LEMON SOUR RTU</t>
  </si>
  <si>
    <t>FINEST CALL LIME SOUR RTU</t>
  </si>
  <si>
    <t>FINEST CALL SWEET &amp; SOUR RTU</t>
  </si>
  <si>
    <t>FINEST CALL WHITE SANGRIA</t>
  </si>
  <si>
    <t>FINEST CALL MOJITO</t>
  </si>
  <si>
    <t>REAL GINGER PUREE INFUSED SYRUP</t>
  </si>
  <si>
    <t>500 ML</t>
  </si>
  <si>
    <t>REAL BLUEBERRY PUREE INFUSED SYRUP</t>
  </si>
  <si>
    <t>REAL MANGO PUREE INFUSED SYRUP</t>
  </si>
  <si>
    <t>REAL STRAWBERRY PUREE INFUSED SYRUP</t>
  </si>
  <si>
    <t>ALIMENTIAS SPAIN CHE</t>
  </si>
  <si>
    <t>LQA BULK MANCHEGO 6M WHEEL</t>
  </si>
  <si>
    <t>LQA BULK MANCHEGO C 12M WHEEL</t>
  </si>
  <si>
    <t>LA MARQUESA CABRA AL VINO CHEESE WHEEL SPAIN</t>
  </si>
  <si>
    <t>2.5 KG</t>
  </si>
  <si>
    <t>LA QUESERIA SELECCION MANCHEGO 6 MTH 200G HARD RIPENED SHEEP'S MILK CHEESE SPAIN</t>
  </si>
  <si>
    <t>LA QUESERIA SELECCIONMANCHEGO 12 MTH 200G HARD RIPENED SHEEPS MILK CHEESE SPAIN</t>
  </si>
  <si>
    <t>LA MARQUESA CABRA AL VINO 200G FIRM RIPENED GOAT WINE CHEESE SPAIN</t>
  </si>
  <si>
    <t>BELTON FARMS WHITE FOX ENGLAND</t>
  </si>
  <si>
    <t>REAL BLACKBERRY</t>
  </si>
  <si>
    <t>LA MARQUESA SHEEP CHEESE WITH ROSEMARY</t>
  </si>
  <si>
    <t>LA MARQUESA IBERICO CHEESE SEMICURED HEEL</t>
  </si>
  <si>
    <t>REAL PEACH PUREE INFUSED SYRUP</t>
  </si>
  <si>
    <t>FINEST CALL WHITE PEACH PUREE</t>
  </si>
  <si>
    <t>LA QUESERIA ARTESANA SHEEP CHEESE WITH TRUFFLE</t>
  </si>
  <si>
    <t>REAL WATERMELON</t>
  </si>
  <si>
    <t>REAL PASSION FRUIT</t>
  </si>
  <si>
    <t>REAL CRISP APPLE</t>
  </si>
  <si>
    <t>MASTER OF MIXES SPICY MARGARITA</t>
  </si>
  <si>
    <t>LA MARQUESA SHEEP CHEESE W/ TRUFFLE</t>
  </si>
  <si>
    <t>ALIMENTIAS BULK 5 Q'S SHEEP CHEESE AGED IN SHERRY CASKS</t>
  </si>
  <si>
    <t>LQA SHEEP CHEESE WITH BLACK GARLIC</t>
  </si>
  <si>
    <t>SHEEP CHEESE MESETA 4 MONTHS</t>
  </si>
  <si>
    <t>SHEEP CHEESE MESETA 6 MONTHS</t>
  </si>
  <si>
    <t>SHEEP CHEESE MESETA 12 MONTHS</t>
  </si>
  <si>
    <t>HALF MOON OF GROUND FIG CAKE WITH ALMONDS AND CRANBERRIES</t>
  </si>
  <si>
    <t>125 GR</t>
  </si>
  <si>
    <t>REAL GUAVA</t>
  </si>
  <si>
    <t>QUINCE PASTE</t>
  </si>
  <si>
    <t>C2O COCONUT WATER</t>
  </si>
  <si>
    <t>C2O PURE COCONUT WATER</t>
  </si>
  <si>
    <t>520 ML</t>
  </si>
  <si>
    <t>C2O COCONUT WATER WITH ESPRESSO</t>
  </si>
  <si>
    <t>C2O COCONUT WATER WITH GINGER, LIME, ANDTURMERIC</t>
  </si>
  <si>
    <t>COOMBE CASTLE WENSLEYDALE WITH LEMON</t>
  </si>
  <si>
    <t>WOOKEY HOLE CAVE AGED CHEDDAR HALF MOON</t>
  </si>
  <si>
    <t>3.3 KG</t>
  </si>
  <si>
    <t>FORD FARM COASTAL CHEDDAR BULK</t>
  </si>
  <si>
    <t>COOMBE CASTLE CRACKINGTON RED LEICESTER WITH BLACK PEPPER</t>
  </si>
  <si>
    <t>COOMBE CASTLE WENSLEYDALE PEAR APPLE CHEESE ENGLAND</t>
  </si>
  <si>
    <t>LA MARQUESA MARCONA ALMONDS SALT AND OLIVE OIL</t>
  </si>
  <si>
    <t>130 GR</t>
  </si>
  <si>
    <t>LA MARQUESA MARCONA ALMONDS TRUFFLE SALTAND OLIVE OIL.</t>
  </si>
  <si>
    <t>ALIMENTIAS 1969 FIG CAKE W/ DATES, ALMONDS ORANGE &amp; CHOCOLATE</t>
  </si>
  <si>
    <t>BELTON FARMS WHITE FOX AGED LEICESTER CHEESE</t>
  </si>
  <si>
    <t>BELTON FARMS RED FOX AGED LEICESTER CHEESE</t>
  </si>
  <si>
    <t>MAYACAMAS CHICKEN FLAVOUR GRAVY MIX</t>
  </si>
  <si>
    <t>19 GR</t>
  </si>
  <si>
    <t>MAYACAMAS SAVOURY GRAVY MIX</t>
  </si>
  <si>
    <t>22 GR</t>
  </si>
  <si>
    <t>MAYACAMAS TURKEY FLAVOUR GRAVY MIX</t>
  </si>
  <si>
    <t>MAYACAMAS BROWN GRAVY MIX</t>
  </si>
  <si>
    <t>MAYACAMAS GLUTEN FREE TACO SEASONING MIX</t>
  </si>
  <si>
    <t>MAYACAMAS GLUTEN FREE MUSHROOMS SAUCE MIX</t>
  </si>
  <si>
    <t>MAYACAMAS GLUTEN FREE WHITE CHEDDAR CHEESE SAUCE MIX</t>
  </si>
  <si>
    <t>DENNINGER RESERVE CHEDDAR</t>
  </si>
  <si>
    <t>VEGGIES MADE GREAT</t>
  </si>
  <si>
    <t>VEGGIES MADE GREAT BLUEBERRY OAT MUFFIN 340G</t>
  </si>
  <si>
    <t>AUSTRIAN ALP CHEESE</t>
  </si>
  <si>
    <t>MEDDO BELLE AUSTRIAN GRUYERE CHEESE SMOKED PASTEURIZED PROCESS</t>
  </si>
  <si>
    <t>2.2 KG</t>
  </si>
  <si>
    <t>VEGGIES MADE GREAT GARDEN LITES FRITTATAVEGGIE BACON POTATO</t>
  </si>
  <si>
    <t>VEGGIES MADE GREAT GARDEN LITES COSTCO SPINACH EGG WHITE FRITTATA</t>
  </si>
  <si>
    <t>1.13 KG</t>
  </si>
  <si>
    <t>VEGGIES MADE GREAT GARDEN LITES BANANA CHOCOLATE CHIP MUFFINS</t>
  </si>
  <si>
    <t>VEGGIES MADE GREAT DOUBLE CHOCOLATE MUFFIN 340G</t>
  </si>
  <si>
    <t>VEGGIES MADE GREAT BANANA CHOCOLATE CHIP 340G</t>
  </si>
  <si>
    <t>VEGGIES MADE GREAT SPINACH EGG WHITE FRITTATA 340G</t>
  </si>
  <si>
    <t>VEGGIES MADE GREAT LOADED POTATO FRITTATAS</t>
  </si>
  <si>
    <t>VEGGIES MADE GREAT BLUEBERRY OAT MUFFIN</t>
  </si>
  <si>
    <t>1.14 KG</t>
  </si>
  <si>
    <t>VEGGIES MADE GREAT LOADED BREAKFAST POTATO BAKE</t>
  </si>
  <si>
    <t>VEGGIES MADE GREAT BROCCOLI &amp; CHEESE BREAKFAST POTATO BAKE</t>
  </si>
  <si>
    <t>VEGGIES MADE GREAT TOMATO BASIL FRITTATA</t>
  </si>
  <si>
    <t>VEGGIES MADE GREAT MUSHROOM &amp; 3 CHEESE FRITTATA</t>
  </si>
  <si>
    <t>VEGGIES MADE GREAT COOKIE BUTTER BITES 20CT</t>
  </si>
  <si>
    <t>255 GR</t>
  </si>
  <si>
    <t>VEGGIES MADE GREAT FUDGE BROWNIE BITES 20CT</t>
  </si>
  <si>
    <t>VEGGIES MADE GREAT BIRTHDAY CAKE BITES 20CT</t>
  </si>
  <si>
    <t>VEGGIES MADE GREAT CHOCOLATE CHIP BLONIDE BITES 20CT</t>
  </si>
  <si>
    <t>VEGGIES MADE GREAT DOUBLE CHOCOLATE MUFFIN 20CT</t>
  </si>
  <si>
    <t>VEGGIES MADE GREAT PUMPKIN CRANBERRY MUFFIN 20CT</t>
  </si>
  <si>
    <t>VEGGIES MADE GREAT APPLE CINNAMON MUFFIN20CT</t>
  </si>
  <si>
    <t>VEGGIES MADE GREAT COOKIE BUTTER BITES</t>
  </si>
  <si>
    <t>VEGGIES MADE GREAT FUDGE BROWNIE BITES</t>
  </si>
  <si>
    <t>VEGGIES MADE GREAT BIRTHDAY CAKE BITES</t>
  </si>
  <si>
    <t>VEGGIES MADE GREAT CHOCOLATE CHIP BLONIDE BITES</t>
  </si>
  <si>
    <t>VEGGIES MADE GREAT O'BRIEN BREAKFAST POTATO BAKE</t>
  </si>
  <si>
    <t>VEGGIES MADE GREAT PUMPKIN CRANBERRY MUFFIN</t>
  </si>
  <si>
    <t>VEGGIES MADE GREAT BIRTHDAY CAKE MUFFIN</t>
  </si>
  <si>
    <t>KINNIKINNICK TOOS CHOCOLATE SANDWICH CREAM COOKIES-GLUTEN FREE</t>
  </si>
  <si>
    <t>KINNIKINNICK TOOS VANILLA SANDWICH CREAM COOKIES-GLUTEN FREE</t>
  </si>
  <si>
    <t>KINNIKINNICK CINNAMON SUGAR DONUTS (6 DONUTS)</t>
  </si>
  <si>
    <t>270 GR</t>
  </si>
  <si>
    <t>KINNIKINNICK CHOCOLATE DIPPED DONUTS (6 DONUTS)</t>
  </si>
  <si>
    <t>320 GR</t>
  </si>
  <si>
    <t>KINNIKINNICK MAPLE GLAZED DONUTS (6 DONUTS)</t>
  </si>
  <si>
    <t>KINNIKINNICK GLUTEN FREE VANILLA WAFER COOKIES</t>
  </si>
  <si>
    <t>COOMBE CASTLE WENSLEYDALE W APRICOTS</t>
  </si>
  <si>
    <t>COOMBE CASTLE WENSLEYDALE CHEDDAR W CARM ONIONS</t>
  </si>
  <si>
    <t>COOMBE CASTLE WENSLEYDALE W CRANBERRY</t>
  </si>
  <si>
    <t>MIGUEL GUTIERREZ</t>
  </si>
  <si>
    <t>PAR EXCELLENCE</t>
  </si>
  <si>
    <t>PAR EXCELLENCE LONG GRAIN PARBOILED BROWN RICE 25LB</t>
  </si>
  <si>
    <t>25 LB</t>
  </si>
  <si>
    <t>COOMBE CASTLE SANTA HAT CHEDDAR RED/WHITE WAX</t>
  </si>
  <si>
    <t>COOMBE CASTLE BLUE STILTON CERAMIC POT</t>
  </si>
  <si>
    <t>COOMBE CASTLE WHITE STILTON WITH MANGO AND GINGER</t>
  </si>
  <si>
    <t>COOMBE CASTLE CHEDDAR CHEESE WITH HORSERADISH SAUCE</t>
  </si>
  <si>
    <t>PAREXCELLENCE LONG GRAIN PARBOILED BROWNRICE 50LB</t>
  </si>
  <si>
    <t>50 LB</t>
  </si>
  <si>
    <t>COOMBE C IRISH</t>
  </si>
  <si>
    <t>IRELAND PORTER CHEDDAR</t>
  </si>
  <si>
    <t>2.25 KG</t>
  </si>
  <si>
    <t>COOMBE CASTLE 4 INDIVIDUALLY WRAPPED CHEESE PORTIONS IN A BOX</t>
  </si>
  <si>
    <t>COOMBE CASTLE WHITE STILTON CHEESE WITH BLUEBERRIES</t>
  </si>
  <si>
    <t>DOUBLE GLOUCESTER CHEESE WITH BLUE STILTON® CHEESE CLAWSON HUNTSMAN 5 LAYER</t>
  </si>
  <si>
    <t>COOMBE CASTLE PORT WINE DERBY CHEESE</t>
  </si>
  <si>
    <t>COOMBE CASTLE SAGE DERBY CHEESE</t>
  </si>
  <si>
    <t>SAXONSHIRES CHEESE IN BLACK WAX</t>
  </si>
  <si>
    <t>1.20 KG</t>
  </si>
  <si>
    <t>PANACHE ENGLISH CHEDDAR SOBEYS</t>
  </si>
  <si>
    <t>PANACHE IRISH CHEDDAR CHEESE SOBEYS</t>
  </si>
  <si>
    <t>PANACHE RED LEICESTER CHEESE SOBEYS</t>
  </si>
  <si>
    <t>PANACHE SCOTTISH CHEDDAR CHEESE SOBEYS</t>
  </si>
  <si>
    <t>COOMBE CASTLE CHOCOLOT (CHEESE &amp; TRIPLE CHOCOLATE DESSERT</t>
  </si>
  <si>
    <t>COOMBE CASTLE STICKY TOFFEE CHEESE</t>
  </si>
  <si>
    <t>VERGEER PREPACKAGED</t>
  </si>
  <si>
    <t>VERGEER BULK ASSORTED PORTION PACKAGE CHEESE HOLLAND</t>
  </si>
  <si>
    <t>VERGEER MINI ASSORTED PORTION PACKAGE CHEESE HOLLAND</t>
  </si>
  <si>
    <t>COOMBE CASTLE IRISH CHEDDAR WITH WHISKEY</t>
  </si>
  <si>
    <t>1.1 KG</t>
  </si>
  <si>
    <t>COOMBE CASTLE WENSLEYDALE CHEESE WITH MANGO AND PAPAYA EGG</t>
  </si>
  <si>
    <t>COOMBE CASTLE WENSLEYDALE CHEESE WITH CHOCOLATE AND ORANGE BUNNY</t>
  </si>
  <si>
    <t>ILCHESTER APPLEWOOD SMOKED CHEDDAR CHEESE BITES</t>
  </si>
  <si>
    <t>6X15 GR</t>
  </si>
  <si>
    <t>COOMBE CASTLE BRITISH MATURE CHEDDAR</t>
  </si>
  <si>
    <t>COOMBE CASTLE BRITISH EXTRA MATURE CHEDDAR</t>
  </si>
  <si>
    <t>VERGEER ADVENT CALENDAR</t>
  </si>
  <si>
    <t>480 GR</t>
  </si>
  <si>
    <t>COOMBE CASTLE 1057 SCOTTISH CHEDDAR BULK</t>
  </si>
  <si>
    <t>COOMBE CASTLE 1057 SCOTTISH CHEDDAR CHEESE</t>
  </si>
  <si>
    <t>BLUE DIAMOND BEVERAG</t>
  </si>
  <si>
    <t>BLUE DIAMOND ALMOND BREEZE NON-DAIRY BEVERAGE ORIGINAL</t>
  </si>
  <si>
    <t>BLUE DIAMOND ALMOND BREEZE NON-DAIRY BEVERAGE VANILLA</t>
  </si>
  <si>
    <t>BLUE DIAMOND ALMOND BREEZE NON-DAIRY BEVERAGE CHOCOLATE</t>
  </si>
  <si>
    <t>BLUE DIAMOND ALMOND BREEZE NON-DAIRY BEVERAGE UNSWEETENED ORIGINAL</t>
  </si>
  <si>
    <t>BLUE DIAMOND ALMOND BREEZE NON-DAIRY BEVERAGE UNSWEETENED VANILLA</t>
  </si>
  <si>
    <t>BLUE DIAMOND ALMOND BREEZE NON-DAIRY BEVERAGE UNSWEETENED CHOCOLATE</t>
  </si>
  <si>
    <t>BLUE DIAMOND ALMOND BREEZE BARISTA BLEND</t>
  </si>
  <si>
    <t>WOOKEY HOLE CAVE AGED GOATS MILK CHEESE</t>
  </si>
  <si>
    <t>COOMBE CASTLE CHEDDAR WITH BLACK TRUFFLE</t>
  </si>
  <si>
    <t>190 GR</t>
  </si>
  <si>
    <t>BLUE DIAMOND ALMOND BREEZE NON-DAIRY BEVERAGE UNSWEETENED ORIGINAL 1.89 LITRE</t>
  </si>
  <si>
    <t>1.89 LT</t>
  </si>
  <si>
    <t>NISA DELEON</t>
  </si>
  <si>
    <t>BLUE DIAMOND DRY</t>
  </si>
  <si>
    <t>BLUE DIAMOND NUT THINS HINT OF SALT RICE &amp; NUT CRACKER SNACKS</t>
  </si>
  <si>
    <t>COOMBE CASTLE DOUBLE GLOUCESTER TRADITIONAL BULK CHEESE</t>
  </si>
  <si>
    <t>COOMBE CASTLE RED LEICESTER TRADITIONAL BULK CHEESE</t>
  </si>
  <si>
    <t>FORD FARM COASTAL RUGGED MATURE CHED DAR CHEESE ENGLAND</t>
  </si>
  <si>
    <t>COOMBE CASTLE ROYAL BLUE STILTON CHEESE WEDGE ENGLAND</t>
  </si>
  <si>
    <t>BLUE DIAMOND ALMOND BREEZE NON-DAIRY BEVERAGE UNSWEETENED VANILLA 1.89 LITRE</t>
  </si>
  <si>
    <t>COOMBE CASTLE WENSLEYDALE CHEESE WITH BLUEBERRIES ENGLAND</t>
  </si>
  <si>
    <t>COOMBE C COSTCO</t>
  </si>
  <si>
    <t>FORD FARM COSTCO COASTAL MATURE CHEDDAR</t>
  </si>
  <si>
    <t>490 GR</t>
  </si>
  <si>
    <t>COOMBE CASTLE TRIO TRUCKLE BOX</t>
  </si>
  <si>
    <t>COOMBE CASTLE WENSLEYDALE CHEESE WITH PANETTONE</t>
  </si>
  <si>
    <t>COOMBE CASTLE CHEDDAR CHEESE BAKE WITH CHORIZO AND JALAPENO</t>
  </si>
  <si>
    <t>COOMBE CASTLE RED LEICESTER CHEESE IN GREEN WAX - CHRISTMAS TREE SHAPE</t>
  </si>
  <si>
    <t>COOMBE CASTLE LANCASHIRE CHEESE PARCHMENT WEDGE ENGLAND</t>
  </si>
  <si>
    <t>COOMBE CASTLE RED LEICESTER PARCHMENT CHEESE WEDGE ENGLAND</t>
  </si>
  <si>
    <t>COOMBE CASTLE CHESHIRE CHEESE PARCHMENT WEDGE ENGLAND</t>
  </si>
  <si>
    <t>COOMBE CASTLE DOUBLE GLOUCESTER PARCHMENT CHEESE WEDGE ENGLAND</t>
  </si>
  <si>
    <t>COOMBE CASTLE STICKY TOFFEE CHEESE ENGLAND</t>
  </si>
  <si>
    <t>BELTON FARM RED FOX SMOKED</t>
  </si>
  <si>
    <t>1.45 KG</t>
  </si>
  <si>
    <t>BELTON FARMS SMOKED RED FOX SMOKED</t>
  </si>
  <si>
    <t>COOMBE CASTLE WENSLEYDALE CHEESE WITH CRANBERRIES</t>
  </si>
  <si>
    <t>COOMBE CASTLE WENSLEYDALE CHEESE WITH APRICOTS</t>
  </si>
  <si>
    <t>COOMBE CASTLE CHEDDAR CHEESE WITH CARAMELISED ONIONS</t>
  </si>
  <si>
    <t>SILVER FOX - VINTAGE CHEDDAR CHEESE</t>
  </si>
  <si>
    <t>RIVAL HOUSE</t>
  </si>
  <si>
    <t>RIVAL HOUSE AMBER LAGER</t>
  </si>
  <si>
    <t>4X355 ML</t>
  </si>
  <si>
    <t>RIVAL HOUSE HAZY IPA</t>
  </si>
  <si>
    <t>RIVAL HOUSE PALE ALE</t>
  </si>
  <si>
    <t>THE SPICE TAILOR</t>
  </si>
  <si>
    <t>THE SPICE TAILOR THAI CURRY RED</t>
  </si>
  <si>
    <t>260 ML</t>
  </si>
  <si>
    <t>THE SPICE TAILOR THAI CURRY GREEN</t>
  </si>
  <si>
    <t>THE SPICE TAILOR INDONESIAN PEANUT SATAY</t>
  </si>
  <si>
    <t>THE SPICE TAILOR CLASSIC LENTIL TARKA DAAL</t>
  </si>
  <si>
    <t>375 ML</t>
  </si>
  <si>
    <t>THE SPICE TAILOR PUNJABI CHICKPEA MASALA</t>
  </si>
  <si>
    <t>THE SPICE TAILOR DELHI BLACK LENTIL DAAL</t>
  </si>
  <si>
    <t>THE SPICE TAILOR DELHI BIRYANI KIT</t>
  </si>
  <si>
    <t>360 GR</t>
  </si>
  <si>
    <t>THE SPICE TAILOR CLASSIC BUTTER CHICKEN</t>
  </si>
  <si>
    <t>285 ML</t>
  </si>
  <si>
    <t>THE SPICE TAILOR FIERY GOAN CURRY</t>
  </si>
  <si>
    <t>THE SPICE TAILOR ORIGINAL TIKKA MASALA</t>
  </si>
  <si>
    <t>THE SPICE TAILOR KERALAN COCONUT CURRY</t>
  </si>
  <si>
    <t>215 ML</t>
  </si>
  <si>
    <t>THE SPICE TAILOR DELICATE KORMA CURRY</t>
  </si>
  <si>
    <t>THE SPICE TAILOR SPICY BUTTER CHICKEN</t>
  </si>
  <si>
    <t>THE SPICE TAILOR MANGO CURRY</t>
  </si>
  <si>
    <t>THE SPICE TAILOR JAPANESE TERIYAKI</t>
  </si>
  <si>
    <t>COOMBE CASTLE MOROCCAN SPICE CHEESE ENGLAND</t>
  </si>
  <si>
    <t>1.6 KG</t>
  </si>
  <si>
    <t>COOMBE CASTLE WENSLEYDALE MANGO PAPAYA CHEESE ENGLAND</t>
  </si>
  <si>
    <t>IRISH MILD COLOURED CHEDDAR CHEESE</t>
  </si>
  <si>
    <t>20 KG</t>
  </si>
  <si>
    <t>THE SPICE TAILOR KOREAN BBQ</t>
  </si>
  <si>
    <t>THE SPICE TAILOR VIETNAMESE CURRY</t>
  </si>
  <si>
    <t>230 ML</t>
  </si>
  <si>
    <t>THE SPICE TAILOR JAPANESE KATSU</t>
  </si>
  <si>
    <t>220 ML</t>
  </si>
  <si>
    <t>THE SPICE TAILOR SPICY KUNG PAO</t>
  </si>
  <si>
    <t>IRELAND SPECIAL RESERVE CHEDDAR</t>
  </si>
  <si>
    <t>IRELAND MATURE CHEDDAR</t>
  </si>
  <si>
    <t>SPECIAL RESERVE IRISH CHEDDAR CHEESE</t>
  </si>
  <si>
    <t>2X2.5 KG</t>
  </si>
  <si>
    <t>MATURE IRISH CHEDDAR CHEESE</t>
  </si>
  <si>
    <t>COOMBE CASTLE IRELANDS OWN CATERING BOX</t>
  </si>
  <si>
    <t>1.8 KG</t>
  </si>
  <si>
    <t>JEREMY MAINGOT GB</t>
  </si>
  <si>
    <t>MOON CHEESE</t>
  </si>
  <si>
    <t>MOON CHEESE GOUDA CHEESE USA</t>
  </si>
  <si>
    <t>57 GR</t>
  </si>
  <si>
    <t>MOON CHEESE MEDIUM CHEDDAR CHEESE USA</t>
  </si>
  <si>
    <t>MOON CHEESE PEPPER JACK CHEESE USA</t>
  </si>
  <si>
    <t>MOON CHEESE SHIPPER USA</t>
  </si>
  <si>
    <t>COOMBE CASTLE FIERY SPICE CHEDDAR CHEESE ENGLAND</t>
  </si>
  <si>
    <t>BELTON FARMS RED FOX AGED LEICESTER CHE ESE</t>
  </si>
  <si>
    <t>TRACEY LAWRENCE</t>
  </si>
  <si>
    <t>SNYDERS</t>
  </si>
  <si>
    <t>SNYDERS GLUTEN FREE MINI PREZEL</t>
  </si>
  <si>
    <t>SNYDERS GLUTEN FREE PRETZEL STICKS</t>
  </si>
  <si>
    <t>SNYDERS GLUTEN FREE HONEY MUSTARD AND ONION PRETZEL STICKS</t>
  </si>
  <si>
    <t>MOON CHEESE WHITE CHEDDAR BLACK PEPPER 57G</t>
  </si>
  <si>
    <t>SNYDERS-MAINSTREAM</t>
  </si>
  <si>
    <t>SNYDERS OF HANOVER HONEY MUSTARD &amp; ONIONPIECES</t>
  </si>
  <si>
    <t>240 GR</t>
  </si>
  <si>
    <t>SNYDERS OF HANOVER CHEDDAR CHEESE PRETZEL PIECES</t>
  </si>
  <si>
    <t>SNYDERS OF HANOVER HOT BUFFALO WING PRETZEL PIECES</t>
  </si>
  <si>
    <t>SNYDERS OF HANOVER JALAPENO PRETZEL PIECES</t>
  </si>
  <si>
    <t>SNYDERS OF HANOVER SALTED CARAMEL PRETZEL PIECES</t>
  </si>
  <si>
    <t>SNYDERS OF HANOVER MINI PRETZELS</t>
  </si>
  <si>
    <t>SNYDERS OF HANOVER PRETZEL RODS</t>
  </si>
  <si>
    <t>SNYDERS OF HANOVER PRETZEL STICKS</t>
  </si>
  <si>
    <t>COOMBE CASTLE BLACK BEAUTY - VINTAGE CHEDDAR WAXED TRUCKLE</t>
  </si>
  <si>
    <t>COOMBE CASTLE VINTAGE RED LEICESTER WAXED TRUCKLE</t>
  </si>
  <si>
    <t>COOMBE CASTLE SHERWOOD GOLD SMOKED CHEDDAR WAXED TRUCKLE</t>
  </si>
  <si>
    <t>COOMBE CASTLE TRUFFLE NOIR - CHEDDAR WITH BLACK TRUFFLES WAXED TRUCKLE</t>
  </si>
  <si>
    <t>COOMBE CASTLE WENSLEYDALE WITH CRANBERRIES WAXED TRUCKLE</t>
  </si>
  <si>
    <t>COOMBE CASTLE CHEESE BAKE MATURE CHEDDAR</t>
  </si>
  <si>
    <t>COOMBE CASTLE CHEESE BAKE MATURE CHEDDARWITH SAUVIGNON</t>
  </si>
  <si>
    <t>SNYDERS OF HANOVER PRETZEL PIECES HALF PALLET</t>
  </si>
  <si>
    <t>HALF PALLET</t>
  </si>
  <si>
    <t>COOMBE CASTLE HANDEE CHEESE CUTTER</t>
  </si>
  <si>
    <t>CHEESE CUTTER</t>
  </si>
  <si>
    <t>COOMBE CASTLE HANDEE CHEESE CUTTER WIRES12X60CM</t>
  </si>
  <si>
    <t>WIRE REPLACEMENT</t>
  </si>
  <si>
    <t>SNYDERS OF HANOVER PRETZEL PIECES 60CT SHIPPER</t>
  </si>
  <si>
    <t>SNYDERS OF HANOVER TWISTED SEASONED 340G</t>
  </si>
  <si>
    <t>SNYDERS OF HANOVER TWISTED NACHO CHEESE 340G</t>
  </si>
  <si>
    <t>WOOKEY HOLE CAVE AGED FARMHOUSE CHEDDAR CHEESE WEDGE ENGLAND</t>
  </si>
  <si>
    <t>DEVON CREAM COMPANY</t>
  </si>
  <si>
    <t>DEVON CREAM ENGLISH CLOTTED CREAM</t>
  </si>
  <si>
    <t>DEVON CREAM CLOTTED CREAM SALTED CARAMEL</t>
  </si>
  <si>
    <t>DEVON CREAM CLOTTED CREAM WITH BRANDY</t>
  </si>
  <si>
    <t>DEVON CREAM ENGLISH DOUBLEDEVON CREAM</t>
  </si>
  <si>
    <t>COOMBE CASTLE BRITISH SELECTION NETS ASSORTED CHEESE</t>
  </si>
  <si>
    <t>DEVON CREAM CLOTTED CREAM 1KG TUB</t>
  </si>
  <si>
    <t>DEVON CREAM CLOTTED CREAM LIMONCELLO</t>
  </si>
  <si>
    <t>DEVON CREAM CLOTTED CREAM WITH GINGERBREAD FLAVOUR</t>
  </si>
  <si>
    <t>DEVON CREAM CLOTTED CREAM WITH IRISH WHISKEY</t>
  </si>
  <si>
    <t>DEVON CREAM CLOTTED CREAM WITH CHERRY LIQUEUR</t>
  </si>
  <si>
    <t>DEVON CREAM AMBIENT ENGLISH CLOTTED CREAM 24X28G</t>
  </si>
  <si>
    <t>SAN BENEDETTO</t>
  </si>
  <si>
    <t>SAN BENEDETTO PEACH ICED TEA 500 ML</t>
  </si>
  <si>
    <t>SAN BENEDETTO LEMON ICED TEA 500 ML</t>
  </si>
  <si>
    <t>SAN BENEDETTO SPARKLING WATER 6 PACK</t>
  </si>
  <si>
    <t>SAN BENEDETTO NATURAL SPARKLING WATER CAN</t>
  </si>
  <si>
    <t>SAN BENEDETTO NATURAL SPARKLING WATER GLASS</t>
  </si>
  <si>
    <t>750 ML</t>
  </si>
  <si>
    <t>SAN BENEDETTO SPARKLING WATER 1.5LT</t>
  </si>
  <si>
    <t>SAN BENEDETTO NATURAL STILL WATER 1.5LT</t>
  </si>
  <si>
    <t>SAN BENEDETTO NATURAL STILL WATER 6PK -6935</t>
  </si>
  <si>
    <t>SAN BENEDETTO NATURAL STILL WATER 24PK-6934</t>
  </si>
  <si>
    <t>SAN BENEDETTO NATURAL STILL WATER GLASS</t>
  </si>
  <si>
    <t>SAN BENEDETTO ORANGE SODA</t>
  </si>
  <si>
    <t>SAN BENEDETTO SODA CITRON</t>
  </si>
  <si>
    <t>SAN BENEDETTO NATURAL STILL WATER GLASS-250 ML</t>
  </si>
  <si>
    <t>250 ML</t>
  </si>
  <si>
    <t>SAN BENEDETTO NATURAL SPARKLING WATER GLASS 250 ML</t>
  </si>
  <si>
    <t>SAN BENEDETTO SODA ORANGE 4X330ML</t>
  </si>
  <si>
    <t>SAN BENEDETTO SODA LEMON 4X330ML</t>
  </si>
  <si>
    <t>SERENA LEE PR</t>
  </si>
  <si>
    <t>AGROPUR</t>
  </si>
  <si>
    <t>M.GUSTAV GOUDA MEDIUM LF 1X4.5KG</t>
  </si>
  <si>
    <t>CHEDDAR KERRYGOLD DUBLINER 12 X 198 CHS</t>
  </si>
  <si>
    <t>198 GR</t>
  </si>
  <si>
    <t>OKA SEMI SOFT CHEESE ORIGINAL 6X190G</t>
  </si>
  <si>
    <t>ALLEGRO 9% WHITE LACTOSE FREE 12X270G</t>
  </si>
  <si>
    <t>ALLEGRO 9% COLORED LACTOSE FREE 12X270G</t>
  </si>
  <si>
    <t>M.GUSTAV GOUDA MEDIUM LF 12X170GR</t>
  </si>
  <si>
    <t>M.GUSTAV GOUDA SMOKED LF 12X170GR</t>
  </si>
  <si>
    <t>M.GUSTAV GOUDA CARAWAY SEEDS LF 12X170GR</t>
  </si>
  <si>
    <t>M.GUSTAV GOUDA JALAPENO LF 12X170GR</t>
  </si>
  <si>
    <t>M.GUSTAV CHEDDAR MILD MARBLE 16X250G</t>
  </si>
  <si>
    <t>M.GUSTAV GOUDA CHEESE, PICKLE FLAVOUR</t>
  </si>
  <si>
    <t>M.GUSTAV CHEDDAR SMOKED 12X200G</t>
  </si>
  <si>
    <t>M.GUSTAV CHEDDAR GARLIC&amp;CHIVES 12X200G</t>
  </si>
  <si>
    <t>CAMBOZOLA UN 1 X 2.2KG</t>
  </si>
  <si>
    <t>NATREL AFS CRM CHEESE PRD(BAG)31F55 1X20KG</t>
  </si>
  <si>
    <t>NATREL AFS CRM CHEESE PRD(LF)31F55M 1X1.5KG</t>
  </si>
  <si>
    <t>NATREL AFS CRM CHEESE PRD(TUB)24F70 1X2KG</t>
  </si>
  <si>
    <t>KRY KILAREE CHEESE BULK</t>
  </si>
  <si>
    <t>AGROPUR SOLUTIONS BRIE BAGUETTE 2X1.5KG</t>
  </si>
  <si>
    <t>M.GUSTAV GOUDA MILD LF 1X4.5KG</t>
  </si>
  <si>
    <t>M.GUSTAV GOUDA SMOKED LF 1X4.5KG</t>
  </si>
  <si>
    <t>M.GUSTAV GOUDA JALAPENO LF 1X4.5KG</t>
  </si>
  <si>
    <t>M.GUSTAV GOUDA CARAWAY SEEDS LF 1X4.5KG</t>
  </si>
  <si>
    <t>JARLSBERG WEDGES 12X250GR</t>
  </si>
  <si>
    <t>JARLSBERG CHEESE LITE LOAF 1 X 5 KG</t>
  </si>
  <si>
    <t>JARLSBERG LOAF 1X5KG</t>
  </si>
  <si>
    <t>AGROPUR SIGNATURE BRIE L'EXTRA 1X3KG</t>
  </si>
  <si>
    <t>AGROPUR SIGNATURE BRIE DC L'EXTRA 1X3KG</t>
  </si>
  <si>
    <t>AGROPUR SIGNATURE GRAND CAMEMBERT L'EXTRA 1X1KG</t>
  </si>
  <si>
    <t>AGROPUR SIGNATURE GRAND CHEDDAR AGROPUR 1 YEAR 2X2.7KG</t>
  </si>
  <si>
    <t>2.27 KG</t>
  </si>
  <si>
    <t>AGROPUR SIGNATURE GRAND CHEDDAR AGROPUR 5 YEARS 2X2.7KG</t>
  </si>
  <si>
    <t>AGROPUR SIGNATURE CHEVALIER TC BRIE 4 X 650GR</t>
  </si>
  <si>
    <t>650 GR</t>
  </si>
  <si>
    <t>AGROPUR SIGNATURE GRAND CHEDDAR 1YEAR 6 X 200GR</t>
  </si>
  <si>
    <t>AGROPUR SIGNATURE CHAMPFLEURY 4 X 180GR</t>
  </si>
  <si>
    <t>AGROPUR SIGNATURE BRIE SC NOTRE DAME 8 X 170GR</t>
  </si>
  <si>
    <t>AGROPUR SIGNATURE CAMEMBERT L'EXTRA 8 X 170GR</t>
  </si>
  <si>
    <t>AGROPUR SIGNATURE GRAND CHEDDAR 6 YRS 6X200G</t>
  </si>
  <si>
    <t>AGROPUR SIGNATURE BRIE L'EXTRA DOUBLE CREME 8X170GR</t>
  </si>
  <si>
    <t>AGROPUR SIGNATURE BRIE L'EXTRA TRIPLE CREAM 4X300GR</t>
  </si>
  <si>
    <t>AGROPUR SIGNATURE GRAND CHEDDAR 2YEARS 6 X 200GR R</t>
  </si>
  <si>
    <t>AGROPUR SIGNATURE GRAND CHEDDAR 3YEARS 6 X 200GR</t>
  </si>
  <si>
    <t>AGROPUR SIGNATURE GRAND CHEDDAR AGROPUR 5 ANS 6X200GR</t>
  </si>
  <si>
    <t>FROMALP FONDUE 12 X 400GR</t>
  </si>
  <si>
    <t>400 GR</t>
  </si>
  <si>
    <t>FROMALP FONDUE GOURMET 12 X 450GR</t>
  </si>
  <si>
    <t>AGROPUR FONDUE FROMALP DISPLAY 48X400GR</t>
  </si>
  <si>
    <t>ILE DE FRANCE PETIT FROMAGE BRIE</t>
  </si>
  <si>
    <t>ILE DE FRANCE APÉRIFRAIS CÔTE D'AZUR 6 X100G</t>
  </si>
  <si>
    <t>ILE DE FRANCE MINI 5 X 25GR</t>
  </si>
  <si>
    <t>M.GUSTAV CHEDDAR MEDIUM COL 16X250G</t>
  </si>
  <si>
    <t>M.GUSTAV CHEDDAR OLD WHITE 16X250GR</t>
  </si>
  <si>
    <t>LIMBURGER CHEESE ST. MANG BAVARIAN 180GR</t>
  </si>
  <si>
    <t>M.GUSTAV HAVARTI CREAMY 1X4KG</t>
  </si>
  <si>
    <t>4 KG</t>
  </si>
  <si>
    <t>M.GUSTAV HAVARTI JALAPENO 1X4KG</t>
  </si>
  <si>
    <t>M.GUSTAV HAVARTI FINE HERBS 1X4KG</t>
  </si>
  <si>
    <t>M.GUSTAV HAVARTI VEGETABLES 1X4KG</t>
  </si>
  <si>
    <t>GUSTAV HAVARTI TOMATOES BASIL 1X4KG</t>
  </si>
  <si>
    <t>M.GUSTAV GOUDA MILD LACTOSE FREE CHEESE</t>
  </si>
  <si>
    <t>M.GUSTAV GOUDA OLD LACTOSE FREE CHEESE</t>
  </si>
  <si>
    <t>AGROPUR SUP SWISS LE GRUYERE SLICED 12 X 100GR CHS</t>
  </si>
  <si>
    <t>AGROPUR SUP EMMENTAL LE SUPERBE 15X195GR CHS</t>
  </si>
  <si>
    <t>195 GR</t>
  </si>
  <si>
    <t>AGROPUR SUP SWISS GRUYERE LE SUPERBE 15 X 195GRCHS</t>
  </si>
  <si>
    <t>AGROPUR SUP SWISS SWITZERLAND SLICED 12 X 110GR CHS</t>
  </si>
  <si>
    <t>SOIGNON CHEESE PURE GOAT 6X125GR</t>
  </si>
  <si>
    <t>SOIGNON CHEESE SAINTE-MAURE GOAT 180GR</t>
  </si>
  <si>
    <t>SOIGNON CHEESE GOAT GARLIC / HERBS 125G</t>
  </si>
  <si>
    <t>140 GR</t>
  </si>
  <si>
    <t>OKA SEMI SOFT CHEESE MAPLE 6X190G</t>
  </si>
  <si>
    <t>RABEL CHEESE CABRA ROMERO</t>
  </si>
  <si>
    <t>RABEL CHEESE CABRA AL VINO</t>
  </si>
  <si>
    <t>RABEL CHEESE IBERICO SEMICURADO</t>
  </si>
  <si>
    <t>OKA CHEESE SWISS STYLE SMOKED 1X4.5KG</t>
  </si>
  <si>
    <t>OKA ORIGINAL 1X2.5KG</t>
  </si>
  <si>
    <t>OKA RACLETTE ROUND 1X3KG</t>
  </si>
  <si>
    <t>OKA CHEESE CLASSIQUE SEMI-SOFT RIPENED CHEESE 1X2.5KG</t>
  </si>
  <si>
    <t>OKA LIGHT 1X2.5KG</t>
  </si>
  <si>
    <t>OKA MUSHROOMS AND TRUFFLE 1X2.5KG</t>
  </si>
  <si>
    <t>OKA CHEESE SWISS STYLE 1X4.5KG</t>
  </si>
  <si>
    <t>PARIS MINI TOASTS</t>
  </si>
  <si>
    <t>80 GR</t>
  </si>
  <si>
    <t>PARIS MINI TOASTS ORGANIC</t>
  </si>
  <si>
    <t>PARIS MINI TOASTS WHOLE WHEAT</t>
  </si>
  <si>
    <t>OKA CHEESE CLASSIQUE AGED</t>
  </si>
  <si>
    <t>LE RUSTIQUE CHEESE CAMEMBERT 250GR</t>
  </si>
  <si>
    <t>PARIS MINI TOASTS RUSKS DISPLAY</t>
  </si>
  <si>
    <t>M.GUSTAV SOFT CHEESE 4X325GR</t>
  </si>
  <si>
    <t>325 GR</t>
  </si>
  <si>
    <t>M.GUSTAV CHEESE ST-PAULIN 2.8KG</t>
  </si>
  <si>
    <t>2.8 KG</t>
  </si>
  <si>
    <t>M.GUSTAV CHEESE SWISS REGULAR LF 2.7KG</t>
  </si>
  <si>
    <t>2.7 KG</t>
  </si>
  <si>
    <t>AGROPUR SUP SW EMMENTAL SUPER CUT</t>
  </si>
  <si>
    <t>6.5 KG</t>
  </si>
  <si>
    <t>AGROPUR SUP SW GRUYERE KING CUT</t>
  </si>
  <si>
    <t>AGROPUR SUP SW GRUYERE LANGRUTI 2X2KG CHS</t>
  </si>
  <si>
    <t>2.3 KG</t>
  </si>
  <si>
    <t>M.GUSTAV CHEESE ST-PAULIN 6X190GR</t>
  </si>
  <si>
    <t>M. GUSTAV CHEESE ST-PAULIN SMOKE 190G</t>
  </si>
  <si>
    <t>CHEDDAR KERRYGOLD RESERVE 12 X 198G CHS</t>
  </si>
  <si>
    <t>AGROPUR GRAND CHEDDAR AG 3 Y CHS</t>
  </si>
  <si>
    <t>JARLSBERG CHEESE SLICED 120GR</t>
  </si>
  <si>
    <t>JARLSBERG 10 KG</t>
  </si>
  <si>
    <t>10 KG</t>
  </si>
  <si>
    <t>FRICO GOUDA CHEESE SNACKS 8X160G</t>
  </si>
  <si>
    <t>160 GR</t>
  </si>
  <si>
    <t>FRICO EDAM WEDGE 8X220G</t>
  </si>
  <si>
    <t>FRICO GOUDA CHILI PEPPERS 2X4.5KG</t>
  </si>
  <si>
    <t>FRICO SMOKED PROCESSED GOUDA CHEESE 2 X 2.85KG</t>
  </si>
  <si>
    <t>2.85 KG</t>
  </si>
  <si>
    <t>FRICO MATURE GOUDA CHEESE 2 X 4.5KG</t>
  </si>
  <si>
    <t>FRICO CUMIN GOUDA CHEESE 2 X 4.5KG</t>
  </si>
  <si>
    <t>FRICO MILD GOUDA CHEESE SLICES 12 X 150G</t>
  </si>
  <si>
    <t>FRICO EDAM BALLS 6X1.9KG</t>
  </si>
  <si>
    <t>1.9 KG</t>
  </si>
  <si>
    <t>JARLSBERG HALF-WHEEL 1 X 5 KG</t>
  </si>
  <si>
    <t>SNOWDONIA BLACK BOMBER EXTRA MATURE CHEDDAR 6X200G</t>
  </si>
  <si>
    <t>SNOWDONIA GREEN THUNDER ROASTED GARLIC &amp;HERB CHEDDAR 6X200G</t>
  </si>
  <si>
    <t>SNOWDONIA BEECHWOOD NATURALLY SMOKED CHEDDAR 6X200G</t>
  </si>
  <si>
    <t>SNOWDONIA RED STORM VINTAGE RED LEICESTER 6X200G</t>
  </si>
  <si>
    <t>SNOWDONIA ROCK STAR VINTAGE CAVE AGED CHEDDAR 6X150G</t>
  </si>
  <si>
    <t>SNOWDONIA RED DEVIL RED LEICESTER &amp; HABANERO CHILLIES 6X200G</t>
  </si>
  <si>
    <t>SNOWDONIA RUBY MIST MATURE CHEDDAR &amp; PORT 6X200G</t>
  </si>
  <si>
    <t>SNOWDONIA AMBER MIST MATURE CHEDDAR &amp; WHISKY 6X200G</t>
  </si>
  <si>
    <t>SNOWDONIA TRUFFLE TROVE CHEDDAR 6X150G</t>
  </si>
  <si>
    <t>SNOWDONIA BLACK BOMBER 1X2KG</t>
  </si>
  <si>
    <t>SNOWDONIA RED STORM 1X2KG</t>
  </si>
  <si>
    <t>SNOWDONIA ROCK STAR 1X1.5KG</t>
  </si>
  <si>
    <t>SNOWDONIA BLACK BOMBER ALE CHEESE BAKE 9X150G</t>
  </si>
  <si>
    <t>SNOWDONIA ROCK STAR WINE &amp; CHEESE BAKE 9/CS</t>
  </si>
  <si>
    <t>SNOWDONIA CHUTNEY POIRE DATE COGNAC 12X114G</t>
  </si>
  <si>
    <t>114 GR</t>
  </si>
  <si>
    <t>SNOWDONIA CHUTNEY BALSAMIC CARAMELISED ONION 12X100G</t>
  </si>
  <si>
    <t>MONSIEUR GUSTAV SALSA LIME GOUDA 12X170G</t>
  </si>
  <si>
    <t>FRICO SWISS SLICES 12X150G</t>
  </si>
  <si>
    <t>BEEHIVE CHEESE</t>
  </si>
  <si>
    <t>BEEHIVE CHEDDAR RUBBED WITH SEA SALT &amp; HONEY</t>
  </si>
  <si>
    <t>BEEHIVE BARELY BUZZED CHEDDAR RUBBED WITH ESPRESSO AND LAVENDER</t>
  </si>
  <si>
    <t>BEEHIVE RED BUTTE HATCH CHILE CHEDDAR RUBBED WITH HATCH CHILIES</t>
  </si>
  <si>
    <t>BEEHIVE TEAHIVE CHEDDAR</t>
  </si>
  <si>
    <t>BEEHIVE QUEEN BEE PORCINI</t>
  </si>
  <si>
    <t>BEEHIVE APPLE WALNUT SMOKED</t>
  </si>
  <si>
    <t>BEEHIVE BIG JOHNS CAJUN</t>
  </si>
  <si>
    <t>BEEHIVE BARELY BUZZED CHS</t>
  </si>
  <si>
    <t>BEEHIVE SEAHIVE CHS</t>
  </si>
  <si>
    <t>BEEHIVE TEAHIVE CHS</t>
  </si>
  <si>
    <t>PAUL DUPRE</t>
  </si>
  <si>
    <t>PAUL DUPRE 11% WHITE COOKING WINE</t>
  </si>
  <si>
    <t>3.78 LT</t>
  </si>
  <si>
    <t>PAUL DUPRE 11% RED COOKING WINE</t>
  </si>
  <si>
    <t>PAUL DUPRE 17% SHERRY STYLE COOKING WINE</t>
  </si>
  <si>
    <t>ANGOSTURA</t>
  </si>
  <si>
    <t>ANGOSTURA AROMATIC BITTERS</t>
  </si>
  <si>
    <t>100 ML</t>
  </si>
  <si>
    <t>ANGOSTURA ORANGE BITTERS</t>
  </si>
  <si>
    <t>ANGOSTURA COCOA BITTERS</t>
  </si>
  <si>
    <t>ANGOSTURA ORANGE BITTER 200ML</t>
  </si>
  <si>
    <t>ANGOSTURA AROMATIC BITTER 200ML</t>
  </si>
  <si>
    <t>ANGOSTURA BIT VAP 6/3/118ML</t>
  </si>
  <si>
    <t>3X118 ML</t>
  </si>
  <si>
    <t>ANGOSTURA AROMATIC BITTERS 18L PAIL</t>
  </si>
  <si>
    <t>18 LT</t>
  </si>
  <si>
    <t>BARBER'S 1833 VINTAGE RESERVE 2 YEAR CHEDDAR CHEESE ENGLAND</t>
  </si>
  <si>
    <t>LAID BACK SNACKS</t>
  </si>
  <si>
    <t>LAID BACK SNACKS HEARTY TAMARI 130G</t>
  </si>
  <si>
    <t>LAID BACK SNACKS MAPLE PRALINE ALMONDS 130G</t>
  </si>
  <si>
    <t>LAID BACK SNACKS WASABI ME 130G</t>
  </si>
  <si>
    <t>LAID BACK SNACKS WHOLESOME YOGI 140G</t>
  </si>
  <si>
    <t>LAID BACK SNACKS HEARTY TAMARI 45G PILLOW POUCH</t>
  </si>
  <si>
    <t>45 GR</t>
  </si>
  <si>
    <t>LAID BACK SNACKS MAPLE PRALINE ALMONDS 45G PILLOW POUCH</t>
  </si>
  <si>
    <t>LAID BACK SNACKS WASABI ME 45G PILLOW POUCH</t>
  </si>
  <si>
    <t>LAID BACK SNACKS WHOLESOME YOGI 45G PILLOW POUCH</t>
  </si>
  <si>
    <t>LBS HONEY HABANERO 130G</t>
  </si>
  <si>
    <t>LAID BACK SNACKS HONEY HABANERO 45G</t>
  </si>
  <si>
    <t>LAID BACK SNACKS CINNAMON NUT MIX WITH CRANBERRIES AND YOGHURT CHIPS</t>
  </si>
  <si>
    <t>SNACK FACTORY</t>
  </si>
  <si>
    <t>SNACK FACTORY PRETZEL CRISPS ORIGINAL</t>
  </si>
  <si>
    <t>SNACK FACTORY PRETZEL CRISPS GARLIC PARMESAN</t>
  </si>
  <si>
    <t>SNACK FACTORY PRETZEL CRISPS EVERYTHING</t>
  </si>
  <si>
    <t>SNACK FACTORY PRETZEL CRISPS SHIPPER MIXED FLAVOURS</t>
  </si>
  <si>
    <t>RACK</t>
  </si>
  <si>
    <t>SNACK FACTORY PRETZEL CRISPS CHOCO HALF PALLET</t>
  </si>
  <si>
    <t>1/2 PALLET</t>
  </si>
  <si>
    <t>SNAK KING INC</t>
  </si>
  <si>
    <t>EL SABROSO GUACA CHIPS</t>
  </si>
  <si>
    <t>284 GR</t>
  </si>
  <si>
    <t>EL SABROSO SALSITAS</t>
  </si>
  <si>
    <t>MRS CRIMBLES</t>
  </si>
  <si>
    <t>MRS. CRIMBLE'S CHOCOLATE FLAVOUR MACAROONS - GLUTEN FREE</t>
  </si>
  <si>
    <t>MRS. CRIMBLE'S COCONUT MACAROONS - GLUTEN FREE</t>
  </si>
  <si>
    <t>BROTHER SPROUT</t>
  </si>
  <si>
    <t>BROTHER SPROUT DA B'Y CON PLANTBASED BACON CRUMBLES</t>
  </si>
  <si>
    <t>BROTHER SPROUT SOYSAGE SCOFF PLANTBASED SAUSAGE CRUMBLES</t>
  </si>
  <si>
    <t>BROTHER SROUT SALT BEEFY PLANTBASED CHOPPED BEEF</t>
  </si>
  <si>
    <t>BROTHER SPROUT MISSUS CHICKY PLANTBASED CHICKEN BITS</t>
  </si>
  <si>
    <t>RUSTIC BAKERY</t>
  </si>
  <si>
    <t>RUSTIC BAKERY FLATBREAD SWEET ONION CRÈME FRAICHE</t>
  </si>
  <si>
    <t>RUSTIC BAKERY CRISPS TART CHERRY, CACAO NIBS AND ALMOND</t>
  </si>
  <si>
    <t>141 GR</t>
  </si>
  <si>
    <t>OLIVE OIL &amp; SEL GRIS</t>
  </si>
  <si>
    <t>112 GR</t>
  </si>
  <si>
    <t>ROSEMARY &amp; OLIVE OIL</t>
  </si>
  <si>
    <t>RUSTIC BAKERY EVERYTHING SPICE</t>
  </si>
  <si>
    <t>RUSTIC BAKERY CRISPS APRICOT, PISTACHIO,AND BRANDY ARTISAN CRISPS</t>
  </si>
  <si>
    <t>RUSTIC BAKERY CRISPS CITRUS, GINGER AND THYME ARTISAN CRISPS</t>
  </si>
  <si>
    <t>RUSTIC BAKERY FLATBREAD OLIVE OIL SEL GRIS 170G</t>
  </si>
  <si>
    <t>RUSTIC BAKERY FLATBREAD ROSEMARY AND OLIVE OIL</t>
  </si>
  <si>
    <t>RUSTIC BAKERY GINGERBREAD TILES</t>
  </si>
  <si>
    <t>283 GR</t>
  </si>
  <si>
    <t>RUSTIC BAKERY VANILLA MINI SNOWFLAKES</t>
  </si>
  <si>
    <t>142 GR</t>
  </si>
  <si>
    <t>RUSTIC BAKERY MINI GINGER BABIES</t>
  </si>
  <si>
    <t>RUSTIC BAKERY CINNAMON SPICE TWINKLES</t>
  </si>
  <si>
    <t>EFFERVE</t>
  </si>
  <si>
    <t>EFFERVE LEMONADE SPARKLING BEVERAGE</t>
  </si>
  <si>
    <t>EFFERVE PINK LEMONADE SPARKLING BEVERAGE</t>
  </si>
  <si>
    <t>EFFERVE FRENCH LEMONADE SPARKLING BEVERAGE</t>
  </si>
  <si>
    <t>EFFERVE POMEGRANATE BLUEBERRY SPARKLING LEMONADE BEVERAGE</t>
  </si>
  <si>
    <t>MAMMA CHIA</t>
  </si>
  <si>
    <t>MAMMA CHIA ORGANIC SQUEEZES BLACKBERRY 4X3.5OZ</t>
  </si>
  <si>
    <t>99 GR</t>
  </si>
  <si>
    <t>MAMMA CHIA ORGANIC SQUEEZES GREEN MAGIC 4X3.5OZ</t>
  </si>
  <si>
    <t>MAMMA CHIA ORGANIC SQUEEZES STRAWBERRY BANANA 4X3.5OZ</t>
  </si>
  <si>
    <t>MAMMA CHIA ORGANIC SQUEEZES WILD RASPBERRY 4X3.5OZ</t>
  </si>
  <si>
    <t>JASON MULDOON PR</t>
  </si>
  <si>
    <t>VITALE</t>
  </si>
  <si>
    <t>VITALE ITALIA SPIANATA SALAMI</t>
  </si>
  <si>
    <t>VITALE SPIANATA SALAMI HOT</t>
  </si>
  <si>
    <t>VITALE MILANO SALAMI</t>
  </si>
  <si>
    <t>VITALE - ALL NATURAL ANTIPASTO</t>
  </si>
  <si>
    <t>VITALE - ALL NATURAL COPPA EMILIANA</t>
  </si>
  <si>
    <t>70 GR</t>
  </si>
  <si>
    <t>VITALE - ALL NATURAL PROSCIUTTO CRUDO (ITALIAN DRY CURED HAM)</t>
  </si>
  <si>
    <t>VITALE PROSCIUTTO CRUDO CLUB PACK</t>
  </si>
  <si>
    <t>VITALE ANTIPASTO 200GR</t>
  </si>
  <si>
    <t>EFFERVE PEAR SPARKLING LEMONADE BEVERAGE</t>
  </si>
  <si>
    <t>EFFERVE SPARKLING CRANBERRY LIME</t>
  </si>
  <si>
    <t>EFFERVE BLOOD ORANGE GRAPEFRUIT SPARKLING LEMONADE</t>
  </si>
  <si>
    <t>VITALE SPIANATA ROMANA ABF 70GR</t>
  </si>
  <si>
    <t>VITALE PROSCIUTTO WITH TRUFFLE 100GR</t>
  </si>
  <si>
    <t>VITALE SALAMI TRIO ABF 100GR</t>
  </si>
  <si>
    <t>VITALE CORTE BUONA PROSCIUTTO WITH TRUFFLE BULK6KG</t>
  </si>
  <si>
    <t>5.8 KG</t>
  </si>
  <si>
    <t>VITALE SALAMI TRIO</t>
  </si>
  <si>
    <t>RANA FOOD SERVICE</t>
  </si>
  <si>
    <t>RANA FS FF BACON EGG &amp; CHEESE BITES</t>
  </si>
  <si>
    <t>RANA FS FF S'MORES BITES</t>
  </si>
  <si>
    <t>RANA FS FF BUFFALO CHICKEN BITES</t>
  </si>
  <si>
    <t>RANA FS FF CHEESE BITES</t>
  </si>
  <si>
    <t>RANA MAINE LOBSTER RAVIOLI</t>
  </si>
  <si>
    <t>3 LB</t>
  </si>
  <si>
    <t>RANA FS BUTTERNUT SQUASH RAVIOLI</t>
  </si>
  <si>
    <t>RANA FS MUSHROOM TRUFFLE RAVIOLI</t>
  </si>
  <si>
    <t>RANA FS MASCARPONE &amp; SPINACH RAVIOLI</t>
  </si>
  <si>
    <t>RANA FS QUATTRO FORMAGGI FRESH FROZEN (MILDCHEESE) RAVIOLI</t>
  </si>
  <si>
    <t>RANA FS RICOTTA &amp; SPINACH RAVIOLI</t>
  </si>
  <si>
    <t>RANA FS QUATTRO FORMAGGI RE-COOKED (MILD CHEESE) RAVIOLI</t>
  </si>
  <si>
    <t>TINKYADA ORGANIC BROWN RICE PASTA LASAGNE</t>
  </si>
  <si>
    <t>280 GR</t>
  </si>
  <si>
    <t>TINKYADA ORGANIC BROWN RICE ELBOW PASTA</t>
  </si>
  <si>
    <t>TINKYADA BROWN RICE SHELLS</t>
  </si>
  <si>
    <t>TINKYADA BROWN RICE LASAGNE</t>
  </si>
  <si>
    <t>TINKYADA BROWN RICE VEGETABLE SPIRALS</t>
  </si>
  <si>
    <t>TINKYADA BROWN RICE ELBOW</t>
  </si>
  <si>
    <t>TINKYADA BROWN RICE FUSILLI</t>
  </si>
  <si>
    <t>TINKYADA BROWN RICE SPIRALS</t>
  </si>
  <si>
    <t>TINKYADA ORGANIC BROWN RICE PENNE 340G</t>
  </si>
  <si>
    <t>TINKYADA ORGANIC BROWN RICE SPIRALS 340G</t>
  </si>
  <si>
    <t>TINKYADA BROWN RICE SPAGHETTI 454G</t>
  </si>
  <si>
    <t>TINKYADA BROWN RICE PENNE 454G</t>
  </si>
  <si>
    <t>TUTTI GOURMET</t>
  </si>
  <si>
    <t>TUTTI GOURMET BISCOTTI GLUTEN FREE ALMOND</t>
  </si>
  <si>
    <t>TUTTI GOURMET BISCOTTI GLUTEN FREE ORANGR AND DARK CHOCOLATE</t>
  </si>
  <si>
    <t>TUTTI GOURMET BISCOTTI GLUTEN FREE PISTACHIO CRANBERRY AND ANISE</t>
  </si>
  <si>
    <t>TUTTI GOURMET BISCOTTI CHOCOLATE, ALMOND&amp; CINNAMON</t>
  </si>
  <si>
    <t>CAFFE MAURO</t>
  </si>
  <si>
    <t>CAFFE MAURO SPECIAL CONCERTO COFFEE BEANS</t>
  </si>
  <si>
    <t>TUTTI GOURMET SUGAR-FREE BROWNIES</t>
  </si>
  <si>
    <t>OETKER</t>
  </si>
  <si>
    <t>DR. OETKER PUDDING POWDER VANILLA</t>
  </si>
  <si>
    <t>3X43 GR</t>
  </si>
  <si>
    <t>SNACK FACTORY PRETZEL CRISPS BUFFALO WING</t>
  </si>
  <si>
    <t>SNACK FACTORY PRETZEL CRISPS MILK CHOCOLATE &amp; CARAMEL FLAVOURED DRIZZLERS</t>
  </si>
  <si>
    <t>155 GR</t>
  </si>
  <si>
    <t>SNACK FACTORY PRETZEL CRISPS MILK CHOCOLATE CRUNCH</t>
  </si>
  <si>
    <t>SNACK FACTORY PRETZEL CRISPS CHOC VAR 155G DISP SHPR 60CT</t>
  </si>
  <si>
    <t>SNACK FACTORY PRETZEL CRISPS HALF PALLET 4 VARIETY</t>
  </si>
  <si>
    <t>SNACK FACTORY PRETZEL CRISPS BITES HONEY MUSTARD 240G</t>
  </si>
  <si>
    <t>SNACK FACTORY PRETZEL CRISPS BITES ZESTY RANCH 240G</t>
  </si>
  <si>
    <t>DR. OETKER INSTANT DRY YEAST</t>
  </si>
  <si>
    <t>3X7 GR</t>
  </si>
  <si>
    <t>GIMME SEAWEED SNACKS</t>
  </si>
  <si>
    <t>GIMME ORGANIC ROASTED SEAWEED SNACKS SEA SALT 10G</t>
  </si>
  <si>
    <t>10 GR</t>
  </si>
  <si>
    <t>MAINLAND</t>
  </si>
  <si>
    <t>MAINLAND VINTAGE CHEDDAR CHEESE</t>
  </si>
  <si>
    <t>GIMME ORGANIC ROASTED SEAWEED - SEA SALT6 PACK</t>
  </si>
  <si>
    <t>5 GR</t>
  </si>
  <si>
    <t>GIMME ORGANIC ROASTED SEAWEED - TERIYAKI6 PACK</t>
  </si>
  <si>
    <t>GIMME ORGANIC ROASTED SEAWEED AVOCADO OIL &amp; SEASALT 9G</t>
  </si>
  <si>
    <t>9 GR</t>
  </si>
  <si>
    <t>GIMME ORGANIC ROASTED SEAWEED AVOCADO OIL &amp; SEASALT 6PK</t>
  </si>
  <si>
    <t>4.5 GR</t>
  </si>
  <si>
    <t>KROON</t>
  </si>
  <si>
    <t>KROON SMOKED PROCESSED CHEESE FOOD WITH ADDED SMOKED FLAVOUR</t>
  </si>
  <si>
    <t>KROON MILD EDAM CHEESE BALLS</t>
  </si>
  <si>
    <t>DR. OETKER VANILLA SUGAR SACHET</t>
  </si>
  <si>
    <t>6X9 GR</t>
  </si>
  <si>
    <t>DR. OETKER BAKING POWDER SACHET</t>
  </si>
  <si>
    <t>6X14 GR</t>
  </si>
  <si>
    <t>DR. OETKER WHIP IT STABILIZER FOR WHIPPING CREAM 5KG</t>
  </si>
  <si>
    <t>KROON MARCA PINA EDAM CHEESE BALL MATURE</t>
  </si>
  <si>
    <t>900 GR</t>
  </si>
  <si>
    <t>OUR FINEST AGED GOUDA WEDGE XO, 200 GR WALMART</t>
  </si>
  <si>
    <t>KROON GOUDA MILD</t>
  </si>
  <si>
    <t>KROON GOUDA MEDIUM</t>
  </si>
  <si>
    <t>KROON GOUDA AGED 7MTHS</t>
  </si>
  <si>
    <t>KROON GOUDA WITH CUMIN</t>
  </si>
  <si>
    <t>KROON GOAT CHEESE</t>
  </si>
  <si>
    <t>DR. OETKER MOUSSE MILK CHOCOLATE LIGHT</t>
  </si>
  <si>
    <t>37.5 GR</t>
  </si>
  <si>
    <t>DR. OETKER MOUSSE FRENCH VANILLA LIGHT</t>
  </si>
  <si>
    <t>OLD CROC</t>
  </si>
  <si>
    <t>OLD CROC EXTRA AGED CHEDDAR CHEESE AUSTRALIA</t>
  </si>
  <si>
    <t>DR. OETKER MOUSSE MILK CHOCOLATE</t>
  </si>
  <si>
    <t>87 GR</t>
  </si>
  <si>
    <t>DR. OETKER PREMIUM MOUSSE DOUBLE CHOCOLATE</t>
  </si>
  <si>
    <t>DR. OETKER MOUSSE STRAWBERRY</t>
  </si>
  <si>
    <t>69 GR</t>
  </si>
  <si>
    <t>DR. OETKER PREMIUM CREME CARAMEL WITH CARAMEL SAUCE</t>
  </si>
  <si>
    <t>105 GR</t>
  </si>
  <si>
    <t>2.44 KG</t>
  </si>
  <si>
    <t>DR. OETKER NATURAL VANILLA SUGAR</t>
  </si>
  <si>
    <t>6X8 GR</t>
  </si>
  <si>
    <t>DR. OETKER WHIP IT STABILIZER FOR WHIPPING CREAM</t>
  </si>
  <si>
    <t>2X10 GR</t>
  </si>
  <si>
    <t>JASON MULDOON PT</t>
  </si>
  <si>
    <t>RIZ BRANDS INC.</t>
  </si>
  <si>
    <t>RIZ WAGYU RIBEYE STEAK</t>
  </si>
  <si>
    <t>RIZ LAM BURGERS</t>
  </si>
  <si>
    <t>RIZ LAM COOKED MEATBALLS</t>
  </si>
  <si>
    <t>375 GR</t>
  </si>
  <si>
    <t>RIZ LAM DINNER SAUSAGE</t>
  </si>
  <si>
    <t>RIZ WAGYU BREAKFAST SAUSAGE</t>
  </si>
  <si>
    <t>RIZ WAGYU BURGERS</t>
  </si>
  <si>
    <t>RIZ WAGYU COOKED MEATBALLS</t>
  </si>
  <si>
    <t>RIZ WAGYU DINNER SAUSAGE</t>
  </si>
  <si>
    <t>RIZ WAGYU KABOBS</t>
  </si>
  <si>
    <t>WAGYU BEEF JERKY ORIGINAL FLAVOUR</t>
  </si>
  <si>
    <t>60 GR</t>
  </si>
  <si>
    <t>WAGYU BEEF JERKY TERRIYAKI FLAVOUR</t>
  </si>
  <si>
    <t>WAGYU BEEF JERKY SWEET HEAT FLAVOUR</t>
  </si>
  <si>
    <t>WAGYU BEEF JERKY DILL FLAVOUR</t>
  </si>
  <si>
    <t>XO BAKING</t>
  </si>
  <si>
    <t>XO BAKING GLUTEN FREE POUND CAKE MIX</t>
  </si>
  <si>
    <t>510 GR</t>
  </si>
  <si>
    <t>XO BAKING GLUTEN FREE BLONDIE MIX</t>
  </si>
  <si>
    <t>521 GR</t>
  </si>
  <si>
    <t>DR. OETKER GELATINE SHEET WHITE</t>
  </si>
  <si>
    <t>CLIPPER TEA</t>
  </si>
  <si>
    <t>CLIPPER ORGANIC AFTER DINNER MINTS ORGANIC DOUBLE MINT &amp; FENNEL HERBAL TEA</t>
  </si>
  <si>
    <t>38 GR</t>
  </si>
  <si>
    <t>CLIPPER ORGANIC ENGLISH BREAKFAST TEA</t>
  </si>
  <si>
    <t>50 GR</t>
  </si>
  <si>
    <t>CLIPPER ORGANIC GREEN TEA</t>
  </si>
  <si>
    <t>40 GR</t>
  </si>
  <si>
    <t>CLIPPER ORGANIC LEMON &amp; GINGER ORGANIC HERBAL TEA</t>
  </si>
  <si>
    <t>CLIPPER ORGANIC RISE &amp; SHINE ORGANIC MATE &amp; LEMONGRAS HERBAL TEA</t>
  </si>
  <si>
    <t>CLIPPER ORG SNORE &amp; PEACE ORGANIC CHAMOMILE, LEMON BALM &amp; LAVENDER HERBAL TEA</t>
  </si>
  <si>
    <t>30 GR</t>
  </si>
  <si>
    <t>MRS RENFRO</t>
  </si>
  <si>
    <t>MRS.RENFRO'S RASPBERRY CHIPOTLE SALSA-MEASPM</t>
  </si>
  <si>
    <t>473 ML</t>
  </si>
  <si>
    <t>MRS RENFRO'S PINEAPPLE SALSA 473 ML</t>
  </si>
  <si>
    <t>MRS.RENFRO'S NACHO CHEESE SAUCE</t>
  </si>
  <si>
    <t>MRS.RENFRO'S BLACK BEAN SALSA</t>
  </si>
  <si>
    <t>MRS.RENFRO'S GARLIC SALSA</t>
  </si>
  <si>
    <t>MRS.RENFRO'S PEACH SALSA</t>
  </si>
  <si>
    <t>MRS.RENFRO'S CHIPOTLE CORN SALSA-MEDIUM</t>
  </si>
  <si>
    <t>MRS.RENFRO'S MILD SALSA</t>
  </si>
  <si>
    <t>MRS.RENFRO'S MANGO HABANERO SALSA</t>
  </si>
  <si>
    <t>MRS.RENFRO'S MEDIUM SALSA</t>
  </si>
  <si>
    <t>MRS.RENFRO'S HABANERO SALSA</t>
  </si>
  <si>
    <t>MRS.RENFRO'S GREEN SALSA</t>
  </si>
  <si>
    <t>MRS.RENFRO'S NACHO CHEESE SAUCE WITH CHIPOTLE</t>
  </si>
  <si>
    <t>MRS.RENFRO'S GHOST PEPPER CHEESE SAUCE</t>
  </si>
  <si>
    <t>XO BAKING GLUTEN FREE CARROT CAKE MIX</t>
  </si>
  <si>
    <t>XO BAKING GLUTEN FREE ZUCCHINI BREAD MIX</t>
  </si>
  <si>
    <t>498 GR</t>
  </si>
  <si>
    <t>XO BAKING GLUTEN FREE DOUBLE CHOCOLATE CHIP COOKIE MIX</t>
  </si>
  <si>
    <t>425 GR</t>
  </si>
  <si>
    <t>XO BAKING GLUTEN FREE CHOCOLATE CHIP COOKIE MIX</t>
  </si>
  <si>
    <t>453 GR</t>
  </si>
  <si>
    <t>XO BAKING GLUTEN FREE GINGERBREAD COOKIE MIX</t>
  </si>
  <si>
    <t>476 GR</t>
  </si>
  <si>
    <t>XO BAKING GLUTEN FREE BANANA BREAD MIX</t>
  </si>
  <si>
    <t>292 GR</t>
  </si>
  <si>
    <t>XO BAKING GLUTEN FREE CORN BREAD MIX</t>
  </si>
  <si>
    <t>438 GR</t>
  </si>
  <si>
    <t>XO BAKING GLUTEN FREE FUDGE BROWNIE MIX</t>
  </si>
  <si>
    <t>481 GR</t>
  </si>
  <si>
    <t>XO BAKING GLUTEN FREE CHOCOLATE CAKE MIX</t>
  </si>
  <si>
    <t>552 GR</t>
  </si>
  <si>
    <t>XO BAKING GLUTEN FREE VANILLA CAKE MIX</t>
  </si>
  <si>
    <t>538 GR</t>
  </si>
  <si>
    <t>XO BAKING GLUTEN FREE VANILLA BUTTERCREAM FROSTING MIX</t>
  </si>
  <si>
    <t>396 GR</t>
  </si>
  <si>
    <t>XO BAKING GLUTEN FREE SUGAR COOKIE MIX</t>
  </si>
  <si>
    <t>408 GR</t>
  </si>
  <si>
    <t>XO BAKING GLUTEN FREE DOUBLE CHOCOLATE PEPPERMINT COOKIE MIX</t>
  </si>
  <si>
    <t>XO BAKING GLUTEN FREE PANCAKE &amp; WAFFLE MIX</t>
  </si>
  <si>
    <t>XO BAKING GLUTEN FREE ALL PURPOSE FLOUR BLEND</t>
  </si>
  <si>
    <t>595 GR</t>
  </si>
  <si>
    <t>XO BAKING PUMPKIN BREAD MIX GLUTEN FREE</t>
  </si>
  <si>
    <t>MRS RENFRO'S GHOST PEPPER SALSA</t>
  </si>
  <si>
    <t>MRS RENFRO'S TEQUILA SALSA</t>
  </si>
  <si>
    <t>XO BAKING GLUTEN FREE PIE CRUST MIX</t>
  </si>
  <si>
    <t>435 GR</t>
  </si>
  <si>
    <t>XO BAKING GLUTEN FREE BISCUIT &amp; SCONE MIX</t>
  </si>
  <si>
    <t>MRS. RENFRO'S CRAFT BEER SALSA</t>
  </si>
  <si>
    <t>XO BAKING ALL PURPOSE FLOUR 3.5 POUND</t>
  </si>
  <si>
    <t>1.59 KG</t>
  </si>
  <si>
    <t>XO BAKING PANCAKE &amp; WAFFLE MIX 3.5LB</t>
  </si>
  <si>
    <t>XO BAKING GF PIZZA CRUST MIX</t>
  </si>
  <si>
    <t>XO BAKING GF COFFEE CAKE MIX</t>
  </si>
  <si>
    <t>594 GR</t>
  </si>
  <si>
    <t>XO BAKING PUMPKIN SPICE PANCAKE &amp; WAFFLE MIX</t>
  </si>
  <si>
    <t>397 GR</t>
  </si>
  <si>
    <t>XO BAKING RAINBOW CANDY COOKIE MIX</t>
  </si>
  <si>
    <t>XO BAKING SHORTBREAD COOKIE MIX</t>
  </si>
  <si>
    <t>210 GR</t>
  </si>
  <si>
    <t>XO BAKING BANANA MUFFIN MIX</t>
  </si>
  <si>
    <t>231 GR</t>
  </si>
  <si>
    <t>XO BAKING SWEET CORN MUFFIN MIX</t>
  </si>
  <si>
    <t>260 GR</t>
  </si>
  <si>
    <t>XO BAKING CHOCOLATE CHIP MUFFIN MIX</t>
  </si>
  <si>
    <t>267 GR</t>
  </si>
  <si>
    <t>XO BAKING CHOCOLATE CUPCAKE &amp; MUFFIN MIX</t>
  </si>
  <si>
    <t>276 GR</t>
  </si>
  <si>
    <t>XO BAKING CONFETTI CUPCAKE &amp; CAKE MIX</t>
  </si>
  <si>
    <t>XO BAKING APPLE CRISP MIX</t>
  </si>
  <si>
    <t>JOY CONE COMPANY</t>
  </si>
  <si>
    <t>JOY CONE WAFFLE BOWL</t>
  </si>
  <si>
    <t>199 GR</t>
  </si>
  <si>
    <t>JOY CONE CAKE CUPS</t>
  </si>
  <si>
    <t>SUNSHINE FARMS</t>
  </si>
  <si>
    <t>SUNSHINE FARMS ZESTY PICKLED ASPARAGUS</t>
  </si>
  <si>
    <t>ALEIA'S GF</t>
  </si>
  <si>
    <t>ALEIA'S COAT &amp; CRUNCH EXTRA CRISPY</t>
  </si>
  <si>
    <t>ALEIA'S COAT &amp; CRUNCH CRISPY SPICY</t>
  </si>
  <si>
    <t>ALEIA'S COAT &amp; CRUNCH LEMON HERB</t>
  </si>
  <si>
    <t>ALEIA'S ITALIAN BREAD CRUMBS</t>
  </si>
  <si>
    <t>ALEIA'S PLAIN BREAD CRUMBS</t>
  </si>
  <si>
    <t>ALEIA'S VEGAN ITALIAN BREAD CRUMBS</t>
  </si>
  <si>
    <t>ALEIA'S PANKO BREAD CRUMBS</t>
  </si>
  <si>
    <t>ALEIA'S SAVORY STUFFING MIX</t>
  </si>
  <si>
    <t>ALEIA'S COOK TOP VEGETABLE STUFFING</t>
  </si>
  <si>
    <t>ALEIA'S COOK TOP POULTRY STUFFING MIX</t>
  </si>
  <si>
    <t>ALEIA'S SEASONED CROUTONS</t>
  </si>
  <si>
    <t>ALEIA'S GARLIC CROUTONS</t>
  </si>
  <si>
    <t>CBSS CHEESESAUCE</t>
  </si>
  <si>
    <t>CINEPLEX BIG SCREEN SNAX 0G TFA CHEESE SAUCE POUCH</t>
  </si>
  <si>
    <t>3.16 LT</t>
  </si>
  <si>
    <t>CINEPLEX BIG SCREEN SNAX NACHO CHEESE SAUCE (CANS) LG</t>
  </si>
  <si>
    <t>2.95 LT</t>
  </si>
  <si>
    <t>SABANA</t>
  </si>
  <si>
    <t>SABANA QUESO BLANCO - FRESH SOFT WHITE CHEESE</t>
  </si>
  <si>
    <t>SABANA QUESO FRESCO - GRILLING CHEESE</t>
  </si>
  <si>
    <t>SABANA QUESO COTIJA - SEMI-HARD, SALTY, CRUMBLY CHEESE</t>
  </si>
  <si>
    <t>GREAT LAKES GOAT DAI</t>
  </si>
  <si>
    <t>GREAT LAKES MILD CHEDDAR GOAT CHEESE</t>
  </si>
  <si>
    <t>175 GR</t>
  </si>
  <si>
    <t>GREAT LAKES AGED CHEDDAR GOAT CHEESE</t>
  </si>
  <si>
    <t>GREAT LAKES MARBLE GOAT CHEESE</t>
  </si>
  <si>
    <t>GREAT LAKES HERB &amp; GARLIC GOAT CHEESE</t>
  </si>
  <si>
    <t>GREAT LAKES CHEDDAR GOAT CHEESE WITH CARAMELIZED ONION FLAVOUR</t>
  </si>
  <si>
    <t>GREAT LAKES SMOKIN GOAT AGED CHEESE</t>
  </si>
  <si>
    <t>GREAT LAKES MAPLE CHEDDAR GOAT CHEESE</t>
  </si>
  <si>
    <t>GREAT LAKES HOT CHILI HAVARTI GOAT CHEESE</t>
  </si>
  <si>
    <t>GREAT LAKES CRANBERRY HAVARTI GOAT CHEESE</t>
  </si>
  <si>
    <t>158 GR</t>
  </si>
  <si>
    <t>GREAT LAKES MOZZARELLA GOAT CHEESE</t>
  </si>
  <si>
    <t>GREAT LAKES  ASIAGOAT GOAT CHEESE</t>
  </si>
  <si>
    <t>GREAT LAKES GREEK GOAT CHEESE</t>
  </si>
  <si>
    <t>COWS CREAMERY</t>
  </si>
  <si>
    <t>COWS AVONLEA CLOTHBOUND CHEDDAR- QUARTER WHEEL</t>
  </si>
  <si>
    <t>COWS AVONLEA CLOTHBOUND CHEDDAR- HALF WHEEL</t>
  </si>
  <si>
    <t>COWS AVONLEA CLOTHBOUND CHEDDAR- FULL WHEEL</t>
  </si>
  <si>
    <t>COWS CREAMERY EXTRA OLD CHEDDAR - BLOCK</t>
  </si>
  <si>
    <t>COWS CREAMERY APPLETREE SMOKED CHEDDAR -BLOCK</t>
  </si>
  <si>
    <t>COWS CREAMERY SEA SALTED BUTTER</t>
  </si>
  <si>
    <t>COWS CREAMERY UNSALTED BUTTER</t>
  </si>
  <si>
    <t>COWS CREAMERY CULTURED BUTTER</t>
  </si>
  <si>
    <t>COWS CREAMERY 3 YEAR OLD CHEDDAR</t>
  </si>
  <si>
    <t>COWS CREAMERY EXTRA OLD CHEDDAR</t>
  </si>
  <si>
    <t>COWS CREAMERY 1 YEAR OLD CHEDDAR</t>
  </si>
  <si>
    <t>COWS CREAMERY 2 YEAR OLD CHEDDAR</t>
  </si>
  <si>
    <t>BOTHWELL CHEESE</t>
  </si>
  <si>
    <t>BOTHWELL CHEESE MARBLE CHEDDAR</t>
  </si>
  <si>
    <t>BOTHWELL CHEESE MUENSTER</t>
  </si>
  <si>
    <t>BOTHWELL CHEESE HABANERO WITH CRACKED BLACK PEPPER MONTEREY JACK</t>
  </si>
  <si>
    <t>BOTHWELL CHEESE JALAPENO MONTEREY JACK</t>
  </si>
  <si>
    <t>BOTHWELL CHEESE RED HOT CHILI PEPPER MONTEREY JACK</t>
  </si>
  <si>
    <t>BOTHWELL CHEESE EXTRA OLD WHITE CHEDDAR</t>
  </si>
  <si>
    <t>BOTHWELL CHEESE MAPLEWOOD SMOKED EXTRA OLD CHEDDAR</t>
  </si>
  <si>
    <t>BOTHWELL CHEESE SMOKED GOUDA</t>
  </si>
  <si>
    <t>BOTHWELL CHEESE RED WINE EXTRA OLD CHEDDAR</t>
  </si>
  <si>
    <t>BOTHWELL CHEESE BLACK TRUFFLE</t>
  </si>
  <si>
    <t>BOTHWELL CHEESE JALAPENO MONTEREY JACK 2.5KG</t>
  </si>
  <si>
    <t>BOTHWELL CHEESE BULK MARBLE CHEDDAR 2.5KG</t>
  </si>
  <si>
    <t>BOTHWELL CHEESE BULK MEDIUM COLOURED CHEDDAR 2.5KG</t>
  </si>
  <si>
    <t>BOTHWELL CHEESE BULK MOZZARELLA</t>
  </si>
  <si>
    <t>BOTHWELL CHEESE BULK BLACK TRUFFLE</t>
  </si>
  <si>
    <t>BOTHWELL CHEESE BULK SMOKED GOUDA</t>
  </si>
  <si>
    <t>2.5 GR</t>
  </si>
  <si>
    <t>BOTHWELL CHEESE SQUEAK'RS WHITE CHEDDAR CHEESE 240G</t>
  </si>
  <si>
    <t>BOTHWELL CHEESE SQUEAK'RS ORANGE CHEDDARCHEESE 240G</t>
  </si>
  <si>
    <t>BOTHWELL CHEESE SLICE VARIETY PACK</t>
  </si>
  <si>
    <t>EL RABIOSO</t>
  </si>
  <si>
    <t>EL RABIOSO NACHO CHIPS YELLOW TRIANGLE</t>
  </si>
  <si>
    <t>EL RABIOSO NACHO CHIPS YELLOW ROUND</t>
  </si>
  <si>
    <t>EL RABIOSO TRICOLOUR TRIANGLE NACHO CHIPS</t>
  </si>
  <si>
    <t>BOTHWELL CHEESE MOZZARELLA 540G</t>
  </si>
  <si>
    <t>540 GR</t>
  </si>
  <si>
    <t>BOTHWELL CHEESE MILD CHEDDAR 540G</t>
  </si>
  <si>
    <t>BOTHWELL CHEESE MEDIUM CHEDDAR 540G</t>
  </si>
  <si>
    <t>BOTHWELL CHEESE MARBLE CHEDDAR 540G</t>
  </si>
  <si>
    <t>BOTHWELL CHEESE OLD CHEDDAR 540G</t>
  </si>
  <si>
    <t>BOTHWELL CHEESE JALAPENO MONTEREY JACK 540G</t>
  </si>
  <si>
    <t>BOTHWELL CHEESE BULK MILD CHEDDAR 2.5KG</t>
  </si>
  <si>
    <t>BOTHWELL CHEESE BULK OLD CHEDDAR 2.5KG</t>
  </si>
  <si>
    <t>BOTHWELL CHEESE BULK MONTEREY JACK 2.5KG</t>
  </si>
  <si>
    <t>BOTHWELL CHEESE SMOKED GOUDA 540G</t>
  </si>
  <si>
    <t>BOTHWELL CHEESE CURDS WHITE CHEDDAR 1KG</t>
  </si>
  <si>
    <t>EL RABIOSO WHITE TRIANGLE NACHO CHIPS</t>
  </si>
  <si>
    <t>BOTHWELL CHEESE SLICED CHEDDAR VARIETY PACK</t>
  </si>
  <si>
    <t>BOTHWELL CHEESE CHARCUTERIE BOX</t>
  </si>
  <si>
    <t>BOTHWELL CHEESE CUBES MARBLE CHEESE</t>
  </si>
  <si>
    <t>CALLIPO</t>
  </si>
  <si>
    <t>LONGOS CURATO TUNA IN OIL 3X80GR</t>
  </si>
  <si>
    <t>BOTHWELL CHEESE BULK SHRED JALAPENO MONTEREY JACK</t>
  </si>
  <si>
    <t>COWS CREAMERY BULK BLUE MOO TRIPLE CREAMCHS</t>
  </si>
  <si>
    <t>BOTHWELL CHEESE 250G LACTOSE FREE MEDIUM CHEDDAR</t>
  </si>
  <si>
    <t>BOTHWELL CHEESE 250G LACTOSE FREE OLD WHITE CHEDDAR</t>
  </si>
  <si>
    <t>LONGOS CURATO TUNA IN GLASS 150 GR</t>
  </si>
  <si>
    <t>COWS CREAMERY 180G APPLETREE SMOKED CHEDDAR CHEESE</t>
  </si>
  <si>
    <t>COWS CREAMERY MOO CRISPS</t>
  </si>
  <si>
    <t>SABANA QUESO DURO</t>
  </si>
  <si>
    <t>COWS AVONLEA CLOTHBOUND CHEDDAR</t>
  </si>
  <si>
    <t>ANNE OF GREEN GABLES</t>
  </si>
  <si>
    <t>COWS CHIPS MILK CHOCOLATE COVERED POTATO CHIPS</t>
  </si>
  <si>
    <t>BLUE DIAMOND NUT THINS RICE &amp; NUTS CRACKER SNACKS</t>
  </si>
  <si>
    <t>BLUE DIAMOND NUT THINS PECAN RICE</t>
  </si>
  <si>
    <t>BARISTA</t>
  </si>
  <si>
    <t>BARISTA GUSTO DELICATO FTO PODS 10CT-LIGHT</t>
  </si>
  <si>
    <t>10 CT PODS</t>
  </si>
  <si>
    <t>BARISTA AROMA DI CASA FTO PODS 10CT-MEDIUM</t>
  </si>
  <si>
    <t>BARISTA NERO INTENSO FTO PODS 10CT-DARK</t>
  </si>
  <si>
    <t>BARISTA BIO UNO ESPRESSO CAPSULES</t>
  </si>
  <si>
    <t>10 CT NESPRESSO</t>
  </si>
  <si>
    <t>BARISTA BIO DUE ESPRESSO CAPSULES</t>
  </si>
  <si>
    <t>BARISTA BIO TRE ESPRESSO CAPSULES</t>
  </si>
  <si>
    <t>BARISTA GAMME ESPRESSO BIO UNO WHOLE BEAN 340G</t>
  </si>
  <si>
    <t>BARISTA GAMME ESPRESSO BIO DUE WHOLE BEAN 340G</t>
  </si>
  <si>
    <t>BARISTA GAMME ESPRESSO BIO TRE WHOLE BEAN 340G</t>
  </si>
  <si>
    <t>BARISTA GAMME ESPRESSO BIO UNO GROUND 340G</t>
  </si>
  <si>
    <t>BARISTA GAMME ESPRESSO BIO DUE GROUND 340G</t>
  </si>
  <si>
    <t>BARISTA GAMME ESPRESSO BIO TRE GROUND 340G</t>
  </si>
  <si>
    <t>BLUE DIAMOND ALMOND FLOUR 11.34 KG</t>
  </si>
  <si>
    <t>BLUE DIAMOND SNACK NUTS DILL PICKLE</t>
  </si>
  <si>
    <t>BLUE DIAMOND SNACK NUTS HONEY ROASTED</t>
  </si>
  <si>
    <t>BLUE DIAMOND SNACK NUTS ROASTED SALTED</t>
  </si>
  <si>
    <t>BLUE DIAMOND SNACK NUTS SMOKEHOUSE</t>
  </si>
  <si>
    <t>BLUE DIAMOND SRIRACHA SNACKING NUTS</t>
  </si>
  <si>
    <t>BLUE DIAMOND SNACK NUTS SALT AND VINEGAR</t>
  </si>
  <si>
    <t>BLUE DIAMOND SNACK NUTS WASABI AND SOY SAUCE</t>
  </si>
  <si>
    <t>EL SABROSO PALLET GUACACHIPS</t>
  </si>
  <si>
    <t>BLUE DIAMOND SNACK NUTS WHOLE NATURAL 454G</t>
  </si>
  <si>
    <t>BLUE DIAMOND SNACK NUTS ROASTED SALTED 454G</t>
  </si>
  <si>
    <t>BLUE DIAMOND SNACK NUTS HONEY ROASTED 310G</t>
  </si>
  <si>
    <t>310 GR</t>
  </si>
  <si>
    <t>BLUE DIAMOND SNACK NUTS SMOKEHOUSE 310G</t>
  </si>
  <si>
    <t>ANTICO</t>
  </si>
  <si>
    <t>ANTICO ORGANIC MARINARA PASTA SAUCE</t>
  </si>
  <si>
    <t>700 ML</t>
  </si>
  <si>
    <t>ANTICO ORGANIC TOMATO BASIL PASTA SAUCE</t>
  </si>
  <si>
    <t>ANTICO ORGANIC ROASTED GARLIC PASTA SAUCE</t>
  </si>
  <si>
    <t>COOMBE CASTLE FIDDLER'S GREEN CHEDDAR, RED LEICESTER AND SAGE DERBY CHEESE</t>
  </si>
  <si>
    <t>SCHAR</t>
  </si>
  <si>
    <t>SCHAR COOKIES CHOCOLATE DIPPED 12PK GF</t>
  </si>
  <si>
    <t>SCHAR HONEYGRAMS 6PK GF</t>
  </si>
  <si>
    <t>SCHARX COOKIES FROLLINI GF</t>
  </si>
  <si>
    <t>SCHAR HONEYGRAMS CHOCOLATE 6PK GF</t>
  </si>
  <si>
    <t>SCHAR DELI STYLE BREAD FLAX 5PK GF</t>
  </si>
  <si>
    <t>SCHAR DELI STYLE BREAD SOURDOUGH 5PK GF</t>
  </si>
  <si>
    <t>SCHAR LADYFINGERS 6PK GF</t>
  </si>
  <si>
    <t>SCHAR CRACKERS 5PK GF</t>
  </si>
  <si>
    <t>SCHAR CRACKERS MULTIGRAIN 5PK GF</t>
  </si>
  <si>
    <t>SCHAR CRACKERS ROSEMARY 5PK GF</t>
  </si>
  <si>
    <t>SCHAR AB BREAD 10 GRAIN &amp; SEEDS 8PK GF</t>
  </si>
  <si>
    <t>SCHAR AB BREAD MULTIGRAIN 8PK GF</t>
  </si>
  <si>
    <t>SCHAR AB BREAD WHITE 8PK GF</t>
  </si>
  <si>
    <t>SCHAR BREADSTICKS 5 PACK 5PK GF</t>
  </si>
  <si>
    <t>SCHAR CIABATTA 5PK GF</t>
  </si>
  <si>
    <t>SCHAR CIABATTA MULTIGRAIN 5PK GF</t>
  </si>
  <si>
    <t>SCHAR TWIN BARS 14PK GF</t>
  </si>
  <si>
    <t>64.5 GR</t>
  </si>
  <si>
    <t>SCHAR PIZZA CRUST 4PK GF</t>
  </si>
  <si>
    <t>SCHAR BAGUETTE 6PK GF</t>
  </si>
  <si>
    <t>SCHAR ENTERTAINMENT CRACKERS 5PK GF</t>
  </si>
  <si>
    <t>SCHAR GLUTEN FREE HOT DOG BUNS 4PK</t>
  </si>
  <si>
    <t>228 GR</t>
  </si>
  <si>
    <t>SCHAR HAMBURGER BUNS 4PK GF</t>
  </si>
  <si>
    <t>SCHAR PANETTONE GF</t>
  </si>
  <si>
    <t>420 GR</t>
  </si>
  <si>
    <t>SCHAR SANDWICH ROLLS 7PK GF</t>
  </si>
  <si>
    <t>SCHAR SPECULOOS GF</t>
  </si>
  <si>
    <t>SCHAR MUFFINS CLASSIC 4PK GF</t>
  </si>
  <si>
    <t>225 GR</t>
  </si>
  <si>
    <t>SCHAR MUFFINS CHOCOLATE 4PK GF</t>
  </si>
  <si>
    <t>SCHAR MUFFINS CHOC CHIP 4PK GF</t>
  </si>
  <si>
    <t>LIVIVA</t>
  </si>
  <si>
    <t>LIVIVA SHIR OAT FETTUCCINE</t>
  </si>
  <si>
    <t>LIVIVA SHIR OAT PENNE</t>
  </si>
  <si>
    <t>LIVIVA SHIR OAT RICE</t>
  </si>
  <si>
    <t>LIVIVA SHIR OAT SPAGHETTI</t>
  </si>
  <si>
    <t>LIV KETO SPAGHETTI</t>
  </si>
  <si>
    <t>LIVIVA KETO FETTUCCINE</t>
  </si>
  <si>
    <t>LIVIVA KETO LINGUINE</t>
  </si>
  <si>
    <t>LIVIVA DRIED SHIRATAKI NOODLES</t>
  </si>
  <si>
    <t>LIVIVA DRIED SHIRATAKI SPAGHETTI</t>
  </si>
  <si>
    <t>LIVIVA DRIED SHIRATKI INSTANT RICE</t>
  </si>
  <si>
    <t>LIVIVA ORG BLACK BEAN FETT</t>
  </si>
  <si>
    <t>LIVIVA ORG BLACK BEAN SPAG</t>
  </si>
  <si>
    <t>LIVIVA ORG EDAMAME SPAG</t>
  </si>
  <si>
    <t>LIVIVA ORG SOYBEAN FETTUCCINE</t>
  </si>
  <si>
    <t>LIVIVA ORG SOYBEAN SPAGHETTI</t>
  </si>
  <si>
    <t>CAFFE MAURO PRESTIGE ESPRESSO COFFEE BEANS</t>
  </si>
  <si>
    <t>CAFFE MAURO DELUXE ESPRESSO COFFEE BEANS</t>
  </si>
  <si>
    <t>BALCONI</t>
  </si>
  <si>
    <t>BALCONI TRANCETTO CHOCOLATE SNACK CAKES</t>
  </si>
  <si>
    <t>BALCONI TRANCETTO APRICOT SNACK CAKES</t>
  </si>
  <si>
    <t>BALCONI MIXMAK MINI SNACK CAKES</t>
  </si>
  <si>
    <t>BALCONI MIXMILK MINI SNACK CAKES</t>
  </si>
  <si>
    <t>BALCONI TIRAMISU CAKE</t>
  </si>
  <si>
    <t>BALCONI VIENNA CAKE</t>
  </si>
  <si>
    <t>BALCONI CHOCO DESSERT CAKE</t>
  </si>
  <si>
    <t>BALCONI CAPPUCCINO ROLL CAKE</t>
  </si>
  <si>
    <t>BALCONI CHOCOLATE ROLL CAKE</t>
  </si>
  <si>
    <t>BALCONI CHOCOLATTE MINI SNACK CAKES</t>
  </si>
  <si>
    <t>BALCONI MINI TIRAMISU SNACK CAKES</t>
  </si>
  <si>
    <t>BONOMI</t>
  </si>
  <si>
    <t>BONOMI SAVOIARDI-LADY FINGERS</t>
  </si>
  <si>
    <t>BONOMI GLAZED SFOLGIA (PUFF PASTRY)</t>
  </si>
  <si>
    <t>135 GR</t>
  </si>
  <si>
    <t>BONOMI SUGARED SFOLGIA (PUFF PASTRY)</t>
  </si>
  <si>
    <t>BONOMI AMARETTI COOKIES</t>
  </si>
  <si>
    <t>BONOMI SAVOIARDI-LADY FINGERS BULK</t>
  </si>
  <si>
    <t>BARTOLINI</t>
  </si>
  <si>
    <t>BARTOLINI BEANS QUICK COOK SOUP BLEND</t>
  </si>
  <si>
    <t>BARTOLINI BEANS FARMERS SOUP BLEND</t>
  </si>
  <si>
    <t>BARTOLINI DRIED CANNELLINI</t>
  </si>
  <si>
    <t>BARTOLINI DRIED LENTIL</t>
  </si>
  <si>
    <t>CALLIPO TUNA CANNED 3PK IN OIL</t>
  </si>
  <si>
    <t>CALLIPO TUNA CANNED 2PK IN OIL</t>
  </si>
  <si>
    <t>CALLIPO TUNA TIN IN OIL</t>
  </si>
  <si>
    <t>CALLIPO TUNA CANNED 3PK IN WATER</t>
  </si>
  <si>
    <t>CALLIPO TONNELLO TUNA PIECES IN JAR</t>
  </si>
  <si>
    <t>CALLIPO TONNELLO SPICY TUNA PIECES JAR</t>
  </si>
  <si>
    <t>CALLIPO TUNA FILLETS IN JAR</t>
  </si>
  <si>
    <t>CALLIPO TUNA JARRED 2PK IN OIL</t>
  </si>
  <si>
    <t>CALLIPO TUNA CHUNKS IN JAR</t>
  </si>
  <si>
    <t>CALLIPO TUNA 3PK IN OIL</t>
  </si>
  <si>
    <t>CALLIPO MACKEREL FILLETS JAR</t>
  </si>
  <si>
    <t>CALLIPO BUZZONAGLIA TUNA TIN</t>
  </si>
  <si>
    <t>620 GR</t>
  </si>
  <si>
    <t>CALLIPO NDUJA (SPREADABLE SALAMI) JAR</t>
  </si>
  <si>
    <t>CALLIPO RED ONION JAM</t>
  </si>
  <si>
    <t>CALLIPO CLEMENTINE JAM</t>
  </si>
  <si>
    <t>CALLIPO LEMON &amp; GINGER JAM</t>
  </si>
  <si>
    <t>DOK DALL'AVA</t>
  </si>
  <si>
    <t>DOK DALL'AVA SAN DANIELLE PROSCIUTTO 24 MONTHS</t>
  </si>
  <si>
    <t>8.8 KG</t>
  </si>
  <si>
    <t>LEONCINI</t>
  </si>
  <si>
    <t>LEONCINI PROSCIUTTO PARMA - 18MONTHS</t>
  </si>
  <si>
    <t>7.84 KG</t>
  </si>
  <si>
    <t>LEONCINI PORCHETTA</t>
  </si>
  <si>
    <t>6.34 KG</t>
  </si>
  <si>
    <t>LEONCINI SMOKED SOFT PANCETTA</t>
  </si>
  <si>
    <t>3.41 KG</t>
  </si>
  <si>
    <t>LEONCINI PROSCIUTTO PARMA - 24MONTHS</t>
  </si>
  <si>
    <t>8.58 KG</t>
  </si>
  <si>
    <t>LEONCINI PROSCIUTTO COTTO (COOKED HAM)</t>
  </si>
  <si>
    <t>7.53 KG</t>
  </si>
  <si>
    <t>LEONCINI PROSCIUTTO COTTO WITH HERBES</t>
  </si>
  <si>
    <t>7.77 KG</t>
  </si>
  <si>
    <t>LEONCINI PROSCIUTTO PARMA - 16MONTHS</t>
  </si>
  <si>
    <t>7.71 KG</t>
  </si>
  <si>
    <t>LA CUTURA</t>
  </si>
  <si>
    <t>LA CULTURA BRESAOLA (DRY AGED BEEF)</t>
  </si>
  <si>
    <t>PAESE MIO</t>
  </si>
  <si>
    <t>SCALIA WHOLE ANCHOVIES IN SALT</t>
  </si>
  <si>
    <t>RECLA</t>
  </si>
  <si>
    <t>RECLA SPECK (SMOKED PROSCIUTTO)</t>
  </si>
  <si>
    <t>2.45 KG</t>
  </si>
  <si>
    <t>PRIMUCCI</t>
  </si>
  <si>
    <t>PRIMUCCI PEELED CANNED TOMATOES</t>
  </si>
  <si>
    <t>800 GR</t>
  </si>
  <si>
    <t>TRE MARIE</t>
  </si>
  <si>
    <t>TRE MARIE FROLLINI CHOCO CHIP COOKIES</t>
  </si>
  <si>
    <t>TRE MARIE FROLLINI DOUBLE CHOC COOKIES</t>
  </si>
  <si>
    <t>TRE MARIE WAFERS STRACCIATELLA</t>
  </si>
  <si>
    <t>TRE MARIE PANETTONE MILANESE 3747 750GR</t>
  </si>
  <si>
    <t>750 GR</t>
  </si>
  <si>
    <t>TRE MARIE PANETTONE CHOCOLATE RENOIR 4508 900GR</t>
  </si>
  <si>
    <t>TRE MARIE PANETTONE CARAMEL PEAR 4590 900GR</t>
  </si>
  <si>
    <t>TRE MARIE PANETTONE WHOLE RAISIN 4228 1000GR</t>
  </si>
  <si>
    <t>TRE MARIE PANETTONE PERLA SUD 4538 850GR</t>
  </si>
  <si>
    <t>850 GR</t>
  </si>
  <si>
    <t>TRE MARIE PANETTONE PANDORO 3750 750GR</t>
  </si>
  <si>
    <t>TRE MARIE PANETTONE PANDORO CHOCOLATE 3347 1000GR</t>
  </si>
  <si>
    <t>1000 GR</t>
  </si>
  <si>
    <t>TRE MARIE PANETTONE CAPO NOIR &amp; CREAM 2532 830 GR</t>
  </si>
  <si>
    <t>830 GR</t>
  </si>
  <si>
    <t>TRE MARIE PANETTONE CAPO BIANCO 4509 800GR</t>
  </si>
  <si>
    <t>TRE MARIE COLOMBIA CLASSIC</t>
  </si>
  <si>
    <t>TRE MARIE COLOMBA MAGNIFICA 930 GR</t>
  </si>
  <si>
    <t>930 GR</t>
  </si>
  <si>
    <t>TRE MARIE COLOMBA PERLA DEL SUD</t>
  </si>
  <si>
    <t>MANGIATORELLA</t>
  </si>
  <si>
    <t>MANGIATORELLA MINERAL WATER (12 x 0.5 LT)</t>
  </si>
  <si>
    <t>.5 LT</t>
  </si>
  <si>
    <t>MANGIATORELLA MINERAL WATER (6 x 1.5 LT)</t>
  </si>
  <si>
    <t>MADEO</t>
  </si>
  <si>
    <t>MADEO NDUJA (SPREADABLE SALAMI) PIECE</t>
  </si>
  <si>
    <t>MADEO SPIANATA SAUSAGE BULK</t>
  </si>
  <si>
    <t>1.83 KG</t>
  </si>
  <si>
    <t>MADEO ROUND PANCETTA BULK</t>
  </si>
  <si>
    <t>.90 KG</t>
  </si>
  <si>
    <t>RUSTICO DELI</t>
  </si>
  <si>
    <t>RUSTICO ITALIAN PROSCIUTTO</t>
  </si>
  <si>
    <t>6.45 KG</t>
  </si>
  <si>
    <t>RUSTICO PROSCIUTTO PARMA 18M</t>
  </si>
  <si>
    <t>7 KG</t>
  </si>
  <si>
    <t>CALLIPO TUNA IN GLASS WITH POTATO &amp; ROSEMARY</t>
  </si>
  <si>
    <t>TRE MARIE WAFERS NOCCIOLATO</t>
  </si>
  <si>
    <t>DOK DALL'AVA PROSCIUTTO SAN DANIELLE 18M</t>
  </si>
  <si>
    <t>9.11 KG</t>
  </si>
  <si>
    <t>DOK PROS SAN DANIELLE 30-36M</t>
  </si>
  <si>
    <t>8.23 KG</t>
  </si>
  <si>
    <t>TRE MARIE PANETTONE COFFEE CHOCOLATE</t>
  </si>
  <si>
    <t>CALLIPO CANNED SPICY TUNA IN OLIVE OIL</t>
  </si>
  <si>
    <t>BALCONI WAFERS CUBI COCOA 250GR</t>
  </si>
  <si>
    <t>BALCONI WAFERS CUBI DARK CHOCOLATE 250GR</t>
  </si>
  <si>
    <t>BALCONI WAFERS CUBI HAZELNUT 250GR</t>
  </si>
  <si>
    <t>BALCONI WAFERS CUBI LEMON 250GR</t>
  </si>
  <si>
    <t>BALCONI WAFERS CUBI VANILLA 250GR</t>
  </si>
  <si>
    <t>CALLIPO TUNA TIN IN OIL 1.7KG</t>
  </si>
  <si>
    <t>1700 GR</t>
  </si>
  <si>
    <t>LEONCINI PROSCIUTTO PARMA - 30M</t>
  </si>
  <si>
    <t>8.73 KG</t>
  </si>
  <si>
    <t>LEONCINI COOKED HAM WITH TRUFFLES</t>
  </si>
  <si>
    <t>7.73 KG</t>
  </si>
  <si>
    <t>BORDONI BRESAOLA BEEF</t>
  </si>
  <si>
    <t>1.7 KG</t>
  </si>
  <si>
    <t>CALLIPO CHUNKS OF LIGHT YELLOWFIN TUNA IN OLIVE OIL</t>
  </si>
  <si>
    <t>CALLIPO FIG JAM 220 ML</t>
  </si>
  <si>
    <t>SAN MICHELE PROSCIUTTO BONELESS DRY HAM (SLICING BLOCK)</t>
  </si>
  <si>
    <t>SAN MICHELE BONELESS SAN DANIELE HAM 24M</t>
  </si>
  <si>
    <t>8.0 KG</t>
  </si>
  <si>
    <t>CALLIPO SOLID LIGHT TUNA IN OLIVE OIL</t>
  </si>
  <si>
    <t>3X65 GR</t>
  </si>
  <si>
    <t>CALLIPO LIGHT TUNA SALAD WITH BEANS CORN AND PEPPER</t>
  </si>
  <si>
    <t>CALLIPO LIGHT TUNA SALAD WITH CORN, CARROTS AND OLIVES</t>
  </si>
  <si>
    <t>CALLIPO LIGHT TUNA SALAD WITH RED QUINOA CHICKPEAS PEAS AND TOMATO</t>
  </si>
  <si>
    <t>LEONCINI COOKED TURKEY BREAST</t>
  </si>
  <si>
    <t>CALLIPO PLANT BASED TUNA CHUNKS</t>
  </si>
  <si>
    <t>3X70 GR</t>
  </si>
  <si>
    <t>RUSTICO GENOA SALAMI</t>
  </si>
  <si>
    <t>FLOURISH</t>
  </si>
  <si>
    <t>FLOURISH FULL SHIPPER DISPLAY BUTTERMILK/CHOCOLATE 32 CT</t>
  </si>
  <si>
    <t>430 GR</t>
  </si>
  <si>
    <t>LONGOS</t>
  </si>
  <si>
    <t>LONGOS CURATO TOMATO PASTE TUBE 150ML</t>
  </si>
  <si>
    <t>TOP GRASS CATTLE CO</t>
  </si>
  <si>
    <t>TOP GRASS BEEF BURGERS</t>
  </si>
  <si>
    <t>568 GR</t>
  </si>
  <si>
    <t>TOP GRASS BEEF MEATBALLS</t>
  </si>
  <si>
    <t>TOP GRASS LEAN GROUND BEEF</t>
  </si>
  <si>
    <t>LONGOS SICILIAN EXTRA VIRGIN OLIVE OIL</t>
  </si>
  <si>
    <t>LONGOS TOSCANO OLIVE OIL</t>
  </si>
  <si>
    <t>LONGOS WHITE TRUFFLE OIL</t>
  </si>
  <si>
    <t>LONGOS GRAPESEED OIL</t>
  </si>
  <si>
    <t>AMBROSIA</t>
  </si>
  <si>
    <t>AMBROSIA CUSTARD</t>
  </si>
  <si>
    <t>AMBROSIA RICE PUDDING</t>
  </si>
  <si>
    <t>PAESE MIO PASTA CAPUNTI</t>
  </si>
  <si>
    <t>PAESE MIO PASTA ORECHIETTE</t>
  </si>
  <si>
    <t>PAESE MIO PASTA CAVATELLI</t>
  </si>
  <si>
    <t>PAESE MIO PASTA MACCHERONI CALABRESE</t>
  </si>
  <si>
    <t>PAESE MIO PASTA TAGLIATELLE EGG NESTS</t>
  </si>
  <si>
    <t>PAESE MIO PASTA FETTUCINE EGG NESTS</t>
  </si>
  <si>
    <t>PAESE MIO PASTA PAPPARDELLE EGG NESTS</t>
  </si>
  <si>
    <t>PAESE MIO PASTA LASAGNE EGG SHEETS</t>
  </si>
  <si>
    <t>PAESE MIO POTATO GNOCCHI</t>
  </si>
  <si>
    <t>PAESE MIO PEELED CANNED TOMATOES</t>
  </si>
  <si>
    <t>28 OZ</t>
  </si>
  <si>
    <t>PAESE MIO DICED CANNED TOMATOES</t>
  </si>
  <si>
    <t>PAESE MIO CANNED CHERRY TOMATOES</t>
  </si>
  <si>
    <t>100 OZ</t>
  </si>
  <si>
    <t>PAESE MIO SAN MARZANO CANNED TOMATOES WITH BASIL LEAF</t>
  </si>
  <si>
    <t xml:space="preserve"> PAESE MIO TOMATO PUREE JAR</t>
  </si>
  <si>
    <t>680 GR</t>
  </si>
  <si>
    <t>PAESE MIO ORGANIC TOMATO PUREE JAR</t>
  </si>
  <si>
    <t>PAESE MIO PASSATA PUREE TOM BAG</t>
  </si>
  <si>
    <t>PAESE MIO FRESINE WHOLEWHEAT BREAD</t>
  </si>
  <si>
    <t>PAESE MIO TARALLI ANIS</t>
  </si>
  <si>
    <t>PAESE MIO TARALLI FENNEL</t>
  </si>
  <si>
    <t>PAESE MIO TARALLI HOT CHILLI</t>
  </si>
  <si>
    <t>PAESE MIO TARALLI OLIVE OIL</t>
  </si>
  <si>
    <t>PAESE MIO BREAD STICK TRECCINE FENNEL</t>
  </si>
  <si>
    <t>PAESE MIO BREAD STICK TRECCINE POTATO</t>
  </si>
  <si>
    <t>PAESE MIO BREAD STICK TRECCINE CHILLI</t>
  </si>
  <si>
    <t>PAESE MIO BREAD STICK TRECCINE ONION</t>
  </si>
  <si>
    <t>PAESE MIO EXTRA VIRGIN OLIVE OIL</t>
  </si>
  <si>
    <t>PAESE MIO ORGANIC EXTRA V. OLIVE OIL</t>
  </si>
  <si>
    <t>PAESE MIO CALABRIA EXTRA V. OLIVE OIL</t>
  </si>
  <si>
    <t>PAESE MIO ORGANIC BALSAMIC VINEGAR MODENA</t>
  </si>
  <si>
    <t>PAESE MIO BARREL AGED BALSAMIC VINEGAR MODENA</t>
  </si>
  <si>
    <t>PAESE MIO PESTO GENOVESE SAUCE</t>
  </si>
  <si>
    <t>212 ML</t>
  </si>
  <si>
    <t>PAESE MIO RED PESTO SAUCE</t>
  </si>
  <si>
    <t>PAESE MIO BLACK OLIVE PATE</t>
  </si>
  <si>
    <t>PAESE MI PEPPER PESTO WITH HOT CHILI</t>
  </si>
  <si>
    <t>PAESE MIO CRUSHED PEPPER SAUCE</t>
  </si>
  <si>
    <t>PAESE MIO CRUSHED OLIVES BAG</t>
  </si>
  <si>
    <t>PAESE MIO ANCHOVY FILLETS IN SUNFLOWER OIL</t>
  </si>
  <si>
    <t>75 GR</t>
  </si>
  <si>
    <t>PAESE MIO ANCHOVY FILLETS IN OLIVE OIL</t>
  </si>
  <si>
    <t>PAESE MIO SPICY ANCHOVY FILLETS IN OIL</t>
  </si>
  <si>
    <t>PAESE MIO ANCHOVY PASTE TUBE</t>
  </si>
  <si>
    <t>PAESE MIO HOT ANCHOVIES</t>
  </si>
  <si>
    <t>314 GR</t>
  </si>
  <si>
    <t>574 GR</t>
  </si>
  <si>
    <t>PAESE MIO DRIED FIGS</t>
  </si>
  <si>
    <t>PAESE MIO MIXED TORRONCINI NOUGAT</t>
  </si>
  <si>
    <t>PAESE MIO SUSAMELLE (GINGER BREAD)</t>
  </si>
  <si>
    <t>PAESE MIO CHOCOLATE COVERED FIGS</t>
  </si>
  <si>
    <t>PAESE MIO BERGAMOTTO TORRONCINI NOUGAT</t>
  </si>
  <si>
    <t>TRE MARIE ALMOND WAFERS</t>
  </si>
  <si>
    <t>PAESE MIO CROCCANTE NUT CLUSTERS</t>
  </si>
  <si>
    <t>LEONCINI MORTADELLA</t>
  </si>
  <si>
    <t>5.1 KG</t>
  </si>
  <si>
    <t>PAESE MIO TO BASILICO READY MADE SAUCE</t>
  </si>
  <si>
    <t>420 ML</t>
  </si>
  <si>
    <t>PAESE MIO TO VERDURE READY MADE SAUCE</t>
  </si>
  <si>
    <t>PAESE MIO TO ARRABBIATA READY MADE SAUCE</t>
  </si>
  <si>
    <t>PAESE MIO TOMATO PASTE TUBE</t>
  </si>
  <si>
    <t>PAESE MIO ANCHOVY FILLETS EVOO 150G</t>
  </si>
  <si>
    <t>PAESE MIO ANCHOVY FILLETS EVOO 220G</t>
  </si>
  <si>
    <t>PAESE MIO GLUTEN FREE GNOCCHI PLAIN</t>
  </si>
  <si>
    <t>PAESE MIO GLUTEN FREE GNOCCHI SPINACH</t>
  </si>
  <si>
    <t>BONOMI PUFF PASTRY LAYERS</t>
  </si>
  <si>
    <t>PAESE MIO MARINARA READY SAUCE</t>
  </si>
  <si>
    <t>PAESE MIO ARBORIO RICE</t>
  </si>
  <si>
    <t>PAESE MIO CARNAROLI RICE</t>
  </si>
  <si>
    <t>LEONCINI PROSCIUTTO DI SAN DANIELE BONELESS 18M</t>
  </si>
  <si>
    <t>7.5 KG</t>
  </si>
  <si>
    <t>TOP GRASS BEEF PELMENI EUROPEAN DUMPLINGS 680GR</t>
  </si>
  <si>
    <t>TOP GRASS BEEF SAUSAGE SPICY 320GR</t>
  </si>
  <si>
    <t>LASS CHANCE</t>
  </si>
  <si>
    <t>LASS CHANCE BEV LIFE'S A PEACH FRUIT SODA</t>
  </si>
  <si>
    <t>4X355ML</t>
  </si>
  <si>
    <t>MY COOKING BOX</t>
  </si>
  <si>
    <t>MY COOKING BOX PASTA KIT - PENNE WITH DATTERINO IN TOMATO SAUCE</t>
  </si>
  <si>
    <t>700 GR</t>
  </si>
  <si>
    <t>MY COOKING BOX PASTA KIT - FUSILLI WITHTRUFFLE CHEESE SAUCE</t>
  </si>
  <si>
    <t>467 GR</t>
  </si>
  <si>
    <t>MY COOKING BOX LASAGNA KIT WITH VEGETARIAN RAGÙ</t>
  </si>
  <si>
    <t>520 GR</t>
  </si>
  <si>
    <t>MY COOKING BOX PIZZA KIT - CRUST ITALIAN PIZZA</t>
  </si>
  <si>
    <t>933 GR</t>
  </si>
  <si>
    <t>MY COOKING BOX PASTA KIT- BAKED ZITI WITH VEGETARIAN RAGÙ</t>
  </si>
  <si>
    <t>655 GR</t>
  </si>
  <si>
    <t>MY COOKING BOX ASSORTED DISPLAY SHIPPER 48 UNITS</t>
  </si>
  <si>
    <t>42.9 KG</t>
  </si>
  <si>
    <t>MY COOKING BOX EATALY LO SPAGHETTO</t>
  </si>
  <si>
    <t>1398 GR</t>
  </si>
  <si>
    <t>HERDEZ</t>
  </si>
  <si>
    <t>HERDEZ SALSA GREEN MILD 431ML</t>
  </si>
  <si>
    <t>431 ML</t>
  </si>
  <si>
    <t>HERDEZ SALSA MEDIUM 431ML</t>
  </si>
  <si>
    <t>HERDEZ SALSA MILD 431ML</t>
  </si>
  <si>
    <t>HERDEZ SALSA HOT 431ML</t>
  </si>
  <si>
    <t>HERDEZ SALSA GUACAMOLE 431ML</t>
  </si>
  <si>
    <t>HERDEZ REFRIED BLACK BEANS 425ML</t>
  </si>
  <si>
    <t>425 ML</t>
  </si>
  <si>
    <t>HERDEZ REFRIED PINTO BEANS 425ML</t>
  </si>
  <si>
    <t>TATE'S BAKE SHOP</t>
  </si>
  <si>
    <t>TATES BAKE SHOP CHOCOLATE CHIP COOKIES</t>
  </si>
  <si>
    <t>TATES BAKE SHOP DOUBLE CHOCOLATE CHIP COOKIES</t>
  </si>
  <si>
    <t>TATES BAKE SHOP CHOCOLATE CHIP COOKIES GLUTEN FREE</t>
  </si>
  <si>
    <t>TATES BAKE SHOP GINGER ZINGER COOKIES GLUTEN FREE</t>
  </si>
  <si>
    <t>TATES BAKE SHOP OATMEAL RAISIN COOKIES</t>
  </si>
  <si>
    <t>TATES BAKE SHOP GLUTEN FREE LEMON COOKIES</t>
  </si>
  <si>
    <t>GREEN &amp; BLACKS</t>
  </si>
  <si>
    <t>GREEN &amp; BLACKS ORGANIC INTENSE DARK CHOCOLATE 85% COCOA</t>
  </si>
  <si>
    <t>90 GR</t>
  </si>
  <si>
    <t>GREEN &amp; BLACKS ORGANIC INTENSE DARK CHOCOLATE 70% COCOA</t>
  </si>
  <si>
    <t>GREEN &amp; BLACK'S ORGANIC MILK CHOCOLATE 37% COCOA</t>
  </si>
  <si>
    <t>GREEN &amp; BLACK'S ORGANIC MILK CHOCOLATE BUTTERSCOTCH 37% COCOA</t>
  </si>
  <si>
    <t>GREEN &amp; BLACK'S ORGANIC DARK CHOCOLATE GINGER PIECES 60% COCOA</t>
  </si>
  <si>
    <t>NUSCOBIO</t>
  </si>
  <si>
    <t>NUSCOBIO HAZELNUT &amp; MILK DUO CHOCOLATE SPREAD</t>
  </si>
  <si>
    <t>NUSCOBIO DARK CHOCOLATE SPREAD</t>
  </si>
  <si>
    <t>NUSCOBIO HAZELNUT CHOCOLATE SPREAD</t>
  </si>
  <si>
    <t>LA VIDA VEGAN</t>
  </si>
  <si>
    <t>LA VIDA VEGAN ALMOND CHOCOLATE SPREAD</t>
  </si>
  <si>
    <t>LA VIDA VEGAN WHITE COCONUT SPREAD</t>
  </si>
  <si>
    <t>LA VIDA VEGAN ORGANIC HAZELNUT CHOCOLATE SPREAD, VEGAN AND GLUTEN FREE</t>
  </si>
  <si>
    <t>TRY ME SAUCES</t>
  </si>
  <si>
    <t>TRY ME TIGER SAUCE THE ORIGINAL</t>
  </si>
  <si>
    <t>147 ML</t>
  </si>
  <si>
    <t>TRY ME CAJUN SUNSHINE HOT PEPPER SAUCE</t>
  </si>
  <si>
    <t>TRY ME LIQUID SMOKE FLAVOR</t>
  </si>
  <si>
    <t>TRY ME YUCATAN SUNSHINE PREPARED HABANERO PEPPER SAUCE</t>
  </si>
  <si>
    <t>NAKANO</t>
  </si>
  <si>
    <t>NAKANO ORIGINAL SEASONED RICE VINEGAR</t>
  </si>
  <si>
    <t>NAKANO NATURAL RICE VINEGAR</t>
  </si>
  <si>
    <t>FOUR MONKS</t>
  </si>
  <si>
    <t>FOUR MONKS RED WINE VINEGAR 3.78LT</t>
  </si>
  <si>
    <t>FOUR MONKS WHITE WINE VINEGAR 3.78LT</t>
  </si>
  <si>
    <t>FOUR MONKS 5% APPLE CIDER VINEGAR</t>
  </si>
  <si>
    <t>BE SWEET</t>
  </si>
  <si>
    <t>BE SWEET SPREAD HONEY 1KG</t>
  </si>
  <si>
    <t>BE SWEET SPREAD HONEY 500 GR</t>
  </si>
  <si>
    <t>BE SWEET SPREAD HONEY 3KG</t>
  </si>
  <si>
    <t>BE SWEET VEGAN HONEY 500 GR</t>
  </si>
  <si>
    <t>PARMELA CREAMERY</t>
  </si>
  <si>
    <t>PARMELA CREAMERY SHREDDED CHEDDAR STYLE</t>
  </si>
  <si>
    <t>PARMELA CREAMERY SHREDDED MOZZARELLA STYLE</t>
  </si>
  <si>
    <t>PARMELA CREAMERY SHREDDED PEPPERJACK STYLE</t>
  </si>
  <si>
    <t>PARMELA CREAMERY SLICED SMOKY GOUDA STYLE</t>
  </si>
  <si>
    <t>PARMELA CREAMERY SLICED PEPPERJACK STYLE</t>
  </si>
  <si>
    <t>PARMELA CREAMERY SLICED SHARP CHEDDAR</t>
  </si>
  <si>
    <t>PARMELA MEXICAN BLEND STYLE SHREDS CHS</t>
  </si>
  <si>
    <t>PARMELA PARMESAN STYLE SHREDS CHS</t>
  </si>
  <si>
    <t>MAZZETTI VINEGAR</t>
  </si>
  <si>
    <t>MAZZETTI BALSAMIC VINEGAR</t>
  </si>
  <si>
    <t>MAZZETTI CREMOSO GOURMET GLAZE BALSAMIC VINEGAR</t>
  </si>
  <si>
    <t>MAZZETTI BALSAMIC VINEGAR OF MODENA ORGANIC</t>
  </si>
  <si>
    <t>BEAVER/INGLEHOFFER</t>
  </si>
  <si>
    <t>BEAVER BRAND PREPARED HORSERADISH EXTRA HOT 125ML</t>
  </si>
  <si>
    <t>115 ML</t>
  </si>
  <si>
    <t>BEAVER BRAND CREAMED HORSERADISH</t>
  </si>
  <si>
    <t>DOS AMIGOS</t>
  </si>
  <si>
    <t>DOS AMIGOS DICED GREEN CHILES</t>
  </si>
  <si>
    <t>114 ML</t>
  </si>
  <si>
    <t>DOS AMIGOS SLICED JALAPENOS PEPPERS HOT</t>
  </si>
  <si>
    <t>DOS AMIGOS RED ENCHILADA SAUCE MEDIUM</t>
  </si>
  <si>
    <t>DOS AMIGOS GREEN ENCHILADA SAUCE MILD</t>
  </si>
  <si>
    <t>DOS AMIGOS CHIPOTLE PEPPERS IN ADOBO SAUCE</t>
  </si>
  <si>
    <t>BOB'S RED MILL GARBANZO BEAN FLOUR</t>
  </si>
  <si>
    <t>JONDAY</t>
  </si>
  <si>
    <t>JONDAY PRE-FRIED VEGETARIAN SAMOSA - COCKTAIL</t>
  </si>
  <si>
    <t>JONDAY PRE-FRIED VEGETARIAN SAMOSA - LARGE</t>
  </si>
  <si>
    <t>DOS AMIGOS WHOLE TOMATILLOS</t>
  </si>
  <si>
    <t>2.84 LT</t>
  </si>
  <si>
    <t>BORGES</t>
  </si>
  <si>
    <t>BORGES GRAPESEED OIL</t>
  </si>
  <si>
    <t>BORGES GRAPESEED OIL BULK</t>
  </si>
  <si>
    <t>5 LT</t>
  </si>
  <si>
    <t>TILDA RTH</t>
  </si>
  <si>
    <t>TILDA COCONUT BASMATI RICE-READY TO EAT</t>
  </si>
  <si>
    <t>GC BEETS</t>
  </si>
  <si>
    <t>GORDON CHOICE PICKLED SMOOTH SLICED BEETS</t>
  </si>
  <si>
    <t>284 ML</t>
  </si>
  <si>
    <t>GFS OILS</t>
  </si>
  <si>
    <t>GORDON CHOICE PURE SESAME OIL</t>
  </si>
  <si>
    <t>1.65 LT</t>
  </si>
  <si>
    <t>INGLEHOFFER TARTAR SAUCE</t>
  </si>
  <si>
    <t>280 ML</t>
  </si>
  <si>
    <t>BEAVER BRAND SEAFOOD TARTAR SAUCE</t>
  </si>
  <si>
    <t>360 ML</t>
  </si>
  <si>
    <t>INGLEHOFFER CREAM STYLE HORSERADISH</t>
  </si>
  <si>
    <t>INGLEHOFFER CREAMY DILL MUSTARD</t>
  </si>
  <si>
    <t>INGLEHOFFER WASABI HORSERADISH</t>
  </si>
  <si>
    <t>BEAVER BRAND JALAPENO MUSTARD</t>
  </si>
  <si>
    <t>BEAVER BRAND SWEET HOT MUSTARD</t>
  </si>
  <si>
    <t>INGLEHOFFER DIJON STYLE MUSTARD</t>
  </si>
  <si>
    <t>INGLEHOFFER HONEY MUSTARD</t>
  </si>
  <si>
    <t>INGLEHOFFER STONE GROUND MUSTARD</t>
  </si>
  <si>
    <t>INGLEHOFFER SWEET HOT PEPPER MUSTARD</t>
  </si>
  <si>
    <t>INGLEHOFFER APPLEWOOD SMOKED BACON MUSTARD</t>
  </si>
  <si>
    <t>THAI KITCHEN</t>
  </si>
  <si>
    <t>THAI KITCHEN PURE COCONUT MILK</t>
  </si>
  <si>
    <t>400 ML</t>
  </si>
  <si>
    <t>THAI KITCHEN PURE COCONUT MILK LITE</t>
  </si>
  <si>
    <t>THAI KITCHEN ORGANIC COCONUT MILK LITE</t>
  </si>
  <si>
    <t>THAI KITCHEN COCONUT MILK 160ML</t>
  </si>
  <si>
    <t>160 ML</t>
  </si>
  <si>
    <t>THAI KITCHEN THIN RICE NOODLES 250G</t>
  </si>
  <si>
    <t>THAI KITCHEN SPICY CHILI SAUCE</t>
  </si>
  <si>
    <t>THAI KITCHEN FISH SAUCE</t>
  </si>
  <si>
    <t>THAI KITCHEN PAD THAI SAUCE</t>
  </si>
  <si>
    <t>236 ML</t>
  </si>
  <si>
    <t>THAI KITCHEN SWEET RED CHILI SAUCE</t>
  </si>
  <si>
    <t>THAI KITCHEN PEANUT SATAY SAUCE</t>
  </si>
  <si>
    <t>227 ML</t>
  </si>
  <si>
    <t>THAI KITCHEN RED CURRY PASTE</t>
  </si>
  <si>
    <t>THAI KITCHEN GREEN CURRY PASTE</t>
  </si>
  <si>
    <t>THAI KITCHEN COCONUT CREAM</t>
  </si>
  <si>
    <t>THAI KITCHEN YELLOW CURRY PASTE</t>
  </si>
  <si>
    <t>THAI KITCHEN ROASTED RED CHILI PASTE</t>
  </si>
  <si>
    <t>THAI KITCHEN STIRFRY RICE NOODLES</t>
  </si>
  <si>
    <t>THAI KITCHEN ORGANIC COCONUT MILK</t>
  </si>
  <si>
    <t>THAI KITCHEN TETRA COCONUT MILK 750ML</t>
  </si>
  <si>
    <t>THAI KITCHEN TETRA LITE COCONUT MILK 750ML</t>
  </si>
  <si>
    <t>THAI KITCHEN SWEET SOY, GARLIC &amp; CHILI EVERYTHING SAUCE</t>
  </si>
  <si>
    <t>293 ML</t>
  </si>
  <si>
    <t>GOLDEN DRAGON</t>
  </si>
  <si>
    <t>GOLDEN DRAGON SOYA SAUCE</t>
  </si>
  <si>
    <t>GOLDEN DRAGON LIGHT SOYA SAUCE</t>
  </si>
  <si>
    <t>GOLDEN DRAGON TERIYAKI MARINADE</t>
  </si>
  <si>
    <t>GOLDEN DRAGON TERIYAKI SAUCE THICK</t>
  </si>
  <si>
    <t>GOLDEN DRAGON OYSTER SAUCE</t>
  </si>
  <si>
    <t>GOLDEN DRAGON SWEET &amp; SOUR SAUCE</t>
  </si>
  <si>
    <t>GOLDEN DRAGON BLACK BEAN SAUCE WITH GARLIC</t>
  </si>
  <si>
    <t>GOLDEN DRAGON SZECHUAN SAUCE HOT</t>
  </si>
  <si>
    <t>GOLDEN DRAGON STIR FRY SAUCE</t>
  </si>
  <si>
    <t>GOLDEN DRAGON RICE VINEGAR</t>
  </si>
  <si>
    <t>4 LT</t>
  </si>
  <si>
    <t>GOLDEN DRAGON BLACK PEPPER SAUCE</t>
  </si>
  <si>
    <t>GOLDEN DRAGON POLYNESIAN HONEY GARLIC GINGER SAUCE</t>
  </si>
  <si>
    <t>GOLDEN DRAGON HOI SIN SAUCE</t>
  </si>
  <si>
    <t>GOLDEN DRAGON HONEY GARLIC BASTE &amp; GLAZE THICK</t>
  </si>
  <si>
    <t>HAIN CELESTIL SEASON</t>
  </si>
  <si>
    <t>CELESTIAL SEASONINGS SUGAR COOKIE SLEIGH RIDE HOLIDAY HERBAL TEA</t>
  </si>
  <si>
    <t>20 BG</t>
  </si>
  <si>
    <t>CELESTIAL SEASONINGS BENGAL SPICE TEA</t>
  </si>
  <si>
    <t>CELESTIAL SEASONINGS COUNTRY PEACH PASSION TEA</t>
  </si>
  <si>
    <t>CELESTIAL SEASONINGS FRUIT TEA SAMPLER</t>
  </si>
  <si>
    <t>CELESTIAL SEASONINGS HERB TEA SAMPLER</t>
  </si>
  <si>
    <t>CELESTIAL SEASONINGS LEMON ZINGER TEA 20BG</t>
  </si>
  <si>
    <t>CELESTIAL SEASONINGS PEPPERMINT TEA 20BG</t>
  </si>
  <si>
    <t>CELESTIAL SEASONINGS SLEEPYTIME TEA 20BG</t>
  </si>
  <si>
    <t>CELESTIAL SEASONINGS GINGERBREAD SPICE CHRISTMAS HERBAL TEA</t>
  </si>
  <si>
    <t>CELESTIAL SEASONINGS SLEEPYTIME EXTRA TEA</t>
  </si>
  <si>
    <t>CELESTIAL SEASONINGS MADAGASCAR VANILLA RED TEA</t>
  </si>
  <si>
    <t>CELESTIAL SEASONINGS SLEEPYTIME HERB TEA 40 COUNT</t>
  </si>
  <si>
    <t>CELESTIAL SEASONINGS CANDY CANE LANE DECAF CHRISTMAS GREEN TEA</t>
  </si>
  <si>
    <t>CERES JUICES</t>
  </si>
  <si>
    <t>CERES GUAVA FRUIT JUICE</t>
  </si>
  <si>
    <t>CERES MANGO FRUIT JUICE</t>
  </si>
  <si>
    <t>CERES MEDLEY OF FRUITS JUICE</t>
  </si>
  <si>
    <t>CERES PASSION FRUIT JUICE</t>
  </si>
  <si>
    <t>CERES PEACH FRUIT JUICE</t>
  </si>
  <si>
    <t>CERES PEAR FRUIT JUICE</t>
  </si>
  <si>
    <t>CERES PINEAPPLE FRUIT JUICE</t>
  </si>
  <si>
    <t>CLIF BAR</t>
  </si>
  <si>
    <t>CLIF BUILDERS BAR CHOCOLATE MINT PROTEIN BAR</t>
  </si>
  <si>
    <t>68 GR</t>
  </si>
  <si>
    <t>NUPASTA INC.</t>
  </si>
  <si>
    <t>NUPASTA GLUTEN FREE KONJAC ANGEL HAIR</t>
  </si>
  <si>
    <t>NUPASTA KONJAC GLUTEN FREE FETTUCCINE</t>
  </si>
  <si>
    <t>NUPASTA GLUTEN FREE KONJAC SPAGHETTI</t>
  </si>
  <si>
    <t>NUPASTA ORGANIC KONJAC ANGEL HAIR</t>
  </si>
  <si>
    <t>NUPASTA ORGANIC GLUTEN FREE KONJAC FETTUCCINE</t>
  </si>
  <si>
    <t>NUPASTA ORGANIC GLUTEN FREE KONJAC SPAGHETTI</t>
  </si>
  <si>
    <t>NUPASTA ORG GLUTEN FREE KONJAC RISONI</t>
  </si>
  <si>
    <t>NUPASTA GLUTEN FREE KONJAC RISONI</t>
  </si>
  <si>
    <t>NATURES NUT</t>
  </si>
  <si>
    <t>NATURE'S NUTS ALMOND BUTTER NATURAL CRUNCHY 500G</t>
  </si>
  <si>
    <t>NATURE'S NUTS ALMOND BUTTER NATURAL SMOOTH 500G</t>
  </si>
  <si>
    <t>NATURE'S NUTS PEANUT BUTTER NATURAL SMOOTH UNSALTED 10KG</t>
  </si>
  <si>
    <t>SHARWOODS</t>
  </si>
  <si>
    <t>SHARWOODS BUTTER CHICKEN LITE COOKING SAUCE</t>
  </si>
  <si>
    <t>395 ML</t>
  </si>
  <si>
    <t>SHARWOODS THAI RED CURRY SAUCE</t>
  </si>
  <si>
    <t>SHARWOODS THAI GREEN CURRY SAUCE</t>
  </si>
  <si>
    <t>NATURE'S NUTS ORGANIC NO STIR PEANUT BUTTER SMOOTH</t>
  </si>
  <si>
    <t>NATURE'S NUTS CASHEW BUTTER</t>
  </si>
  <si>
    <t>SHARWOODS MAJOR GREY MANGO CHUTNEY</t>
  </si>
  <si>
    <t>SHARWOODS MAJOR GREY MANGO CHUTNEY FOOD SERVICE</t>
  </si>
  <si>
    <t>2.6 KG</t>
  </si>
  <si>
    <t>SHARWOODS MUMBAI MANGO CHUTNEY</t>
  </si>
  <si>
    <t>SHARWOODS KORMA SAUCE</t>
  </si>
  <si>
    <t>SHARWOODS TIKKA MASALA SAUCE</t>
  </si>
  <si>
    <t>SHARWOODS BUTTER CHICKEN</t>
  </si>
  <si>
    <t>NATURE'S NUTS PEANUT BUTTER ORG CRUNCHY 500G 6PK</t>
  </si>
  <si>
    <t>NATURE'S NUTS PEANUT BUTTER SMTH ORG 500G 6PK</t>
  </si>
  <si>
    <t>NATURE'S NUTS ALMOND BUTTER NT SMTH 340G 6PK</t>
  </si>
  <si>
    <t>RISO BELLO</t>
  </si>
  <si>
    <t>RISO BELLO ARBORIO RICE</t>
  </si>
  <si>
    <t>RISO BELLO FOUR CHEESE RISOTTO PRONTO</t>
  </si>
  <si>
    <t>RISO BELLO ASPARGUS RISOTTO PRONTO</t>
  </si>
  <si>
    <t>RISO BELLO MUSHROOM RISOTTO PRONTO</t>
  </si>
  <si>
    <t>RISO BELLO SAFFRON RISOTTO</t>
  </si>
  <si>
    <t>NUPASTA VEGAN BOLOGNESE</t>
  </si>
  <si>
    <t>NUPASTA VEGAN CHILI</t>
  </si>
  <si>
    <t>NUPASTA BLACK PEPPER SAUCE</t>
  </si>
  <si>
    <t>CAFFE MAURO GROUND CLASSICO 250G</t>
  </si>
  <si>
    <t>KRONOS</t>
  </si>
  <si>
    <t>KRONOS FZN HALAL CONES GYRO UNCOOKED 2-20LB</t>
  </si>
  <si>
    <t>20 LB</t>
  </si>
  <si>
    <t>GRECIAN DELIGHT FZN 7" OLYMPIC SPIRIT WHITE 12-10 CNT</t>
  </si>
  <si>
    <t>7 INCH</t>
  </si>
  <si>
    <t>GRECIAN DELIGHT FZN 20LB OLYMPIC SPIRIT HALAL GYRO CONE MINI 2CT</t>
  </si>
  <si>
    <t>GRECIAN DELIGHT FZN OLYMPIC SPIRIT HALAL GYRO CONE MINI 4CT</t>
  </si>
  <si>
    <t>10 LB</t>
  </si>
  <si>
    <t>KRONOS FZN 4" PERFECT PETITES CLUSTERS</t>
  </si>
  <si>
    <t>4 INCH</t>
  </si>
  <si>
    <t>KRONOS FZN 5"X17" THIN FLATS</t>
  </si>
  <si>
    <t>KRONOS FZN 6" GRILLED FLATBREAD</t>
  </si>
  <si>
    <t>6 INCH</t>
  </si>
  <si>
    <t>KRONOS FZN 7" PITA HANDMADE</t>
  </si>
  <si>
    <t>GRECIAN DELIGHT FZN 7" PITA NEW YORK STYLE</t>
  </si>
  <si>
    <t>KRONOS FZN 9" SUPER ORIGINAL PITA</t>
  </si>
  <si>
    <t>9 INCH</t>
  </si>
  <si>
    <t>GRECIAN DELIGHT FZN BAKLAVA</t>
  </si>
  <si>
    <t>36 PC</t>
  </si>
  <si>
    <t>GRECIAN DELIGHT FZN MEDITERRANEAN PITA CHIPS</t>
  </si>
  <si>
    <t>15 LB</t>
  </si>
  <si>
    <t>GRECIAN DELIGHT FZN SPANAKOPITA APPETIZER SMALL 3 OZ</t>
  </si>
  <si>
    <t>3 OZ</t>
  </si>
  <si>
    <t>GRECIAN DELIGHT FZN SPANAKOPITA ENTRÉE-MEDIUM 6 OZ</t>
  </si>
  <si>
    <t>6 OZ</t>
  </si>
  <si>
    <t>KRONOS FZN HELLENE BEEF &amp; LAMB CONE 1-20 LB</t>
  </si>
  <si>
    <t>KRONOS FZN TRADITIONAL GYRO SLICES 4-5LB</t>
  </si>
  <si>
    <t>KRONOS FZN WIND CITY GYRO CONES 2-20LB</t>
  </si>
  <si>
    <t>KRONOS CANADA CLASSIC HUMMUS 2-4LB</t>
  </si>
  <si>
    <t>KRONOS ROASTED RED PEPPER HUMMUS</t>
  </si>
  <si>
    <t>GRECIAN DELIGHT FZN FEISTY FETA SPREAD</t>
  </si>
  <si>
    <t>3.75 LB</t>
  </si>
  <si>
    <t>GRECIAN DELIGHT FROZEN ROASTED RED PEPPER HUMMUS 4/3.75 LB TUBS</t>
  </si>
  <si>
    <t>GRECIAN DELIGHT FROZEN TRADITIONAL HUMMUS 4/3.75 LB TUBS</t>
  </si>
  <si>
    <t>GRECIAN DELIGHT TZATZIKI SAUCE</t>
  </si>
  <si>
    <t>KRONOS TZATZIKI SAUCE 4/4LB</t>
  </si>
  <si>
    <t>GRE FZN PASTICHIO (GREEK BEEF &amp; MACARONILASAGNA)</t>
  </si>
  <si>
    <t>6 LB</t>
  </si>
  <si>
    <t>GRE FZN MOUSAKA (MEDITERRANEAN EGGPLANT LASAGNA)</t>
  </si>
  <si>
    <t>GRE CREAMY FETA DRESSING</t>
  </si>
  <si>
    <t>24 OZ</t>
  </si>
  <si>
    <t>ARBYS MARZETTI</t>
  </si>
  <si>
    <t>ARBYS MZT SAUCE THOUSAND ISLAND SPREAD</t>
  </si>
  <si>
    <t>ARBYS MZT HONEY MUSTARD SAUCE</t>
  </si>
  <si>
    <t>ARBYS MZT SAUCE RED RANCH</t>
  </si>
  <si>
    <t>1 GAL</t>
  </si>
  <si>
    <t>ARBYS GSF</t>
  </si>
  <si>
    <t>ARBYS GSF HORSEY SAUCE BULK</t>
  </si>
  <si>
    <t>1.5 GALLON</t>
  </si>
  <si>
    <t>ARBYS GSF ARBY SAUCE BULK</t>
  </si>
  <si>
    <t>GRE FZN RC PORK AL PASTOR (NEW)</t>
  </si>
  <si>
    <t>CLIF BAR CHOCOLATE ALMOND FUDGE ENERGY BAR</t>
  </si>
  <si>
    <t>CLIF BAR CHOCOLATE CHIP ENERGY BAR</t>
  </si>
  <si>
    <t>CLIF BAR WHITE CHOCOLATE MACADAMIA NUT ENERGY BAR</t>
  </si>
  <si>
    <t>CLIF BAR COOL MINT CHOCOLATE ENERGY BAR</t>
  </si>
  <si>
    <t>CLIF BAR CRUNCHY PEANUT BUTTER ENERGY BAR</t>
  </si>
  <si>
    <t>CLIF BAR OATMEAL RAISIN WALNUT ENERGY BAR</t>
  </si>
  <si>
    <t>CLIF BAR NUT BUTTER FILLED PEANUT BUTTER</t>
  </si>
  <si>
    <t>CLIF BAR NUT BUTTER FILLED CHOCOLATE PEANUT BUTTER</t>
  </si>
  <si>
    <t>ARBYS GSF HORSEY PKT 12GR</t>
  </si>
  <si>
    <t>12 GR</t>
  </si>
  <si>
    <t>ARBYS GSF ARBYS PKT 12GR</t>
  </si>
  <si>
    <t>GRE FZN MEDITERRANEAN NUT ROLLS</t>
  </si>
  <si>
    <t>42 PC</t>
  </si>
  <si>
    <t>GRE FZN 0.5 OZ FEISTY FALAFEL TOT 4/4 LBBAGS</t>
  </si>
  <si>
    <t>GRE FZN 0.5 OZ TRADITIONAL CHICKPEA FALAFEL TOT 4-4 LB BAGS</t>
  </si>
  <si>
    <t>GRE FZN 0.5 OZ IQF/RAW SOUTHWEST BLACK BEAN CHICKPEA TOTS</t>
  </si>
  <si>
    <t>GRE FZN 3 OZ IQF/RAW TRADITIONAL FALAFELPATTY</t>
  </si>
  <si>
    <t>GRE FZN 3 OZ IQF/RAW SOUTHWEST BLACK BEAN CHICKPEA PATTY 42 CT BULK PACK</t>
  </si>
  <si>
    <t>GRE FZN RAW ZUCCHINI CHICKEPA FRITTERS 4/4 LB BAG</t>
  </si>
  <si>
    <t>2.26 EA</t>
  </si>
  <si>
    <t>GRE FZN RAW SPANAKOPITA CHICKPEA FRITTERS 4/4 LB BAGS</t>
  </si>
  <si>
    <t>GRE FZN 2/5 LB READYCARVED OLD WORLD PORK GYRO SLICES</t>
  </si>
  <si>
    <t>KRO FZN PERFECT 6" ORIGINAL PITA 12/10 CNT</t>
  </si>
  <si>
    <t>KRONOS FZN JIMMY DONAIR CONE</t>
  </si>
  <si>
    <t>KRO FZN KB GYRO SLICES 2/5 LB</t>
  </si>
  <si>
    <t>FRESCA MEXICAN FOODS</t>
  </si>
  <si>
    <t>FRESCA 10" TORTILLLAS HOMESTYLE</t>
  </si>
  <si>
    <t>10 INCH</t>
  </si>
  <si>
    <t>FRESCA 6" TORTILLLAS HOMESTYLE</t>
  </si>
  <si>
    <t>FRESCA 8" TORTILLLAS HOMESTYLE</t>
  </si>
  <si>
    <t>8 INCH</t>
  </si>
  <si>
    <t>FRESCA 5" CORN-FLOUR BLEND</t>
  </si>
  <si>
    <t>5 INCH</t>
  </si>
  <si>
    <t>FRESCA 5 INCH TORTILLAS HOMESTYLE</t>
  </si>
  <si>
    <t>FRESCA 6" 6OZ TRI FLAVORED CORN</t>
  </si>
  <si>
    <t>BARBER</t>
  </si>
  <si>
    <t>BRB FZ HOME STYLE STUFFED CHICKEN PARMESAN</t>
  </si>
  <si>
    <t>7 OZ</t>
  </si>
  <si>
    <t>TYSON</t>
  </si>
  <si>
    <t>TYSON FZ SMALL COOKED SAUSAGE CRUMBLES, 54/OZ 5/KILO</t>
  </si>
  <si>
    <t>5.51 LBS</t>
  </si>
  <si>
    <t>TYSON FZ LARGE COOKED SAUSAGE CRUMBLES, 54/OZ 5/KILO</t>
  </si>
  <si>
    <t>TYSON FZ BACON, SLICED, FULLY COOKED 300PC2/150</t>
  </si>
  <si>
    <t>1.85 LBS</t>
  </si>
  <si>
    <t>HILLSHIRE FARM</t>
  </si>
  <si>
    <t>HF FZ FULLY COOKED PORK CHORIZO CRUMBLES</t>
  </si>
  <si>
    <t>5 LBS</t>
  </si>
  <si>
    <t>HF FZ SLICED PEPPERONI</t>
  </si>
  <si>
    <t>12.5 LBS</t>
  </si>
  <si>
    <t>JIMMY DEAN SANDWICH</t>
  </si>
  <si>
    <t>JD FZ BACON, EGG &amp; CHEESE MUFFIN</t>
  </si>
  <si>
    <t>3.7 OZ</t>
  </si>
  <si>
    <t>JD FZ SAUSAGE, EGG &amp; CHEESE MUFFIN</t>
  </si>
  <si>
    <t>5 OZ</t>
  </si>
  <si>
    <t>JIMMY DEAN SAUSAGE</t>
  </si>
  <si>
    <t>JD FZ MILD PORK SAUSAGE LINKS SKINLESS</t>
  </si>
  <si>
    <t>0.8 OZ</t>
  </si>
  <si>
    <t>JD FZ MILD PORK SAUSAGE PATTIES 1.5 OZ</t>
  </si>
  <si>
    <t>1.5 OZ</t>
  </si>
  <si>
    <t>JD FZ LOWER SODIUM FULLY COOKED PORK SAUSAGES LINKS SKINLESS</t>
  </si>
  <si>
    <t>BEN FRANKLIN</t>
  </si>
  <si>
    <t>BFR FZ SEASONED BEEF SANDWICH SLICES</t>
  </si>
  <si>
    <t>4 OZ</t>
  </si>
  <si>
    <t>ORIGINAL PHILLY</t>
  </si>
  <si>
    <t>OP FZ SEASONED BEEF SANDWICH SLICES 40/4OZ</t>
  </si>
  <si>
    <t>CABEEF</t>
  </si>
  <si>
    <t>CAB FZ FLAMEBROILED BEEF STEAK BURGER</t>
  </si>
  <si>
    <t>GFS PHILLY CHOICE</t>
  </si>
  <si>
    <t>GFS PHILLY FZ SEASONED BEEF SLICES</t>
  </si>
  <si>
    <t>SYSCO TYSON</t>
  </si>
  <si>
    <t>SYSCO TYSON FZ IMPERIAL PHILLY BEEFSTEAK PUCK STYLE</t>
  </si>
  <si>
    <t>SYSCO TYSON FZ SMALL COOKED SAUSAGE CRUMBLES 54/OZ 5/KILO</t>
  </si>
  <si>
    <t>OP FZ GRILL FULLY COOKED SEASONED FORMEDBEEF STEAK NEW</t>
  </si>
  <si>
    <t>2.5 LBS</t>
  </si>
  <si>
    <t>FRESCA 6" WHITE CORN TORTILLAS</t>
  </si>
  <si>
    <t>12 INCH</t>
  </si>
  <si>
    <t>FRESCA 6" YELLOW CORN TORTILLAS</t>
  </si>
  <si>
    <t>FRESCA 6.5" HOMESTYLE 324 CT</t>
  </si>
  <si>
    <t>6.5 INCH</t>
  </si>
  <si>
    <t>FRESCA 10" WHOLE WHEAT CANADA TORTILLA</t>
  </si>
  <si>
    <t>FRESCA 12" WHOLE WHEAT CANADA</t>
  </si>
  <si>
    <t>FRESCA 4.5" 7 OZ STREET TACO</t>
  </si>
  <si>
    <t>FRESCA P-CUT WHITE CORN 6-CUT</t>
  </si>
  <si>
    <t>FRESCA 12" HOMESTYLE</t>
  </si>
  <si>
    <t>FRESCA 12" SALSA HOMESTYLE</t>
  </si>
  <si>
    <t>FRESCA 12" SPINACH HOMESTYLE</t>
  </si>
  <si>
    <t>FRESCA 12" TOMATO HOMESTYLE</t>
  </si>
  <si>
    <t>FRESCA 12" CHEESE FLAVORED TORTILLA</t>
  </si>
  <si>
    <t>FRESCA 10" DIE CUT ROLLING</t>
  </si>
  <si>
    <t>FRESCA 8" DIE CUT</t>
  </si>
  <si>
    <t>PANERISO</t>
  </si>
  <si>
    <t>PANERISO WHEAT FREE APPLE CRISP MIX</t>
  </si>
  <si>
    <t>275 GR</t>
  </si>
  <si>
    <t>PANERISO RICE BREAD CRUMBS</t>
  </si>
  <si>
    <t>PANERISO GLUTEN FREE ICE CREAM CUPS</t>
  </si>
  <si>
    <t>PANERISO EGG REPLACER</t>
  </si>
  <si>
    <t>PANERISO SUGAR CONES - GLUTEN FREE</t>
  </si>
  <si>
    <t>132 GR</t>
  </si>
  <si>
    <t>PANERISO MELANGE DE PANCAKE</t>
  </si>
  <si>
    <t>PANERISO GRAHAM CRUMBS</t>
  </si>
  <si>
    <t>PANERISO FZ CHOCOLATE CHIP COOKIES GF</t>
  </si>
  <si>
    <t>PANERISO FZ OATMEAL RAISIN COOKIES GF</t>
  </si>
  <si>
    <t>PANERISO FZ VANILLA CUPCAKES GF</t>
  </si>
  <si>
    <t>PANERISO FZ CHOCOLATE CUPCAKES GF</t>
  </si>
  <si>
    <t>PANERISO FZ BANANA LOAF CAKE GF</t>
  </si>
  <si>
    <t>370 GR</t>
  </si>
  <si>
    <t>PANERISO FZ LEMON LOAF CAKE GF</t>
  </si>
  <si>
    <t>PANERISO FZ BANANA CHOCOLATE CHIP MUFFINS GF</t>
  </si>
  <si>
    <t>372 GR</t>
  </si>
  <si>
    <t>PANERISO FZ BLUEBERRY MUFFINS GF</t>
  </si>
  <si>
    <t>COYOTE BRAND</t>
  </si>
  <si>
    <t>COYOTE BRAND BUTTERMILK PANCAKE &amp; WAFFLE MIX</t>
  </si>
  <si>
    <t>COYOTE BRAND ORIGINAL PANCAKE &amp; WAFFLE MIX</t>
  </si>
  <si>
    <t>COYOTE BRAND FLAX PANCAKE &amp; WAFFLE MIX</t>
  </si>
  <si>
    <t>COYOTE BRAND HOT CEREAL WHEATLETS</t>
  </si>
  <si>
    <t>DRAGON KING RICE FS</t>
  </si>
  <si>
    <t>DRAGON KING WHITE LONG GRAIN RICE 20%</t>
  </si>
  <si>
    <t>9.07 KG</t>
  </si>
  <si>
    <t>INES ROSALES SAU</t>
  </si>
  <si>
    <t>INES ROSALES ORIGINAL SWEET OLIVE OIL TORTA 10/180 GR</t>
  </si>
  <si>
    <t>INES ROSALES SEVILLE ORANGE SWEET OLIVE OIL TORTA 10/180 GR</t>
  </si>
  <si>
    <t>INES ROSALES ROSEMARY AND THYME SAVOURY OLIVE OIL TORTA 10/180 GR</t>
  </si>
  <si>
    <t>INES ROSALES LEMON SWEET OLIVE OIL TORTA 10/180 GR</t>
  </si>
  <si>
    <t>INES ROSALES CINNAMON SWEET OLIVE OIL TORTA 10/180 GR</t>
  </si>
  <si>
    <t>INES ROSALES ORIGINAL OLIVE OIL CRACKERS 12/126 GR</t>
  </si>
  <si>
    <t>126 GR</t>
  </si>
  <si>
    <t>INES ROSALES MANCHEGO CHEESE OLIVE OIL CRACKERS 12/126 GR</t>
  </si>
  <si>
    <t>INES ROSALES GINGER SPICE SWEET OLIVE OIL TORTA 10/180 GR</t>
  </si>
  <si>
    <t>INES ROSALES ORIGINAL OLIVE OIL TORTAS GIFT BOX 8/150 G</t>
  </si>
  <si>
    <t>REAL PINEAPPLE</t>
  </si>
  <si>
    <t>STONETOWN ARTISAN CH</t>
  </si>
  <si>
    <t>STONETOWN GRAND TRUNK RAW MILK HARD CHEESE</t>
  </si>
  <si>
    <t>STONETOWN 170G FARMSTD FONTINA</t>
  </si>
  <si>
    <t>STONETOWN FARMSTEAD EMMENTAL FIRM RAW MILK CHEESE</t>
  </si>
  <si>
    <t>STONETOWN HOMECOMING FIRM RAW MILK CHEESE</t>
  </si>
  <si>
    <t>STONETOWN WILDWOOD HARD RAW MILK CHEESE</t>
  </si>
  <si>
    <t>STONETOWN BERNESE MOUNTAIN FIRM RAW MILKCHEESE</t>
  </si>
  <si>
    <t>STONETOWN SMOKED CHIPOTLE FIRM RAW MILK CHEESE</t>
  </si>
  <si>
    <t>STONETOWN FARMSTEAD MUSKOKA BLISS</t>
  </si>
  <si>
    <t>STONETOWN FARMSTEAD TRUFFLE</t>
  </si>
  <si>
    <t>STONETOWN BULK GRAND TRUNK</t>
  </si>
  <si>
    <t>3.5 KG</t>
  </si>
  <si>
    <t>STONETOWN BULK FARMSTEAD FONTINA</t>
  </si>
  <si>
    <t>STONETOWN BULK FARMSTRD EMMENTAL</t>
  </si>
  <si>
    <t>STONETOWN BULK FARMSTEAD TILSIT STYLE</t>
  </si>
  <si>
    <t>STONETOWN BULK FARMSTEAD APPENZLLR STYLE</t>
  </si>
  <si>
    <t>STONETOWN BULK BERNESE MOUNTAIN</t>
  </si>
  <si>
    <t>3.8 KG</t>
  </si>
  <si>
    <t>STONETOWN BULK JALAPENO CHILI</t>
  </si>
  <si>
    <t>FUJIMAI</t>
  </si>
  <si>
    <t>FUJI MAI CALROSE RICE CALIFORNIA</t>
  </si>
  <si>
    <t>22.68 KG</t>
  </si>
  <si>
    <t>SPICE WORLD</t>
  </si>
  <si>
    <t>SPICE WORLD GARLIC MINCED</t>
  </si>
  <si>
    <t>269 GR</t>
  </si>
  <si>
    <t>SPICE WORLD GINGER GROUND</t>
  </si>
  <si>
    <t>SPICE WORLD GARLIC ORGANIC MINCED</t>
  </si>
  <si>
    <t>SPICE WORLD GARLIC MINCED WITH EXTRA VIRGIN OLIVE OIL</t>
  </si>
  <si>
    <t>PUTTERS FS</t>
  </si>
  <si>
    <t>PUTTERS DILL PICKLES ORIGINALS</t>
  </si>
  <si>
    <t>20 LT</t>
  </si>
  <si>
    <t>PUTTERS DILL PICKLE ORIGINALS SMALLS</t>
  </si>
  <si>
    <t>PUTTERS KOSHER DILL PICKLES</t>
  </si>
  <si>
    <t>PUTTERS DILL PICKLES ORIGINALS LONG CUT</t>
  </si>
  <si>
    <t>PUTTERS DILL PICKLES HAM SLICED</t>
  </si>
  <si>
    <t>PUTTERS GARDEN CRISP DILL PICKLES WHOLE</t>
  </si>
  <si>
    <t>PUTTERS GARDEN CRISP DILL PICKLES-HAM SLICED</t>
  </si>
  <si>
    <t>PUTTERS GARDEN CRISP DILL PICKLES SPEARS</t>
  </si>
  <si>
    <t>PUTTERS GARDEN DILL PICKLES LONG CUT</t>
  </si>
  <si>
    <t>PUTTERS SWEET RELISH</t>
  </si>
  <si>
    <t>PUTTERS DILL TOMATOES</t>
  </si>
  <si>
    <t>PUTTERS MAYO</t>
  </si>
  <si>
    <t>PUTTERS BREAD &amp; BUTTER PICKLES</t>
  </si>
  <si>
    <t>PUTTERS SWEET PIMENTOS</t>
  </si>
  <si>
    <t>PUTTERS HOT BANANA PEPPERS RINGS</t>
  </si>
  <si>
    <t>PUTTERS A&amp;W KOSHER CHIPS / AWC-8L</t>
  </si>
  <si>
    <t>8 LT</t>
  </si>
  <si>
    <t>PUTTERS FIREHOUSE SPEARS / FHS-19L</t>
  </si>
  <si>
    <t>19 LT</t>
  </si>
  <si>
    <t>PUTTERS HOT CHERRY PEPPERS</t>
  </si>
  <si>
    <t>PUTTERS KOSHER DILL CHIPS</t>
  </si>
  <si>
    <t>PUTTERS RETAIL</t>
  </si>
  <si>
    <t>PUTTERS SWEET SLICED PIMENTOES</t>
  </si>
  <si>
    <t>PUTTERS DILL PICKLES ORIGINAL RF</t>
  </si>
  <si>
    <t>PUTTERS SPICY DILL PICKLES RF</t>
  </si>
  <si>
    <t>PUTTERS SAUERKRAUT</t>
  </si>
  <si>
    <t>PUTTERS CRUNCHY DILL PICKLES</t>
  </si>
  <si>
    <t>PUTTERS HOT BANANA PEPPERS SLICED</t>
  </si>
  <si>
    <t>PUTTERS HOT BANANA PEPPERS WHOLE</t>
  </si>
  <si>
    <t>PUTTERS SPICY CRUNCHY DILLS</t>
  </si>
  <si>
    <t>PUTTERS SWEET AND SPICY CHIPS</t>
  </si>
  <si>
    <t>PUTTERS EXTRA GARLIC DILLS</t>
  </si>
  <si>
    <t>CARL BUDDIG</t>
  </si>
  <si>
    <t>CARL BUDDIG SMOKED TURKEY THIN SLICED POULTRY USA</t>
  </si>
  <si>
    <t>55 GR</t>
  </si>
  <si>
    <t>CARL BUDDIG SMOKED HONEY HAM THIN SLICED MEAT USA</t>
  </si>
  <si>
    <t>CARL BUDDIG SMOKED HAM THIN SLICED MEAT USA</t>
  </si>
  <si>
    <t>CARL BUDDIG SMOKED CHICKEN THIN SLICED POULTRY USA</t>
  </si>
  <si>
    <t>CARL BUDDIG CORNED BEEF THIN SLICED MEAT USA</t>
  </si>
  <si>
    <t>CARL BUDDIG SMOKED BEEF PASTRAMI THIN SLICED MEAT USA</t>
  </si>
  <si>
    <t>CARL BUDDIG HONEY TURKEY</t>
  </si>
  <si>
    <t>CARL BUDDIG BLACK FOREST HAM THIN SLICEDMEAT USA</t>
  </si>
  <si>
    <t>TILDA DRY</t>
  </si>
  <si>
    <t>TILDA PURE ORIGINAL BASMATI RICE</t>
  </si>
  <si>
    <t>1.81 KG</t>
  </si>
  <si>
    <t>TILDA WHOLEGRAIN BASMATI RICE</t>
  </si>
  <si>
    <t>TILDA READY TO HEAT STEAMED JASMINE RICE</t>
  </si>
  <si>
    <t>4.54 KG</t>
  </si>
  <si>
    <t>HA FOODSERVICE</t>
  </si>
  <si>
    <t>HARVEST ACRES PUMPKIN</t>
  </si>
  <si>
    <t>BOB'S RED MILL GLUTEN FREE OATMEAL CUP APPLE CINNAMON</t>
  </si>
  <si>
    <t>67 GR</t>
  </si>
  <si>
    <t>BOB'S RED MILL GLUTEN FREE OATMEAL CUP BLUEBERRY HAZELNUT</t>
  </si>
  <si>
    <t>71 GR</t>
  </si>
  <si>
    <t>BOB'S RED MILL GLUTEN FREE OATMEAL CUP CLASSIC</t>
  </si>
  <si>
    <t>51 GR</t>
  </si>
  <si>
    <t>BOB'S RED MILL GLUTEN FREE OATMEAL CUP MAPLE BROWN SUGAR</t>
  </si>
  <si>
    <t>61 GR</t>
  </si>
  <si>
    <t>PINATA RETAIL</t>
  </si>
  <si>
    <t>PINATA RETAIL REFRIED BEANS</t>
  </si>
  <si>
    <t>PINATA F.S.</t>
  </si>
  <si>
    <t>PINATA FS REFRIED BEANS 3.06KG</t>
  </si>
  <si>
    <t>2.84 L</t>
  </si>
  <si>
    <t>CHOLULA</t>
  </si>
  <si>
    <t>CHOLULA ORIGINAL HOT SAUCE</t>
  </si>
  <si>
    <t>150 ML</t>
  </si>
  <si>
    <t>CHOLULA CHILI LIME</t>
  </si>
  <si>
    <t>CHOLULA CHILI GARLIC HOT SAUCE</t>
  </si>
  <si>
    <t>CHOLULA CHIPOTLE HOT SAUCE</t>
  </si>
  <si>
    <t>CHOLULA GREEN PEPPER HOT SAUCE</t>
  </si>
  <si>
    <t>CHOLULA SWEET HABANERO HOT SAUCE</t>
  </si>
  <si>
    <t>CHOLULA PPK 60CT FD</t>
  </si>
  <si>
    <t>CHOLULA SAUCE EXTRA HOT</t>
  </si>
  <si>
    <t>HAIN IMAGINE</t>
  </si>
  <si>
    <t>IMAGINE ORGANIC LOW FAT CHICKEN BROTH</t>
  </si>
  <si>
    <t>IMAGINE ORGANIC LOW SODIUM VEGETABLE BROTH</t>
  </si>
  <si>
    <t>IMAGINE ORGANIC LOW SODIUM LOW FAT CHICKEN BROTH</t>
  </si>
  <si>
    <t>IMAGINE ORGANIC BEEF FLAVOURED BROTH-LOW SODIUM</t>
  </si>
  <si>
    <t>IMAGINE CHICKEN BONE BROTH</t>
  </si>
  <si>
    <t>AMY'S KITCHEN ORGANIC ALPHABET SOUP</t>
  </si>
  <si>
    <t>AMY'S KITCHEN ORGANIC VEGETARIAN BAKED BEANS</t>
  </si>
  <si>
    <t>AMY'S KITCHEN ORGANIC LENTIL VEGETABLE SOUP</t>
  </si>
  <si>
    <t>AMY'S KITCHEN ORGANIC TRADITIONAL REFRIED BEANS</t>
  </si>
  <si>
    <t>WHOLESOME SWEETENERS</t>
  </si>
  <si>
    <t>WHOLESOME SWEETENERS BLACKSTRAP MOLASSES ORGANIC</t>
  </si>
  <si>
    <t>662 GR</t>
  </si>
  <si>
    <t>TILDA STEAMED PURE BASMATI RICE-HEAT &amp; SERVE</t>
  </si>
  <si>
    <t>TILDA STEAMED WHOLE GRAIN BASMATI RICE-HEAT &amp; SERVE</t>
  </si>
  <si>
    <t>PACIFIC FOODS</t>
  </si>
  <si>
    <t>PACIFIC ORGANIC LOW SODIUM VEGETABLE BROTH</t>
  </si>
  <si>
    <t>PACIFIC FOODS ORGANIC VEGETABLE BROTH</t>
  </si>
  <si>
    <t>TILDA LIME &amp; CILANTRO RICE-READY TO EAT</t>
  </si>
  <si>
    <t>TILDA JASMINE RICE</t>
  </si>
  <si>
    <t>TILDA STEAMED MUSHROOM RICE</t>
  </si>
  <si>
    <t>TILDA STEAMED EGG FRIED RICE</t>
  </si>
  <si>
    <t>TILDA LONG GRAIN WHITE RICE</t>
  </si>
  <si>
    <t>CLIF BUILDERS CHOCOLATE PROTEIN BAR</t>
  </si>
  <si>
    <t>CLIF BUILDERS CHOCOLATE PEANUT BUTTER PROTEIN BAR</t>
  </si>
  <si>
    <t>EDEN ORGANIC BAKED BEANS</t>
  </si>
  <si>
    <t>KRETSCHMER</t>
  </si>
  <si>
    <t>KRETSCHMER WHEAT GERM</t>
  </si>
  <si>
    <t>SAMANTHA RODRIGUES GB</t>
  </si>
  <si>
    <t>KIKKOMAN RETAIL</t>
  </si>
  <si>
    <t>KIKKOMAN JAPANESE TEMPURA MIX</t>
  </si>
  <si>
    <t>LAKEWOOD</t>
  </si>
  <si>
    <t>LAKEWOOD ORGANIC PURE LEMON JUICE</t>
  </si>
  <si>
    <t>LAKEWOOD ORGANIC PURE LIME JUICE</t>
  </si>
  <si>
    <t>KIKKOMAN MIRIN SWEET COOKING SEASONING</t>
  </si>
  <si>
    <t>KIKKOMAN TEMPURA DIPPING SAUCE</t>
  </si>
  <si>
    <t>KIKKOMAN TAMARI SOY SAUCE</t>
  </si>
  <si>
    <t>KIKKOMAN ORGANIC SOY SAUCE</t>
  </si>
  <si>
    <t>KIKKOMAN PANKO BREAD CRUMBS</t>
  </si>
  <si>
    <t>KIKKOMAN LITE SOY SAUCE</t>
  </si>
  <si>
    <t>KIKKOMAN LITE SOY SAUCE 591ML</t>
  </si>
  <si>
    <t>591 ML</t>
  </si>
  <si>
    <t>KIKKOMAN LITE TERIYAKI MARINADE AND SAUCE</t>
  </si>
  <si>
    <t>KIKKOMAN OYSTER FLAVORED SAUCE</t>
  </si>
  <si>
    <t>290 ML</t>
  </si>
  <si>
    <t>KIKKOMAN ROASTED GARLIC TERIYAKI MARINADE AND SAUCE</t>
  </si>
  <si>
    <t>KIKKOMAN SOY SAUCE 148ML</t>
  </si>
  <si>
    <t>KIKKOMAN SOY SAUCE 295ML</t>
  </si>
  <si>
    <t>KIKKOMAN SOY SAUCE 591ML</t>
  </si>
  <si>
    <t>KIKKOMAN FOOD SERVIC</t>
  </si>
  <si>
    <t>KIKKOMAN SOY SAUCE 1.89LT</t>
  </si>
  <si>
    <t>KIKKOMAN SOY SAUCE DISPENSER</t>
  </si>
  <si>
    <t>KIKKOMAN STIR-FRY SAUCE</t>
  </si>
  <si>
    <t>KIKKOMAN BRAND LITE SOY SAUCE DISPENSER</t>
  </si>
  <si>
    <t>KIKKOMAN TERIYAKI BASTE &amp; GLAZE</t>
  </si>
  <si>
    <t>KIKKOMAN TERIYAKI MARINADE &amp; SAUCE 295ML</t>
  </si>
  <si>
    <t>KIKKOMAN TERIYAKI MARINADE &amp; SAUCE 591ML</t>
  </si>
  <si>
    <t>KIKKOMAN PONZU LEMON SOY SAUCE &amp; DRESSING</t>
  </si>
  <si>
    <t>KIKKOMAN SUSHI &amp; SASHIMI SOY SAUCE</t>
  </si>
  <si>
    <t>KIKKOMAN PANKO BREAD CRUMBS SHIPPER</t>
  </si>
  <si>
    <t>KIKKOMAN PONZU LIME CITRUS SEASONED DRESSING AND SAUCE</t>
  </si>
  <si>
    <t>KIKKOMAN RICE VINEGAR</t>
  </si>
  <si>
    <t>KIKKOMAN SEASONED RICE VINEGAR</t>
  </si>
  <si>
    <t>AMY'S KITCHEN LOWER IN SODIUM ORGANIC LENTIL VEGETABLE SOUP</t>
  </si>
  <si>
    <t>AMY'S KITCHEN ORGANIC SOUPS ORGANIC TOMATO BISQUE - LOWER IN SODIUM</t>
  </si>
  <si>
    <t>AMY'S KITCHEN ORGANIC SOUPS ORGANIC SPLIT PEA SOUP - LOWER IN SODIUM</t>
  </si>
  <si>
    <t>AMY'S KITCHEN FIRE ROASTED SOUTHWESTERN VEGETABLE ORGANIC SOUP</t>
  </si>
  <si>
    <t>AMYS ORGANIC LENTIL SOUP - LIGHT SODIUM</t>
  </si>
  <si>
    <t>AMYS QUINOA KALE &amp; RED LENTIL SOUP</t>
  </si>
  <si>
    <t>AMY'S KITCHEN ORGANIC TORTILLA SOUP</t>
  </si>
  <si>
    <t>AMY'S KITCHEN ORGANIC HEARTY MINESTRONE</t>
  </si>
  <si>
    <t>LUNDBERG RICE THIN STACKERS ORGANIC BROWN RICE LIGHTLY SALTED</t>
  </si>
  <si>
    <t>167 GR</t>
  </si>
  <si>
    <t>LUNDBERG RICE THIN STACKERS ORGANIC RED RICE AND QUINOA</t>
  </si>
  <si>
    <t>LUNDBERG RICE THIN STACKERS ORGANIC BROWN RICE SALT FREE</t>
  </si>
  <si>
    <t>LUNDBERG ORGANIC SWEET DREAMS-BROWN RICE SYRUP-NUTRA FARM</t>
  </si>
  <si>
    <t>460 ML</t>
  </si>
  <si>
    <t>CELESTIAL SEASONINGS TRUE BLUEBERRY</t>
  </si>
  <si>
    <t>CELESTIAL SEASONINGS RASPBERRY ZINGER HERBAL TEA</t>
  </si>
  <si>
    <t>CELESTIAL SEASONINGS HONEY VANILLA CHAMOMILE HERBAL TEA</t>
  </si>
  <si>
    <t>CELESTIAL SEASONINGS CINNAMON APPLE SPICE HERBAL TEA</t>
  </si>
  <si>
    <t>CELESTIAL SEASONINGS BLACK CHERRY BERRY HERBAL TEA</t>
  </si>
  <si>
    <t>CELESTIAL SEASONINGS WILD BERRY ZINGER HERBAL TEA</t>
  </si>
  <si>
    <t>ETHICAL BEAN COFFEE</t>
  </si>
  <si>
    <t>ETHICAL BEAN ORGANIC COFFEE BOLD BLEND</t>
  </si>
  <si>
    <t>ETHICAL BEAN ORGANIC COFFEE CLASSIC BLEND</t>
  </si>
  <si>
    <t>ETHICAL BEAN ORGANIC COFFEE DECAFFINATED BLEND</t>
  </si>
  <si>
    <t>ETHICAL BEAN ORGANIC COFFEE LUSH BLEND</t>
  </si>
  <si>
    <t>CELESTIAL SEASONINGS ORGANIC JASMINE GREEN TEA</t>
  </si>
  <si>
    <t>6/18 CT</t>
  </si>
  <si>
    <t>CELESTIAL SEASONINGS ORGANIC PURE GREEN TEA</t>
  </si>
  <si>
    <t>CELESTIAL SEASONINGS ORGANIC GINGER TURMERIC TEA</t>
  </si>
  <si>
    <t>CELESTIAL SEASONINGS ORGANIC CHAMOMILE LAVENDER TEA</t>
  </si>
  <si>
    <t>LAKEWOOD ORGANIC COCONUT JUICE 6 PK</t>
  </si>
  <si>
    <t>LAKEWOOD ORGANIC POMEGRANATE JUICE BLEND6 PK</t>
  </si>
  <si>
    <t>LAKEWOOD ORGANIC PURE ALOE JUICE 6 PK</t>
  </si>
  <si>
    <t>LAKEWOOD ORGANIC CARROT JUICE WITH 1% LEMON JUICE 6 PK</t>
  </si>
  <si>
    <t>LAKEWOOD ORGANIC PURE CRANBERRY JUICE 6 PK</t>
  </si>
  <si>
    <t>LAKEWOOD ORGANIC PURE PINEAPPLE JUICE 6 PK</t>
  </si>
  <si>
    <t>LAKEWOOD ORGANIC TART CHERRY JUICE BLEND6 PK</t>
  </si>
  <si>
    <t>LAKEWOOD PURE CRANBERRY JUICE 6 PK</t>
  </si>
  <si>
    <t>LAKEWOOD ORGANIC BEET JUICE WITH ADDED ORG.LEMON JUICE 6 PK</t>
  </si>
  <si>
    <t>CELESTIAL SEASONINGS CHAMOMILE TEA 20BG</t>
  </si>
  <si>
    <t>CELESTIAL SEASONINGS MORNING THUNDER BLACK TEA</t>
  </si>
  <si>
    <t>CELESTIAL SEASONINGS SLEEPYTIME SINUS SOOTHER</t>
  </si>
  <si>
    <t>35 GR</t>
  </si>
  <si>
    <t>CELESTIAL SEASONINGS SLEEPYTIME PROBIOTICS</t>
  </si>
  <si>
    <t>25 GR</t>
  </si>
  <si>
    <t>ETHICAL BEAN COFFEE SWEET ESPRESSO BLEND ORGANIC</t>
  </si>
  <si>
    <t>ETHICAL BEAN ORGANIC CLASSIC MEDIUM ROAST COFFEE</t>
  </si>
  <si>
    <t>ETHICAL BEAN ORGANIC BOLD DARK ROAST COFFEE</t>
  </si>
  <si>
    <t>DUINKERKEN FOODS INC</t>
  </si>
  <si>
    <t>DUINKERKEN GLUTEN FREE BREAD MIX</t>
  </si>
  <si>
    <t>DUINKERKEN GLUTEN FREE MUFFIN MIX</t>
  </si>
  <si>
    <t>470 GR</t>
  </si>
  <si>
    <t>DUINKERKEN GLUTEN FREE WAFFLE PANCAKE MIX</t>
  </si>
  <si>
    <t>DUINKERKEN GLUTEN FREE PIZZA CRUST MIX</t>
  </si>
  <si>
    <t>DUINKERKEN GLUTEN FREE PREMIUM POTATO STARCH</t>
  </si>
  <si>
    <t>600 GR</t>
  </si>
  <si>
    <t>DUINKERKEN GLUTEN FREE ENRICHED BISCUIT MIX</t>
  </si>
  <si>
    <t>DUINKERKEN GLUTEN FREE PREMIUM MOIST LEMON CAKE MIX</t>
  </si>
  <si>
    <t>380 GR</t>
  </si>
  <si>
    <t>DUINKERKEN GLUTEN FREE PREMIUM MOIST VANILLA CAKE MIX</t>
  </si>
  <si>
    <t>DUINKERKEN PREMIUM XANTHAN GUM</t>
  </si>
  <si>
    <t>124 GR</t>
  </si>
  <si>
    <t>DUINKERKEN MULTIGRAIN BREAD MIX GLUTEN FREE</t>
  </si>
  <si>
    <t>DUINKERKEN BAKED DONUT MIX</t>
  </si>
  <si>
    <t>290 GR</t>
  </si>
  <si>
    <t>DUINKERKEN PIE CRUST MIX</t>
  </si>
  <si>
    <t>LUNDBERG OG FINE HERBS THIN STACKER</t>
  </si>
  <si>
    <t>168 GR</t>
  </si>
  <si>
    <t>RTH: REGENERATIVE OG WHITE JASMINE RICE</t>
  </si>
  <si>
    <t>RTH: REGENERATIVE OG BROWN JASMINE RICE</t>
  </si>
  <si>
    <t>RTH: REGENERATIVE OG CILANTRO LIME RICE</t>
  </si>
  <si>
    <t>LUNDBERG WHITE RICE LONG GRAIN REGENERATIVE ORGANIC</t>
  </si>
  <si>
    <t>LUNDBERG CILANTRO LIME RICE MW ROC ORG WHITE RICE</t>
  </si>
  <si>
    <t>LUNDBERG CHICKEN &amp; HERB RICE MW ROC ORGWHITE RICE</t>
  </si>
  <si>
    <t>ETHICAL BEAN ORGANIC LUSH MEDIUM DARK ROAST GROUND COFFEE</t>
  </si>
  <si>
    <t>ETHICAL BEAN ORGANIC DECAF DARK ROAST ORGANIC COFFEE</t>
  </si>
  <si>
    <t>CELESTIAL SEASONINGS SLEEPYTIME VANILLA WELLNESS TEA</t>
  </si>
  <si>
    <t>ETHICAL BEAN GROUND SWEET ESPRESSO ORGANIC</t>
  </si>
  <si>
    <t>ETHICAL BEAN GROUND SUPERDARK ORGANIC</t>
  </si>
  <si>
    <t>ETHICAL BEAN WHOLE BEAN SUPERDARK ORGANIC</t>
  </si>
  <si>
    <t>LAKEWOOD ORGANIC CRANBERRY JUICE BLEND</t>
  </si>
  <si>
    <t>LAKEWOOD ORGANIC PURE PRUNE JUICE</t>
  </si>
  <si>
    <t>CELESTIAL SEASONINGS BENGAL SPICE HERBAL TEA</t>
  </si>
  <si>
    <t>40 BG</t>
  </si>
  <si>
    <t>KIKKOMAN GLUTEN FREE NON-GMO LESS SODIUMTAMARI SOY SAUCE</t>
  </si>
  <si>
    <t>KIKKOMAN SOY SAUCE</t>
  </si>
  <si>
    <t>1.2 LT</t>
  </si>
  <si>
    <t>KIKKOMAN GLUTEN FREE HOISIN SAUCE</t>
  </si>
  <si>
    <t>287 GR</t>
  </si>
  <si>
    <t>KIKKOMAN PRESERVATIVE FREE SEASONING MIXSTIR FRY</t>
  </si>
  <si>
    <t>28.3 GR</t>
  </si>
  <si>
    <t>KIKKOMAN PRESERVATIVE FREE SEASONING MIXFRIED RICE</t>
  </si>
  <si>
    <t>KIKKOMAN PRESERVATIVE FREE SEASONING MIXBROCCOLI-BEEF</t>
  </si>
  <si>
    <t>KIKKOMAN SEASONING MIX CHOW MEIN NO PRESERVATIVES ADDED</t>
  </si>
  <si>
    <t>31.8 GR</t>
  </si>
  <si>
    <t>KIKKOMAN TAKUMI TERIYAKI GOCHUJANG SPICYMISO SAUCE 472 ML</t>
  </si>
  <si>
    <t>472 ML</t>
  </si>
  <si>
    <t>KKM SOY SAUCE 296ML &amp; TERIYAKI SAUCE 296ML MIXED LOADED SHIPPER 36CT</t>
  </si>
  <si>
    <t>KKM BRINE - SOY SAUCE 296ML LOADED SHIPPER 36CT</t>
  </si>
  <si>
    <t>KKM_HMR - SOY SAUCE</t>
  </si>
  <si>
    <t>3.79 LT</t>
  </si>
  <si>
    <t>KKM SOY SAUCE TAMARI GF 1.89L</t>
  </si>
  <si>
    <t>KKM_HMR - PANKO TOASTED BREAD CRUMBS</t>
  </si>
  <si>
    <t>11.3 KG</t>
  </si>
  <si>
    <t>KKM_HMR - TERIYAKI GLAZE</t>
  </si>
  <si>
    <t>KKM_HMR - SESAME OIL 100% PURE</t>
  </si>
  <si>
    <t>1.18 LT</t>
  </si>
  <si>
    <t>KKM_SUSHI SAUCE (UNAGI TARE)</t>
  </si>
  <si>
    <t>2.4 KG</t>
  </si>
  <si>
    <t>KKM_HMR - GF THAI STYLE CHILI SAUCE</t>
  </si>
  <si>
    <t>2.38 KG</t>
  </si>
  <si>
    <t>KKM GF ORANGE SAUCE 2.27KG</t>
  </si>
  <si>
    <t>KKM_HMR - PANKO UNTOASTED BREAD CRUMBS</t>
  </si>
  <si>
    <t>KKM-HMR LS SOY SAUCE 1.89L</t>
  </si>
  <si>
    <t>KKM_HMR_STIR-FRY SAUCE</t>
  </si>
  <si>
    <t>KKM-HMR TEMPURA BATTER MIX</t>
  </si>
  <si>
    <t>KKM-HMR SOY SAUCE PACKETS</t>
  </si>
  <si>
    <t>6 ML</t>
  </si>
  <si>
    <t>KKM-HMR GF TOASTED PANKO</t>
  </si>
  <si>
    <t>2.5 LB</t>
  </si>
  <si>
    <t>KKM-HMR PONZU CITRUS SOY SAUCE</t>
  </si>
  <si>
    <t>KKM-HMR LS GF SWEET &amp; SOUR SAUCE</t>
  </si>
  <si>
    <t>KKM-HMR TERIYAKI SAUCE 1.89L</t>
  </si>
  <si>
    <t>KKM-HMR TERIYAKI SAUCE 3.79 LT</t>
  </si>
  <si>
    <t>PACIFIC FOODS CREAMY TOMATO SOUP 1 LT</t>
  </si>
  <si>
    <t>PACIFIC FOODS ORGANIC CREAMY BUTTERNUT SQUASH SOUP 1 LT</t>
  </si>
  <si>
    <t>PACIFIC FOODS ORGANIC ROASTED RED PEPPERAND TOMATO SOUP 1 LT</t>
  </si>
  <si>
    <t>PACIFIC FOODS ORGANIC CASHEW CARROT GINGER SOUP</t>
  </si>
  <si>
    <t>KIKKOMAN TAKUMI ORIGINAL TERIYAKI SAUCE</t>
  </si>
  <si>
    <t>KIKKOMAN TAKUMI GARLIC AND GREEN ONION SAUCE</t>
  </si>
  <si>
    <t>PACIFIC FOODS CHICKEN BROTH LOW SODIUM</t>
  </si>
  <si>
    <t>KIKKOMAN TAKUMI TRIPLE GINGER SAUCE</t>
  </si>
  <si>
    <t>PACIFIC FOODS ORGANIC CHICKEN BROTH</t>
  </si>
  <si>
    <t>LAKEWOOD PURE BLACK CHERRY JUICE</t>
  </si>
  <si>
    <t>LAKEWOOD PURE LEMON JUICE</t>
  </si>
  <si>
    <t>EDEN ORGANIC SPICY REFRIED BLACK BEANS</t>
  </si>
  <si>
    <t>EDEN ORGANIC NON MICROWAVE POPCORN</t>
  </si>
  <si>
    <t>566 GR</t>
  </si>
  <si>
    <t>DEOLEO</t>
  </si>
  <si>
    <t>BERTOLLI OLIVE OIL EV RICH</t>
  </si>
  <si>
    <t>BERTOLLI OLIVE OIL EV MILD</t>
  </si>
  <si>
    <t>BERTOLLI OLIVE OIL ORGANIC RICH</t>
  </si>
  <si>
    <t>BERTOLLI OLIVE OIL ORGANIC MILD</t>
  </si>
  <si>
    <t>BERTOLLI OLIVE OIL EXTRA LIGHT</t>
  </si>
  <si>
    <t>BERTOLLI OLIVE OIL COOKING</t>
  </si>
  <si>
    <t>BERTOLLI OLIVE OIL RICH</t>
  </si>
  <si>
    <t>CARAPELLI OLIVE OIL ITALIAN</t>
  </si>
  <si>
    <t>CARAPELLI OLIVE OIL ORGANIC UNFILTRATED</t>
  </si>
  <si>
    <t>BERTOLLI VINEGAR BALSAMIC</t>
  </si>
  <si>
    <t>BERTOLLI VINEGAR BALSAMIC WHITE</t>
  </si>
  <si>
    <t>BERTOLLI VINEGAR WHITE WINE</t>
  </si>
  <si>
    <t>BERTOLLI VINEGAR RED WINE</t>
  </si>
  <si>
    <t>BERTOLLI OLIVES BLACK ORGANIC</t>
  </si>
  <si>
    <t>BERTOLLI OLIVES SICILIAN PITTED</t>
  </si>
  <si>
    <t>BERTOLLI OLIVES TUSCAN PITTED</t>
  </si>
  <si>
    <t>BERTOLLI OLIVES GREEN PITTED</t>
  </si>
  <si>
    <t>BERTOLLI OLIVE OIL EV BOLD</t>
  </si>
  <si>
    <t>REAL LYCHEE</t>
  </si>
  <si>
    <t>BOB'S RED MILL RICE FLOUR BROWN SUP</t>
  </si>
  <si>
    <t>BOB'S RED MILL BUCKWHEAT FLOUR ORG SUP</t>
  </si>
  <si>
    <t>624 GR</t>
  </si>
  <si>
    <t>BOB'S RED MILL BKWT GROATS RAW ORG SUP</t>
  </si>
  <si>
    <t>BOB'S RED MILL CORNMEAL MEDIUM SUP</t>
  </si>
  <si>
    <t>BOB'S RED MILL FARRO ORG SUP</t>
  </si>
  <si>
    <t>BOB'S RED MILL GF BROWNIE MIX SUP</t>
  </si>
  <si>
    <t>BOB'S RED MILL GF CH CHIP COOKIE MIX SUP</t>
  </si>
  <si>
    <t>BOB'S RED MILL GF CORNBREAD MIX SUP</t>
  </si>
  <si>
    <t>BOB'S RED MILL GF PIZZA CRUST MIX SUP</t>
  </si>
  <si>
    <t>BOB'S RED MILL RICE FLOUR WHITE SUP</t>
  </si>
  <si>
    <t>BOB'S RED MILL PANCAKE PROTEIN SUP</t>
  </si>
  <si>
    <t>BOB'S RED MILL PALEO PANCAKE SUP</t>
  </si>
  <si>
    <t>368 GR</t>
  </si>
  <si>
    <t>BOB'S RED MILL ORGANIC SPELT FLOUR 100% STONE GROUND WHOLE GRAIN</t>
  </si>
  <si>
    <t>BOB'S RED MILL BULGUR HARD RED SUP</t>
  </si>
  <si>
    <t>BOB'S RED MILL GOLDEN CORN MASA SUP</t>
  </si>
  <si>
    <t>BOB'S RED MILL WHT CORN GRITS SUP</t>
  </si>
  <si>
    <t>BOB'S RED MILL GOLDEN COUSCOUS SUP</t>
  </si>
  <si>
    <t>BOB'S RED MILL GARBANZO BEAN FLOUR SUP</t>
  </si>
  <si>
    <t>BOB'S RED MILL HULLED MILLET SUP</t>
  </si>
  <si>
    <t>794 GR</t>
  </si>
  <si>
    <t>BOB'S RED MILL SEMOLINA FLOUR SUP</t>
  </si>
  <si>
    <t>BOB'S RED MILL WHEAT BRAN SUP</t>
  </si>
  <si>
    <t>BOB'S RED MILL RAW WHEAT GERM NAT SUP</t>
  </si>
  <si>
    <t>BOB'S RED MILL GF MUFFIN MIX SUP</t>
  </si>
  <si>
    <t>BOB'S RED MILL GF OAT FLR WG SUP</t>
  </si>
  <si>
    <t>BOB'S RED MILL GF SORGHUM FLR SUP</t>
  </si>
  <si>
    <t>BOB'S RED MILL CORNMEAL ORG SUP</t>
  </si>
  <si>
    <t>BOB'S RED MILL CORN GRT POLENTA ORG SUP</t>
  </si>
  <si>
    <t>BOBX RED MILL GF OAT BAR PEANUT BUTTER &amp; JELLY FLAVOURR</t>
  </si>
  <si>
    <t>BOBX RED MILL GF OAT BAR PEANUT BUTTER &amp; HONEY FLAVOUR</t>
  </si>
  <si>
    <t>BOB'S RED MILL GF GRANOLA PEANUT BUTTER</t>
  </si>
  <si>
    <t>312 GR</t>
  </si>
  <si>
    <t>BOB'S RED MILL GF GRANOLA MAPLE SEA SALT</t>
  </si>
  <si>
    <t>BOB'S RED MILL GF GRANOLA LEMON BLUEBERRY</t>
  </si>
  <si>
    <t>BOB'S RED MILL OLD FASHIONED ROLLED OATSSUP</t>
  </si>
  <si>
    <t>BOB'S RED MILL QUICK COOKING ROLLED OATSSUP</t>
  </si>
  <si>
    <t>SEA HAUL ESGARGOT RT</t>
  </si>
  <si>
    <t>SEA HAUL ESCARGOTS</t>
  </si>
  <si>
    <t>115 GR</t>
  </si>
  <si>
    <t>SEA HAUL FS ESCARGOT</t>
  </si>
  <si>
    <t>SEA HAUL ESCARGOTS 96 COUNT VERY LARGE</t>
  </si>
  <si>
    <t>BRAZZALE ITALIAN CHE</t>
  </si>
  <si>
    <t>BRAZZALE GRAN MORAVIA HARD CHEESE WHEEL 36KG</t>
  </si>
  <si>
    <t>36 KG</t>
  </si>
  <si>
    <t>BRAZZALE GRAN MORAVIA HARD CHEESE 1/8 WEDGE</t>
  </si>
  <si>
    <t>BRAZZALE GRAN MORAVIA HARD CHEESE WEDGE1KG</t>
  </si>
  <si>
    <t>BRAZZALE GRAN MORAVIA HARD CHEESE WEDGE200G</t>
  </si>
  <si>
    <t>0.2 KG</t>
  </si>
  <si>
    <t>BRAZZALE PROVOLONE DOLCE CHEESE (MILD) 4KG</t>
  </si>
  <si>
    <t>BRAZZALE PROVOLONE AFFUMICATO CHEESE (SMOKED)</t>
  </si>
  <si>
    <t>5.6 KG</t>
  </si>
  <si>
    <t>BRAZZALE ASIAGO PRESSATO DOP CHEESE WHEEL 14KG</t>
  </si>
  <si>
    <t>14 KG</t>
  </si>
  <si>
    <t>BEL KIRI</t>
  </si>
  <si>
    <t>KIRI CHEESE ORIGINAL 8P 144G</t>
  </si>
  <si>
    <t>144 GR</t>
  </si>
  <si>
    <t>BEL BOURSIN</t>
  </si>
  <si>
    <t>BEL BOURSIN BASIL AND CHIVES CHEESE 150G</t>
  </si>
  <si>
    <t>BEL BOURSIN CRACKED BLACK PEPPER CHEESE 150G</t>
  </si>
  <si>
    <t>BEL BOURSIN CRANBERRY AND PEPPER CHEESE 150G</t>
  </si>
  <si>
    <t>BEL BOURSIN GARLIC ANDHERB CHEESE 150G</t>
  </si>
  <si>
    <t>BEL BOURSIN SHALLOT AND CHIVE CHEESE 150G</t>
  </si>
  <si>
    <t>BEL MINI BABYBEL</t>
  </si>
  <si>
    <t>BEL MINI BABYBEL CHEDDAR N6 120GX18 CA</t>
  </si>
  <si>
    <t>BEL MINI BABYBEL LIGHT N6 120GX18STAR CA</t>
  </si>
  <si>
    <t>BEL MINI BABYBEL ORIGINAL 2GO40GX20 CA</t>
  </si>
  <si>
    <t>BEL MINI BABYBEL ORIGINAL DISPLAY N1 20GX96 CA</t>
  </si>
  <si>
    <t>BEL MINI BABYBEL ORIGINAL N6 120GX18 CA</t>
  </si>
  <si>
    <t>BEL MINI BABYBEL ORIGINAL N12240GX12 CA</t>
  </si>
  <si>
    <t>BEL MINI BABYBEL SWISS N6 120GX18 CA</t>
  </si>
  <si>
    <t>BEL THE LAUGHING COW</t>
  </si>
  <si>
    <t>BEL THE LAUGHING COW GARLIC &amp;FINE HERBS 8P</t>
  </si>
  <si>
    <t>133 GR</t>
  </si>
  <si>
    <t>BEL THE LAUGHING COW JALAPENO8P</t>
  </si>
  <si>
    <t>BEL THE LAUGHING COW LIGHT 8P</t>
  </si>
  <si>
    <t>BEL THE LAUGHING COW LIGHT 16P</t>
  </si>
  <si>
    <t>BEL THE LAUGHING COW LIGHT 24P</t>
  </si>
  <si>
    <t>BEL THE LAUGHING COW ORIGINAL8P</t>
  </si>
  <si>
    <t>BEL THE LAUGHING COW ORIGINAL16P</t>
  </si>
  <si>
    <t>BEL THE LAUGHING COW ORIGINAL24P</t>
  </si>
  <si>
    <t>BEL THE LAUGHING COW SMOKED CHEESE 8P</t>
  </si>
  <si>
    <t>BEL BOURSIN APPLE &amp; MAPLE CHEESE 150G</t>
  </si>
  <si>
    <t>BEL THE LAUGHING COW CHEESE DIPPERS SOLO 1X</t>
  </si>
  <si>
    <t>BEL THE LAUGHING COW CHEESE DIPPERS ORGINAL</t>
  </si>
  <si>
    <t>BEL BOURSIN FIG &amp; BALSAMIC</t>
  </si>
  <si>
    <t>BEL BOURSIN GARLIC AND FINE HERB 250G</t>
  </si>
  <si>
    <t>BOB'S RED MILL GLUTEN FREE EGG REPLACER STAND UP POUCH</t>
  </si>
  <si>
    <t>BOB'S RED MILL BAKING POWDER</t>
  </si>
  <si>
    <t>BOB'S RED MILL BAKING SODA</t>
  </si>
  <si>
    <t>BOB'S RED MILL ACTIVE DRY YEAST 226GR</t>
  </si>
  <si>
    <t>BOBX RED MILL NUTRITIONAL YEAST</t>
  </si>
  <si>
    <t>BOB'S RED MILL XANTHAN GUM</t>
  </si>
  <si>
    <t>BOB'S RED MILL QUINOA WG ORG TRI SUP</t>
  </si>
  <si>
    <t>369 GR</t>
  </si>
  <si>
    <t>BOB'S RED MILL FLAXSEEDS</t>
  </si>
  <si>
    <t>BOB'S RED MILL CHIA SEEDS</t>
  </si>
  <si>
    <t>BOB'S RED MILL HULLED HEMP SEED</t>
  </si>
  <si>
    <t>BEL BOURSIN MINIS GARLIC &amp; FINE HERBS</t>
  </si>
  <si>
    <t>BEL KIRI CHEESE TUB 150G</t>
  </si>
  <si>
    <t>BEL BOURSIN FS 1KG GARLIC &amp; HERBS</t>
  </si>
  <si>
    <t>BEL BOURSIN 150G WITH TRUFFLE SALT</t>
  </si>
  <si>
    <t>BEL MINI BABYBEL MINI ROLLS</t>
  </si>
  <si>
    <t>102 GR</t>
  </si>
  <si>
    <t>BEL BOURSIN CUISINE GARLIC &amp; FINE HERBS 6X220G</t>
  </si>
  <si>
    <t>BEL MINI BABYBEL N6 GOUDA</t>
  </si>
  <si>
    <t>BEL THE LAUGHING COW PLANT-BASED GARLIC HERBS 8 PORTIONS</t>
  </si>
  <si>
    <t>BEL BRAND SPECIALTY</t>
  </si>
  <si>
    <t>BEL KAUKAUNA 170G SHARP CHEDDAR CHEESE BALL</t>
  </si>
  <si>
    <t>BEL KAUKAUNA 170G SMOKEY CHEDDAR BALL</t>
  </si>
  <si>
    <t>BEL MINI BABYBEL N5 PLANT-BASED</t>
  </si>
  <si>
    <t>BOB'S RED MILL GLUTEN FREE MUESLI BREAKFAST CEREAL STAND UP POUCH</t>
  </si>
  <si>
    <t>BOB'S RED MILL MUESLI OLD COUNTRY STYLE WHOLE GRAIN CEREAL STAND UP POUCH</t>
  </si>
  <si>
    <t>BOB'S RED MILL FLAXSEED MEAL</t>
  </si>
  <si>
    <t>BOB'S RED MILL FLAXSEED MEAL 453 GR SUP</t>
  </si>
  <si>
    <t>BOB'S RED MILL GLUTEN FREE ORGANIC WHOLE GROUND GOLDEN FLAXSEED MEAL</t>
  </si>
  <si>
    <t>BOB'S RED MILL ORGANIC FLAXSEED MEAL</t>
  </si>
  <si>
    <t>BOB'S RED MILL GLUTEN FREE ORGANIC COCONUT FLOUR</t>
  </si>
  <si>
    <t>BOBS RED MILL GLUTEN FREE ALMOND FLOUR</t>
  </si>
  <si>
    <t>BOB'S RED MILL ALMOND FLOUR 907 GR</t>
  </si>
  <si>
    <t>BOB'S RED MILL NATURAL ALMOND FLOUR</t>
  </si>
  <si>
    <t>BOB'S RED MILL ARROWROOT STARCH FLOUR</t>
  </si>
  <si>
    <t>BOB'S RED MILL UNSWEETENED MEDIUM SHREDDED COCONUT</t>
  </si>
  <si>
    <t>BOB'S RED MILL CORNSTARCH</t>
  </si>
  <si>
    <t>BOB'S RED MILL POTATO STARCH</t>
  </si>
  <si>
    <t>BOB'S RED MILL TAPIOCA FLOUR SUP</t>
  </si>
  <si>
    <t>BOBS RED MILL GLUTEN FREE 1 TO 1 BAKING FLOUR 1.24KG</t>
  </si>
  <si>
    <t>1.24 KG</t>
  </si>
  <si>
    <t>BOB'S RED MILL GF 1TO1 FLOUR 1.81KG SUPP</t>
  </si>
  <si>
    <t>BOB'S RED MILL GF 1TO1 FLOUR 624GR SUP</t>
  </si>
  <si>
    <t>BOB'S RED MILL GF AP BKG FLR 1.24KG SUP</t>
  </si>
  <si>
    <t>BOB'S RED MILL GF AP BKG FLR 624GR SUP</t>
  </si>
  <si>
    <t>BOB'S RED MILL GF OAT BRAN SUP</t>
  </si>
  <si>
    <t>BOB'S RED MILL GF OAT QCK COOK ORG SUP</t>
  </si>
  <si>
    <t>BOBS RED MILL ROLLED OATS QUICK COOKING GLUTEN FREE STAND UP POUCH</t>
  </si>
  <si>
    <t>BOB'S RED MILL GF OAT OLD FSH ORG SUP</t>
  </si>
  <si>
    <t>BOB'S RED MILL GF OAT OLD FSH SUP</t>
  </si>
  <si>
    <t>BOB'S RED MILL GF OAT STEEL CUT ORG SUP</t>
  </si>
  <si>
    <t>BOB'S RED MILL GF OAT STEEL CUT SUP</t>
  </si>
  <si>
    <t>BOB'S RED MILL GF OAT THK ROLL ORG SUP</t>
  </si>
  <si>
    <t>BOB'S RED MILL GF OAT THK ROLL SUP</t>
  </si>
  <si>
    <t>BOB'S RED MILL OAT BRAN CEREAL ORG SUP</t>
  </si>
  <si>
    <t>BOB'S RED MILL OAT BRAN CEREAL SUP</t>
  </si>
  <si>
    <t>BOBS RED MILL ROLLED OATS QUICK COOKING ORGANIC 454 G</t>
  </si>
  <si>
    <t>BOB'S RED MILL OAT QCK CK ORG 907G SUP</t>
  </si>
  <si>
    <t>BOB'S RED MILL OAT OLD FSH ORG 454G SUP</t>
  </si>
  <si>
    <t>BOBS RED MILL OATS ROLLED OLD FASHIONED ORGANIC 907GR</t>
  </si>
  <si>
    <t>BOB'S RED MILL OAT STEEL CUT ORG SUP</t>
  </si>
  <si>
    <t>BOB'S RED MILL OAT STEEL CUT SUP</t>
  </si>
  <si>
    <t>BOB'S RED MILL OAT THK ROL ORG 454G SUP</t>
  </si>
  <si>
    <t>BOBS RED MILL OATMEAL SCOTTISH ORGANIC 567 G</t>
  </si>
  <si>
    <t>BOB'S RED MILL OATMEAL SCOTTISH SUP</t>
  </si>
  <si>
    <t>BOB'S RED MILL QUINOA WG ORG 737G SUP</t>
  </si>
  <si>
    <t>737 GR</t>
  </si>
  <si>
    <t>BOB'S RED MILL OAT THICK ROLL 907G STANDUP POUCH</t>
  </si>
  <si>
    <t>BOB'S RED MILL GLUTEN FREE CASSAVA FLOUR</t>
  </si>
  <si>
    <t>BOB'S RED MILL PANCAKES AND WAFFLE MIX BUTTERMILK STAND UP POUCH</t>
  </si>
  <si>
    <t>BOB'S RED MILL PANCAKES AND WAFFLE MIX GLUTEN FREE STAND UP POUCH</t>
  </si>
  <si>
    <t>BOB'S RED MILL PANCAKES 10 GRAIN STAND UP POUCH</t>
  </si>
  <si>
    <t>BOB'S RED MILL PANCAKES AND WAFFLE MIX BUCKWHEAT STAND UP POUCH</t>
  </si>
  <si>
    <t>BOB'S RED MILL CREAMY RICE HOT CEREAL (BROWN RICE FARINA)</t>
  </si>
  <si>
    <t>BOB'S RED MILL CREAMY BUCKWHEAT HOT CEREAL</t>
  </si>
  <si>
    <t>BOB'S RED MILL GLUTEN FREE MIGHTY TASTY CEREAL</t>
  </si>
  <si>
    <t>BOB'S RED MILL GLUTEN FREE TVP TEXTURED VEGETABLE PROTEIN</t>
  </si>
  <si>
    <t>BOB'S RED MILL VEGI SOUP MIX</t>
  </si>
  <si>
    <t>BOB'S RED MILL 10 GRAIN HOT CEREAL</t>
  </si>
  <si>
    <t>709 GR</t>
  </si>
  <si>
    <t>BOB'S RED MILL 13 BEAN SOUP MIX</t>
  </si>
  <si>
    <t>822 GR</t>
  </si>
  <si>
    <t>BOB'S RED MILL 5 GRAIN ROLLED HOT CEREAL</t>
  </si>
  <si>
    <t>BOB'S RED MILL GF PROTEIN OATS</t>
  </si>
  <si>
    <t>BOB'S RED MILL BROWNIE BAKING MIX</t>
  </si>
  <si>
    <t>BOB'S RED MILL CHOCOLATE CAKE BAKING MIX</t>
  </si>
  <si>
    <t>440 GR</t>
  </si>
  <si>
    <t>BOB'S RED MILL YELLOW CAKE BAKING MIX</t>
  </si>
  <si>
    <t>BOB'S RED MILL CORNBREAD BAKING MIX</t>
  </si>
  <si>
    <t>MARY'S GOURMET CRACK</t>
  </si>
  <si>
    <t>MARY'S GOURMET CRACKERS ORIGINAL CRACKERS</t>
  </si>
  <si>
    <t>184 GR</t>
  </si>
  <si>
    <t>MARY'S GOURMET CRACKERS HERB CRACKERS</t>
  </si>
  <si>
    <t>MARY'S ORGANIC BLACK PEPPER CRACKER</t>
  </si>
  <si>
    <t>MARY'S ORGANIC REAL THIN CRACKERS GARLICAND ROSEMARY</t>
  </si>
  <si>
    <t>MARY'S ORGANIC REAL THIN CRACKERS SEA SALT</t>
  </si>
  <si>
    <t>PCBL OILS</t>
  </si>
  <si>
    <t>PCBL PEPERONCINO EXTRA VIRGIN OLIVE OIL250ML</t>
  </si>
  <si>
    <t>PCBL BASIL EXTRA VIRGIN OLIVE OIL 250ML 250ML</t>
  </si>
  <si>
    <t>PCBL LEMON EXTRA VIRGIN OLIVE OIL 250ML</t>
  </si>
  <si>
    <t>BEL PORT SALUT 150G</t>
  </si>
  <si>
    <t>BEL THE LAUGHING COW DILL PICKLE 8P</t>
  </si>
  <si>
    <t>BEL BOURSIN DAIRY FREE GARLIC &amp; HERBS 170G X8</t>
  </si>
  <si>
    <t>BEL BOURSIN LEMON &amp; ROSEMARY 150G X6</t>
  </si>
  <si>
    <t>STEAKHOUSE CORN</t>
  </si>
  <si>
    <t>STEAKHOUSE FANCY CREAM STYLE CORN</t>
  </si>
  <si>
    <t>STEAKHOUSE PUMPKIN</t>
  </si>
  <si>
    <t>MAYA FIVE GRAINS OIL</t>
  </si>
  <si>
    <t>OLIVE GREEN EV OLIVE OIL</t>
  </si>
  <si>
    <t>CAPE COD POTATO CHIP</t>
  </si>
  <si>
    <t>CAPE COD CHIPS SWEET &amp; SPICY JALAPENO 220G</t>
  </si>
  <si>
    <t>CAPE COD CHIPS ORIGINAL REDUCED FAT 220G</t>
  </si>
  <si>
    <t>CAPE COD CHIPS SEA SALT &amp; VINEGAR 220G</t>
  </si>
  <si>
    <t>CAPE COD CHIPS ORIGINAL 220G</t>
  </si>
  <si>
    <t>CAPE COD CHIPS SWEET MESQUITE BBQ 220G</t>
  </si>
  <si>
    <t>ROBERTSONS</t>
  </si>
  <si>
    <t>ROBERTSONS MINCEMEAT CLASSIC</t>
  </si>
  <si>
    <t>635 ML</t>
  </si>
  <si>
    <t>ROBERTSONS GINGER MARMALADE</t>
  </si>
  <si>
    <t>ROBERTSONS LIMITED EDITION SEVILLE PREMIUM ORANGE MARMALADE</t>
  </si>
  <si>
    <t>ROBERTSONS THICK CUT ORANGE MARMALADE</t>
  </si>
  <si>
    <t>PACIFIC FOODS ORGANIC CREAMY LOW SODIUM ROASTED RED PEPPER &amp; TOMATO SOUP</t>
  </si>
  <si>
    <t>PACIFIC FOODS ORGANIC LOW SODIUM CREAMY TOMATO SOUP</t>
  </si>
  <si>
    <t>PACIFIC FOODS ORGANIC MUSHROOM BROTH</t>
  </si>
  <si>
    <t>PACIFIC FOOD'S ORGANIC BEEF BROTH</t>
  </si>
  <si>
    <t>PACIFIC FOOD'S CHICKEN BONE BROTH UNSALTED</t>
  </si>
  <si>
    <t>PACIFIC FOODS ORGANIC CONDENSED CREAM OFCHICKEN SOUP</t>
  </si>
  <si>
    <t>PACIFIC FOODS ORGANIC CONDENSED CREAM OFMUSHROOM SOUP</t>
  </si>
  <si>
    <t>PACIFIC FOODS ORGANIC TOMATO BASIL SOUP</t>
  </si>
  <si>
    <t>PACIFIC FOODS CHICKEN BONE BROTH WITH SEA SALT</t>
  </si>
  <si>
    <t>PACIFIC FOODS ORGANIC PLANT-BASED CHILI HARVEST BLACK BEAN</t>
  </si>
  <si>
    <t>468 GR</t>
  </si>
  <si>
    <t>PACIFIC FOODS ORGANIC PLANT-BASED CHILI WHITE BEAN VERDE</t>
  </si>
  <si>
    <t>PACIFIC FOODS ORGANIC PLANT-BASED CHILI FIRE-ROASTED VEGETABLE</t>
  </si>
  <si>
    <t>PACIFIC FOODS ORGANIC VEGETABLE LENTIL SOUP</t>
  </si>
  <si>
    <t>440 ML</t>
  </si>
  <si>
    <t>PACIFIC FOODS ORGANIC HEARTY VEGETABLE SOUP</t>
  </si>
  <si>
    <t>PACIFIC FOODS ORGANIC SPLIT PEA SOUP</t>
  </si>
  <si>
    <t>TI COCONUT RETAIL</t>
  </si>
  <si>
    <t>TROPIC ISLE COCONUT MILK 17-19% MF</t>
  </si>
  <si>
    <t>TROPIC ISLE COCO FS</t>
  </si>
  <si>
    <t>TROPIC ISLE COCONUT MILK 17-19% 2.84L</t>
  </si>
  <si>
    <t>TI PINEAPPLE FS</t>
  </si>
  <si>
    <t>TROPIC ISLE PIZZA CUTS PINEAPPLE PIECES IN LIGHT SYRUP</t>
  </si>
  <si>
    <t>TROPIC ISLE COCONUT CREAM 20-22% 6/2.84LT</t>
  </si>
  <si>
    <t>HA RETAIL RICE</t>
  </si>
  <si>
    <t>UNCLE TOM'S WHITE LONG GRAIN RICE 2KG</t>
  </si>
  <si>
    <t>HARVEST ACRES PB RIC</t>
  </si>
  <si>
    <t>HVA PARBOILED RICE BAG 10KG - 1 / 10 KG</t>
  </si>
  <si>
    <t>HVA PARBOILED RICE BAG 20 KG</t>
  </si>
  <si>
    <t>KIKKOMAN BRAND PRESERVATIVE FREE STIRFRY SAUCE</t>
  </si>
  <si>
    <t>KIKKOMAN BRAND PRESERVATIVE FREE TERIYAKI BASTE &amp; GLAZE</t>
  </si>
  <si>
    <t>GH CRETORS</t>
  </si>
  <si>
    <t>G.H. CRETORS POPCORN JUST THE CARAMEL 227G</t>
  </si>
  <si>
    <t>G.H. CRETORS POPCORN JUST THE CHEESE 184G</t>
  </si>
  <si>
    <t>G.H. CRETORS POPCORN CHICAGO MIX 213G</t>
  </si>
  <si>
    <t>213 GR</t>
  </si>
  <si>
    <t>KIKKOMAN BRAND PRESERVATIVE FREE SWEET &amp; SOUR SAUCE</t>
  </si>
  <si>
    <t>KIKKOMAN PANKO BREAD CRUMBS 454 GR</t>
  </si>
  <si>
    <t>MON BUTCHER</t>
  </si>
  <si>
    <t>MON BUTCHER BONE BROTH BEEF</t>
  </si>
  <si>
    <t>MON BUTCHER BONE BROTH CHICKEN</t>
  </si>
  <si>
    <t>ANTIOXIDANT SOLUTION</t>
  </si>
  <si>
    <t>ANTIOXIDANT SOLUTIONS 100% BLUEBERRY JUICE NOT FROM CONCENTRATE</t>
  </si>
  <si>
    <t>ANTIOXIDANT SOLUTIONS 100% TART CHERRY JUICE NOT FROM CONCENTRATE</t>
  </si>
  <si>
    <t>ANTIOXIDANT SOLUTIONS TART CHERRY JUICE WITH A SPLASH OF APPLE</t>
  </si>
  <si>
    <t>KIKKOMAN GLUTEN FREE SOY SAUCE</t>
  </si>
  <si>
    <t>KIKKOMAN WHOLE WHEAT PANKO BREAD CRUMBS</t>
  </si>
  <si>
    <t>KIKKOMAN SWEET SOY GLAZE</t>
  </si>
  <si>
    <t>KIKKOMAN WASABI SAUCE</t>
  </si>
  <si>
    <t>KIKKOMAN PRESERVATIVE FREE ORANGE SAUCE</t>
  </si>
  <si>
    <t>KIKKOMAN GLUTEN FREE TAMARI SOY SAUCE</t>
  </si>
  <si>
    <t>KIKKOMAN GLUTEN FREE TERIYAKI SAUCE</t>
  </si>
  <si>
    <t>KIKKOMAN GLUTEN FREE SWEET SOY SAUCE FORRICE</t>
  </si>
  <si>
    <t>KIKKOMAN GLUTEN FREE PANKO BREAD CRUMBS</t>
  </si>
  <si>
    <t>KIKKOMAN SOY SAUCE 18.9L</t>
  </si>
  <si>
    <t>18.9 LT</t>
  </si>
  <si>
    <t>KIKKOMAN TAKUMI KOREAN BBQ TERIYAKI SAUCE</t>
  </si>
  <si>
    <t>470 ML</t>
  </si>
  <si>
    <t>KIKKOMAN 100% PURE SESAME OIL</t>
  </si>
  <si>
    <t>MARY'S ORGANIC CRACKERS SUPER SEED BASIL AND GARLIC</t>
  </si>
  <si>
    <t>MARY'S ORGANIC CRACKERS SUPER SEED CLASSIC</t>
  </si>
  <si>
    <t>MARY'S ORGANIC CRACKERS SUPER SEED EVERYTHING</t>
  </si>
  <si>
    <t>CLIF KID ORGANIC ZBAR CHOCOLATE BROWNIE BAKED WHOLE GRAIN ENERGY SNACK</t>
  </si>
  <si>
    <t>36 GR</t>
  </si>
  <si>
    <t>CLIF KID ORGANIC ZBAR ICED OATMEAL COOKIE BAKED WHOLE GRAIN ENERGY SNACK</t>
  </si>
  <si>
    <t>CLIF KID ORGANIC ZBAR CHOCOLATE CHIP BAKED WHOLE GRAIN ENERGY SNACK</t>
  </si>
  <si>
    <t>KKM KATSU SAUCE</t>
  </si>
  <si>
    <t>295 ML</t>
  </si>
  <si>
    <t>KIKKOMAN GF SRIRACHA HOT CHILI SAUCE</t>
  </si>
  <si>
    <t>2.13 KG</t>
  </si>
  <si>
    <t>KIKKOMAN OYSTER FLAVORED SAUCE (GREEN)</t>
  </si>
  <si>
    <t>1.84 LT</t>
  </si>
  <si>
    <t>KETTLE CHIPS</t>
  </si>
  <si>
    <t>KETTLE CHIPS HONEY DIJON 56GR</t>
  </si>
  <si>
    <t>56 GR</t>
  </si>
  <si>
    <t>KETTLE CHIPS CHEDDAR 56GR</t>
  </si>
  <si>
    <t>KETTLE CHIPS SEA SALT 56GR</t>
  </si>
  <si>
    <t>KETTLE CHIPS SALT &amp; VINEGAR 56GR</t>
  </si>
  <si>
    <t>KETTLE CHIPS KRINKLE SALT &amp; PEPPER 368GR</t>
  </si>
  <si>
    <t>KETTLE CHIPS SALT &amp; VINEGAR 368GR</t>
  </si>
  <si>
    <t>KETTLE CHIPS SEA SALT 368GR</t>
  </si>
  <si>
    <t>KETTLE CHIPS HONEY DIJON 368GR</t>
  </si>
  <si>
    <t>KETTLE CHIPS KRINKLE SALT &amp; PEPPER 198GR</t>
  </si>
  <si>
    <t>KETTLE CHIPS SALT &amp; VINEGAR 198GR</t>
  </si>
  <si>
    <t>KETTLE CHIPS SEA SALT 198GR</t>
  </si>
  <si>
    <t>KETTLE CHIPS HONEY DIJON 198GR</t>
  </si>
  <si>
    <t>KETTLE CHIPS BACKYARD BBQ 198GR</t>
  </si>
  <si>
    <t>KETTLE CHIPS CHEDDAR 198GR</t>
  </si>
  <si>
    <t>KETTLE CHIPS JALAPENO 198GR</t>
  </si>
  <si>
    <t>KETTLE CHIPS LOW SODIUM 198GR</t>
  </si>
  <si>
    <t>KETTLE CHIPS YOGURT &amp; GREEN ONION 198GR</t>
  </si>
  <si>
    <t>KETTLE CHIPS PEPPERONCINI 19GR</t>
  </si>
  <si>
    <t>KETTLE CHIPS DILL PICKLE 198G</t>
  </si>
  <si>
    <t>KETTLE CHIPS RANCH 198GR</t>
  </si>
  <si>
    <t>KETTLE CHIPS PARMESAN GARLIC 198GR</t>
  </si>
  <si>
    <t>KETTLE CHIPS KRINKLE TRUFFLE SEA SALT 198GR</t>
  </si>
  <si>
    <t>KETTLE CHIPS KRINKLE HABANERO 198GR</t>
  </si>
  <si>
    <t>KETTLE CHIPS PALLET TOWER 198G</t>
  </si>
  <si>
    <t>KETTLE CHIPS AIR FRIED HIMALAYAN SALT</t>
  </si>
  <si>
    <t>KETTLE CHIPS AIR FRIED SEA SALT &amp; VINEGAR</t>
  </si>
  <si>
    <t>KETTLE CHIPS AIR FRIED TEXAS BBQ 156G</t>
  </si>
  <si>
    <t>KETTLE CHIPS GOCHUJANG - SEASONAL 198G</t>
  </si>
  <si>
    <t>FINEST CALL SIROP BLUE CURACAO</t>
  </si>
  <si>
    <t>DEVANCO FOODS</t>
  </si>
  <si>
    <t>DEV CAB HAL UNC B-BACON</t>
  </si>
  <si>
    <t>1 EA</t>
  </si>
  <si>
    <t>BRICKMANS</t>
  </si>
  <si>
    <t>BRICKMAN'S HALAL BEEF SALAMI</t>
  </si>
  <si>
    <t>BRICKMAN'S HALAL SLICED BEEF PEPPERONI</t>
  </si>
  <si>
    <t>BRICKMAN'S HALAL ITALIAN BEEF &amp; AU JUS</t>
  </si>
  <si>
    <t>BRICKMAN'S HALAL BEEF HOT DOGS 6:1</t>
  </si>
  <si>
    <t>BRICKMAN'S CAB HALAL MEDIUM RARE ROAST BEEF</t>
  </si>
  <si>
    <t>BRICKMAN'S CAB HALAL MEDIUM RARE ROAST BEEF SLICED</t>
  </si>
  <si>
    <t>BRICKMAN'S CAB HALAL BEEF PASTRAMI</t>
  </si>
  <si>
    <t>BRICKMAN'S CAB HALAL BEEF PASTRAMI SLICED</t>
  </si>
  <si>
    <t>BRICKMAN'S CAB HALAL CORNED BEEF</t>
  </si>
  <si>
    <t>BRICKMAN'S HALAL SLIC CORNED BEEF</t>
  </si>
  <si>
    <t>BRICKMAN'S CAB HALAL SLOW-SMOKED BEEF BRISKET</t>
  </si>
  <si>
    <t>BRICKMAN'S HALAL SLIC SLOW-SMO BB</t>
  </si>
  <si>
    <t>BRICKMAN'S HALAL CUR'D BEEF BACON</t>
  </si>
  <si>
    <t>BRICKMAN'S HALAL UNSLICED BEEF PEPPERONI</t>
  </si>
  <si>
    <t>BRICKMAN'S HALAL SLICED MONTREAL SMOKED MEAT</t>
  </si>
  <si>
    <t>BRICKMAN'S HALAL MONTREAL SMOKED MEAT</t>
  </si>
  <si>
    <t>LA TORTILLA</t>
  </si>
  <si>
    <t>LTF WHOLE WHEAT TORTILLA, HIGH FIBRE 8 PK- 8.5"</t>
  </si>
  <si>
    <t>496 GR</t>
  </si>
  <si>
    <t>LTF IVORY TEFF GLUTEN FREE WRAPS ANCIENT GRAINS 6 PK-9.5"</t>
  </si>
  <si>
    <t>LTF HANDMADE STYLE WHITE CORN TORTILLAS 8PK-5.5"</t>
  </si>
  <si>
    <t>328 GR</t>
  </si>
  <si>
    <t>LTF HANDMADE STYLE YELOW CORN TORTILLAS 8PK-5.5"</t>
  </si>
  <si>
    <t>SUN TROPICS INC.</t>
  </si>
  <si>
    <t>SUN TROPICS COCO ROLLS ESPRESSO</t>
  </si>
  <si>
    <t>SUN TROPICS COCO ROLLS ORIGINAL</t>
  </si>
  <si>
    <t>SUN TROPICS COCO ROLLS SALTED CARAMEL</t>
  </si>
  <si>
    <t>SUN TROPICS COCONUT RICE PUDDING CLASSICCOCOA</t>
  </si>
  <si>
    <t>2X120 GR</t>
  </si>
  <si>
    <t>SUN TROPICS COCONUT RICE PUDDING - CINNAMON</t>
  </si>
  <si>
    <t>SUN TROPICS COCONUT RICE PUDDING ORIGINAL</t>
  </si>
  <si>
    <t>LTF GF CAULIFLOWER TORTILLAS</t>
  </si>
  <si>
    <t>COOKIN' GREENS</t>
  </si>
  <si>
    <t>COOKIN GREENS FROZEN MEXICAN STYLE ROASTED CORN 300G</t>
  </si>
  <si>
    <t>LTF GF CASSAVA TORTILLA 12X240G</t>
  </si>
  <si>
    <t>LTF CARB CUTTING KETO FLOUR TORTILLA 10X320</t>
  </si>
  <si>
    <t>BLENDER BITES</t>
  </si>
  <si>
    <t>BLENDER BITES VANILLA BEAN</t>
  </si>
  <si>
    <t>BLENDER BITES MINDFUL MOCHA</t>
  </si>
  <si>
    <t>EARTH GROUP</t>
  </si>
  <si>
    <t>EARTH GROUP- ALUMINIUM BOTTLED SPRING WATER</t>
  </si>
  <si>
    <t>COOKIN GREENS FROZEN CHOPPED KALE 500G</t>
  </si>
  <si>
    <t>COOKIN GREENS FROZEN CHOPPED ONIONS 500G</t>
  </si>
  <si>
    <t>COOKIN GREENS FROZEN CHOPPED SPINACH 500G</t>
  </si>
  <si>
    <t>COOKIN GREENS FROZEN ORGANIC CHOPPED KALE 300G</t>
  </si>
  <si>
    <t>COOKIN GREENS FROZEN ORGANIC CHOPPED SPINACH 300G</t>
  </si>
  <si>
    <t>COOKIN GREENS FROZEN QUINOA STIR FRY 300G</t>
  </si>
  <si>
    <t>COOKIN GREENS FROZEN SHELLED EDAMAME 500G</t>
  </si>
  <si>
    <t>COOKIN GREENS FROZEN TRICOLOUR VEGGIE FRIES 500G</t>
  </si>
  <si>
    <t>COOKIN' GREENS PEPPERS &amp; ONIONS MIX</t>
  </si>
  <si>
    <t>BLENDER BITES SUPERBERRY SPORT</t>
  </si>
  <si>
    <t>TOL ORGANIC TOMATOES</t>
  </si>
  <si>
    <t>TREE OF LIFE ORGANIC TOMATO PASTE</t>
  </si>
  <si>
    <t>156 ML</t>
  </si>
  <si>
    <t>TREE OF LIFE ORGANIC DICED TOMATOES</t>
  </si>
  <si>
    <t>TREE OF LIFE ORGANIC WHOLE PEELED TOMATOES</t>
  </si>
  <si>
    <t>TREE OF LIFE ORGANIC CRUSHED TOMATOES</t>
  </si>
  <si>
    <t>TREE OF LIFE ORGANIC CRUSHED TOMATOES WITH BASIL</t>
  </si>
  <si>
    <t>TREE OF LIFE ORGANIC TOMATO SAUCE</t>
  </si>
  <si>
    <t>GOVERDEN US INC</t>
  </si>
  <si>
    <t>GOVERDEN FROZEN CLASSIC GUACAMOLE 1LB</t>
  </si>
  <si>
    <t>1 LB</t>
  </si>
  <si>
    <t>GOVERDEN FROZEN CHUNKY AVOCADO PULP 1LB</t>
  </si>
  <si>
    <t>GOVERDEN FROZEN CHUNKY AVOCADO PULP 3LB</t>
  </si>
  <si>
    <t>GOVERDEN FROZEN CLASSIC GUACAMOLE 2OZ CUP</t>
  </si>
  <si>
    <t>2 OZ</t>
  </si>
  <si>
    <t>MTY</t>
  </si>
  <si>
    <t>MTY CALIFORNIA PETIT DICED TOMATOE</t>
  </si>
  <si>
    <t>GOVERDEN FROZEN CHUNKY AVOCADO PULP 2OZ CUP</t>
  </si>
  <si>
    <t>GOVERDEN FZ XTRA CHUNKY AVOCADO PULP 2LB</t>
  </si>
  <si>
    <t>2 LB</t>
  </si>
  <si>
    <t>MTY AVOCADO</t>
  </si>
  <si>
    <t>MTY FZ AVOCADO CHUNKS 2 LB</t>
  </si>
  <si>
    <t>GOVERDEN RETAIL</t>
  </si>
  <si>
    <t>GVDN FZ MILD GUACAMOLE 227GR / 6 TUBS</t>
  </si>
  <si>
    <t>GVDN FZ SPICY GUACAMOLE 227GR/ 6 TUBS</t>
  </si>
  <si>
    <t>GVDN FZ SPREAD AVOCADO 57GR/6PACK</t>
  </si>
  <si>
    <t>342 GR</t>
  </si>
  <si>
    <t>SWEET STREET DESSERT</t>
  </si>
  <si>
    <t>SSD FZ CHEWY MARSHMALLOW UNWRAPPED (FOODSERVICE)</t>
  </si>
  <si>
    <t>6 PC</t>
  </si>
  <si>
    <t>SSD INDIVIDUAL VANILLA BEAN GF CHEESECAKE</t>
  </si>
  <si>
    <t>4 EA</t>
  </si>
  <si>
    <t>SSD FZ BROWNIE BITES</t>
  </si>
  <si>
    <t>1.53 KG</t>
  </si>
  <si>
    <t>SSD FZ VANILLA CRISPY BREAD PUDDING BITES</t>
  </si>
  <si>
    <t>1.56 KG</t>
  </si>
  <si>
    <t>SSD FZ FOUR HIGH CARROT CAKE</t>
  </si>
  <si>
    <t>SSD FZ NY CHEESECAKE</t>
  </si>
  <si>
    <t>16 EA</t>
  </si>
  <si>
    <t>SSD FZ CHOC ON CHOC BUNDT</t>
  </si>
  <si>
    <t>9 EA</t>
  </si>
  <si>
    <t>SSD FZ CHOC LOV SPOON CAKE</t>
  </si>
  <si>
    <t>14 EA</t>
  </si>
  <si>
    <t>SSD FZ RAS WHT CHOC CHSE BRU</t>
  </si>
  <si>
    <t>SSD FZ CREME BRULEE CHEESE</t>
  </si>
  <si>
    <t>SSD FZ CHOC CHUNK COOKIE PUC</t>
  </si>
  <si>
    <t>12 EA</t>
  </si>
  <si>
    <t>SSD FZ MOLTEN CHOCOLATE CAKE</t>
  </si>
  <si>
    <t>SSD FZ CHOCOLATE PEANUT BUTTER STACK</t>
  </si>
  <si>
    <t>8 EA</t>
  </si>
  <si>
    <t>SSD HONDURAN CHOCOLATE BROWNIE MANIFESTO GLUTEN FREE</t>
  </si>
  <si>
    <t>2.8 OZ</t>
  </si>
  <si>
    <t>SSD FZ BASQUE CHEESECAKE</t>
  </si>
  <si>
    <t>SSD FZ INDIVIDUAL OLIVE OIL CITRUS CAKE</t>
  </si>
  <si>
    <t>4.25 OZ</t>
  </si>
  <si>
    <t>SSD FZ BIG APPLE PIE</t>
  </si>
  <si>
    <t>3.43 KG</t>
  </si>
  <si>
    <t>SSD FZ MANIFESTO TOFFEE CRUNCH BLONDIE</t>
  </si>
  <si>
    <t>1.42 KG</t>
  </si>
  <si>
    <t>SSD FZ PERUVIAN CHOCOLATE MANIFESTO BROWNIE</t>
  </si>
  <si>
    <t>70.023 GR</t>
  </si>
  <si>
    <t>SSD FZ PRINTED FILM INDIVIDUALLY WRAPPEDSALTED CARAMEL MANIFESTO</t>
  </si>
  <si>
    <t>79.37 GR</t>
  </si>
  <si>
    <t>SSD FZ INDIVIDUALLY WRAPPED CHOCOLATE CHUNK SANDY COOKIE</t>
  </si>
  <si>
    <t>SSD FZ ZOE'S CRUSH GLUTEN FREE COOKIE</t>
  </si>
  <si>
    <t>53.86 GR</t>
  </si>
  <si>
    <t>SSD FZ EZ8 VARIETY</t>
  </si>
  <si>
    <t>SSD FZ ROCKSLIDE BROWNIE</t>
  </si>
  <si>
    <t>SSD FZ ORIGINAL CUPCAKE VARIETY</t>
  </si>
  <si>
    <t>SSD FZ SALTED CARAMEL VANILLA CRUNCH CAKE</t>
  </si>
  <si>
    <t>SSD FZ 5 HIGH CHOCOLATE CAKE</t>
  </si>
  <si>
    <t>SSD FZ OREO COOKIE BASH</t>
  </si>
  <si>
    <t>SSD FZ VARIETY BAR 1</t>
  </si>
  <si>
    <t>SSD FZ CHOCOLATE PEANUT BUTTER PIE WITH REESE'S PEANUT BUTTER CUPS</t>
  </si>
  <si>
    <t>SSD FZ FLOURLESS CHOCOLATE TORTE</t>
  </si>
  <si>
    <t>SSD FZ LEMON BLUEBERRY MANIFESTO COOKIE IW</t>
  </si>
  <si>
    <t>SSD 10 INCH BOURBON STREET PECAN PIE, 4 - 4.5 LB</t>
  </si>
  <si>
    <t>2.04 KG</t>
  </si>
  <si>
    <t>SSD 12.5 INCH SLICED CINNAMON STREUSEL CAKE, 2 - 3.68 LB</t>
  </si>
  <si>
    <t>1.67 KG</t>
  </si>
  <si>
    <t>SWEET STREET FROZEN BLONDIE TOFFEE CRUNCH DESSERT BAR, 4 - 3.125 LB</t>
  </si>
  <si>
    <t>SSD BLUEBERRY COBBLER WHITE CHOCOLATE CHEESECAKE, 14 SLICES</t>
  </si>
  <si>
    <t>2.35 KG</t>
  </si>
  <si>
    <t>SSD FZ SALTED CARM CRUNCH MANIFESTO COOKIE</t>
  </si>
  <si>
    <t>SSD FZ APPLE CRISP</t>
  </si>
  <si>
    <t>1 GR</t>
  </si>
  <si>
    <t>SSD FZ BANANA CARAMEL CHEESECAKE XANGOS</t>
  </si>
  <si>
    <t>SSD FZ ORIGINAL CHEESECAKE XANGOS</t>
  </si>
  <si>
    <t>SSD FZ 1/4 SHEET LUSCIOUS LEMONADE SQUARE BARS</t>
  </si>
  <si>
    <t>1.3 KG</t>
  </si>
  <si>
    <t>SSD FZ PULLMAN LEMON GLAZED COFFEE LOAF CAKE</t>
  </si>
  <si>
    <t>1.62 KG</t>
  </si>
  <si>
    <t>SSD FZ 12.5 INCH BAR SIZE PULLMAN MARBLECHIP</t>
  </si>
  <si>
    <t>SSD FZ UNSLICED TURTLE GLAZED MOLTEN BUNDT CAKE</t>
  </si>
  <si>
    <t>1.28 KG</t>
  </si>
  <si>
    <t>SSD FZ 3 LAYER ICED LEMONADE WITH LEMON CURD CAKE</t>
  </si>
  <si>
    <t>1.87 KG</t>
  </si>
  <si>
    <t>SSD FZ PASSION MANGO CHEESECAKE</t>
  </si>
  <si>
    <t>SSD FZ IW GF BROWN BUTTER &amp; SEA SALT CRISPY MARSH BAR</t>
  </si>
  <si>
    <t>59.53 KG</t>
  </si>
  <si>
    <t>SSD IW FZ ARTISAN SCONE VARIETY PACK (24BLUEBERRY, 24 CINNAMON)</t>
  </si>
  <si>
    <t>SSD FZ INDIVIDUAL BROWN BUTTER MANIFESTO CAKE</t>
  </si>
  <si>
    <t>SSD FZ PEANUT BUTTER COOKIE PUCKS</t>
  </si>
  <si>
    <t>SSD FZ BANANA PULLMAN</t>
  </si>
  <si>
    <t>18 EA</t>
  </si>
  <si>
    <t>SSD FZ KEY LIME PIE</t>
  </si>
  <si>
    <t>SSD FZ BIG CHEESE BRULEE</t>
  </si>
  <si>
    <t>SSD FZ CARROT CAKE</t>
  </si>
  <si>
    <t>4.4 KG</t>
  </si>
  <si>
    <t>SSD FZ CHOCOLATE THUNDER</t>
  </si>
  <si>
    <t>SSD FZ BIG CHOCOLATE CAKE</t>
  </si>
  <si>
    <t>SSD FZ CHOCOLATE PARADIS CAKE</t>
  </si>
  <si>
    <t>SSD FZ PULLMAN VARIETY PACK</t>
  </si>
  <si>
    <t>1.41 KG</t>
  </si>
  <si>
    <t>SSD FZ PRESLICED FAB CHOC CHUNK BROWNIE</t>
  </si>
  <si>
    <t>SSD FZ TIRAMISU</t>
  </si>
  <si>
    <t>SSD FZ CHOC CHUNK MANIFESTO COOKIE</t>
  </si>
  <si>
    <t>SSD CLASSIC BUTTER CROISSANT, PRE-PROOFED</t>
  </si>
  <si>
    <t>3.5 OZ</t>
  </si>
  <si>
    <t>SSD FZ CARAMEL BROWNIE BITE CHEESECAKE</t>
  </si>
  <si>
    <t>SSD FZ TRIPLE CHOCOLATE CHUNK BROWNIE</t>
  </si>
  <si>
    <t>SSD FZ THE BIG BLITZ WITH SNICKERS BAR PIE</t>
  </si>
  <si>
    <t>SSD FZ DULCE CHEESECAKE 9"</t>
  </si>
  <si>
    <t>SSD FZ BLUEBERRY WHITE CHOCOLATE CHEESE BRULEE</t>
  </si>
  <si>
    <t>SSD FZ INDIVIDUAL CLASSIC COFFEE CAKE</t>
  </si>
  <si>
    <t>6 EA</t>
  </si>
  <si>
    <t>SSD FZ PECAN CHOCOLATE CHUNK BAR SLICED</t>
  </si>
  <si>
    <t>SSD FZ PECAN CHOCOLATE CHUNK BAR UNSLICED</t>
  </si>
  <si>
    <t>SSD FZ SPINACH FETA HANDCRAFTED PRETZEL</t>
  </si>
  <si>
    <t>SSD FZ MEDITERRANEAN MANIFESTO SAVORY XANGOS</t>
  </si>
  <si>
    <t>SSD FZ INDIVIDUAL VEGAN BANANA MANIFESTOCAKE</t>
  </si>
  <si>
    <t>SSD FZ SCONE ARTISANAL AUX BLEUETS, IW</t>
  </si>
  <si>
    <t>SDD FZ ARTISAN CINNAMON SCONE, IW</t>
  </si>
  <si>
    <t>SSD FZ SWEET STREET SCOOPABLES CHEESECAKE</t>
  </si>
  <si>
    <t>SSD FZ SWEET STREET SCOOPABLES CHIA PUDDING</t>
  </si>
  <si>
    <t>SSD FZ TRIPLE CHOCOLATE CHEESECAKE</t>
  </si>
  <si>
    <t>SSD FZ IND UBE CHEESECAKE</t>
  </si>
  <si>
    <t>SSD FZ IND YUZU CHEESECAKE</t>
  </si>
  <si>
    <t>SSD FZ SUMMERBERRY STACK</t>
  </si>
  <si>
    <t>SSD FZ SANDY CHOC CHUNK COOKIE BREAK N BAKE</t>
  </si>
  <si>
    <t>SSD FZ SALTED CARM COOKIE BAKE N BREAK</t>
  </si>
  <si>
    <t>WALKERS</t>
  </si>
  <si>
    <t>WALKERS GLUTEN FREE PURE BUTTER SHORTBREAD 12PK</t>
  </si>
  <si>
    <t>WALKERS GLUTEN FREE CHOCOLATE CHIP SHORTBREAD 12 PK</t>
  </si>
  <si>
    <t>WALKERS GLUTEN FREE GINGER LEMON SHORTBREAD 12 PK</t>
  </si>
  <si>
    <t>FAT BASTARD</t>
  </si>
  <si>
    <t>FAT BASTARD FZ ZESTY GUACAMOLE</t>
  </si>
  <si>
    <t>1.36 L</t>
  </si>
  <si>
    <t>WALKERS STRATHSPEY RICH FRUIT CAKE</t>
  </si>
  <si>
    <t>WALKERS FESTIVE SHORTBREAD SHAPES</t>
  </si>
  <si>
    <t>WALKERS FESTIVE SHAPES 350GR</t>
  </si>
  <si>
    <t>WALKERS SHORTBREAD FINGERS</t>
  </si>
  <si>
    <t>WALKERS CHOCOLATE CHIP SHORTBREAD</t>
  </si>
  <si>
    <t>WALKERS SHORTBREAD ROUNDS</t>
  </si>
  <si>
    <t>WALKERS MINI CHOCOLATE CHIP SHORTBREAD ROUNDS CELLO BAG</t>
  </si>
  <si>
    <t>JOSEPH WALKER ECCLEFECHAN LUXURY TARTS</t>
  </si>
  <si>
    <t>WALKERS MINI SHORTBREAD ROUNDS - BAG</t>
  </si>
  <si>
    <t>WALKERS SHORTBREAD FINGERS CELLO</t>
  </si>
  <si>
    <t>WALKERS GLENFIDDICH WHISKY CAKE</t>
  </si>
  <si>
    <t>WALKERS SB 2 FING 146XP</t>
  </si>
  <si>
    <t>28.4 GR</t>
  </si>
  <si>
    <t>WALKERS SCOTTIE DOGS SHORTBREAD</t>
  </si>
  <si>
    <t>JOSEPH WALKER CHRISTMAS TREE TIN WITH MINI SHORTBREAD CHRISTMAS TREES</t>
  </si>
  <si>
    <t>WALKERS LUXURY RICH FRUIT CAKE</t>
  </si>
  <si>
    <t>WALKERS SHORTBREAD SCOTTIE DOG TIN</t>
  </si>
  <si>
    <t>WALKERS MINI SCOTTIE DOG SHORTBREAD CELLO BAG</t>
  </si>
  <si>
    <t>WALKERS STEM GINGER BISCUITS</t>
  </si>
  <si>
    <t>WALKERS BISCUITS CHOCOLATE CHIP &amp; HAZELNUT</t>
  </si>
  <si>
    <t>WALKERS FRUIT AND LEMON BISCUITS</t>
  </si>
  <si>
    <t>WALKERS MINI SHORTBREAD FINGERS</t>
  </si>
  <si>
    <t>WALKERS MINI SHORTBREAD STARS</t>
  </si>
  <si>
    <t>WALKERS WHITE CHOCOLATE AND RASPBERRY BISCUITS</t>
  </si>
  <si>
    <t>KINNIKINNICK FOODS WHITE BREAD</t>
  </si>
  <si>
    <t>KINNIKINNICK FOODS MULTIGRAIN BREAD</t>
  </si>
  <si>
    <t>KINNIKINNICK FOODS HAMBURGER BUNS (4 PACK)</t>
  </si>
  <si>
    <t>245 GR</t>
  </si>
  <si>
    <t>KINNIKINNICK KINNIKRITTERS ANIMAL COOKIES</t>
  </si>
  <si>
    <t>KINNIKINNICK S'MOREABLES GRAHAM STYLE CRACKERS</t>
  </si>
  <si>
    <t>KINNIKINNICK GLUTEN FREE WHOLE GRAIN BREAD</t>
  </si>
  <si>
    <t>504 GR</t>
  </si>
  <si>
    <t>KINNIKINNICK FROZEN VEGAN DINNER ROLLS ARTISAN 36PK FSP</t>
  </si>
  <si>
    <t>36X49 GR</t>
  </si>
  <si>
    <t>KINNIKINNICK GLUTEN FREE PIE CRUST 9 INCH</t>
  </si>
  <si>
    <t>390 GR</t>
  </si>
  <si>
    <t>KINNIKINNICK PC</t>
  </si>
  <si>
    <t>PRESIDENTS CHOICE KINNIKINNICK FROZEN 9 GLUTEN-FREE PIE CRUST</t>
  </si>
  <si>
    <t>KINNIKINNICK ARTISAN DINNER ROLLS</t>
  </si>
  <si>
    <t>294 GR</t>
  </si>
  <si>
    <t>WALKERS ORANGE ROYALS SHORTBREAD</t>
  </si>
  <si>
    <t>WALKERS GINGER ROYALS SHORTBREAD</t>
  </si>
  <si>
    <t>KINNIKINNICK TRADTIONAL ENGLISH MUFFINS</t>
  </si>
  <si>
    <t>354 GR</t>
  </si>
  <si>
    <t>WALKERS 3D MINI SHORTBREAD CHRISTMAS TREE CARTON</t>
  </si>
  <si>
    <t>WALKERS GLENFIDDICH SINGLE MALT SCOTCH WHISKY MINCEMEAT TARTS</t>
  </si>
  <si>
    <t>KINNIKINNICK FROZEN LEMON BLUEBERRY MUFFINS 24PK</t>
  </si>
  <si>
    <t>62 GR</t>
  </si>
  <si>
    <t>PC TORTILLAS</t>
  </si>
  <si>
    <t>PC 5.5" CORN TORTILLA</t>
  </si>
  <si>
    <t>5.5 INCH</t>
  </si>
  <si>
    <t>LEMON WAFERS</t>
  </si>
  <si>
    <t>WALKERS GINGERBREAD MAN CARTON</t>
  </si>
  <si>
    <t>WALKERS BELGIAN CHOCOLATE CHUNK BISCUITS</t>
  </si>
  <si>
    <t>WALKERS SHORTBREAD SANTA TIN</t>
  </si>
  <si>
    <t>WALKERS 3D MINI SHORTBREAD SNOWMAN CARTON</t>
  </si>
  <si>
    <t>WALKERS PURE BUTTER SHORTBREAD - FESTIVESHAPES REINDEER TIN</t>
  </si>
  <si>
    <t>WALKERS PURE BUTTER SHORTBREAD - FESTIVESHAPES POLAR BEAR TIN</t>
  </si>
  <si>
    <t>WALKERS HIGHLANDERS SHORTBREAD 145</t>
  </si>
  <si>
    <t>WALKERS SHORTBREAD ADVENT CALENDAR</t>
  </si>
  <si>
    <t>WALKERS SCOTTIE DOG CARTON</t>
  </si>
  <si>
    <t>WALKERS MINI FESTIVE SHORTBREAD TREES</t>
  </si>
  <si>
    <t>WALKERS FESTIVE TUBE CHRISTMAS SPICE</t>
  </si>
  <si>
    <t>WALKERS SALTED CARAMEL &amp; MILK CHOCOLATE CHUNK SHORTBREAD</t>
  </si>
  <si>
    <t>WALKERS JW SHORTBREAD LUXURY CHOCOLATE ASSORTMENT</t>
  </si>
  <si>
    <t>230 GR</t>
  </si>
  <si>
    <t>JW SHORTBREAD FINGERS MILK CHOCOLATE COATED</t>
  </si>
  <si>
    <t>JW SHORTBREAD GLUTEN FREE ASSORTMENT (FESTIVE CARTON)</t>
  </si>
  <si>
    <t>WALKERS CARTON SHORTBREAD FESTIVE SHAPES (NEWBRANDING)</t>
  </si>
  <si>
    <t>WALKERS SHORTBREAD FINGERS 40GR BULK</t>
  </si>
  <si>
    <t>WALKERS SHORTBREAD PETTICOAT TAIL 125TH ANNIVERSARY TIN</t>
  </si>
  <si>
    <t>WALKERS SHORTBREAD FINGERS DISPLAY CASE</t>
  </si>
  <si>
    <t>WHOLESOME SWEETENERS ORGANIC BLUE AGAVE</t>
  </si>
  <si>
    <t>240 ML</t>
  </si>
  <si>
    <t>WHOLESOME SWEETENERS ORGANIC FAIR TRADE LIGHT BROWN SUGAR</t>
  </si>
  <si>
    <t>WHOLESOME SWEETENERS ORGANIC FAIR TRADE ICING SUGAR</t>
  </si>
  <si>
    <t>WHOLESOME SWEETNERS ORGANIC DARK BROWN SUGAR</t>
  </si>
  <si>
    <t>WHOLESOME SWEETENERS ORGANIC RAW BLUE AGAVE 480ML</t>
  </si>
  <si>
    <t>480 ML</t>
  </si>
  <si>
    <t>WHOLESOME SWEETENERS ORGANIC BLUE AGAVE 480ML</t>
  </si>
  <si>
    <t>STUBBS LEGEND</t>
  </si>
  <si>
    <t>STUBBS GLUTEN FREE ORIGINAL BBQ SAUCE</t>
  </si>
  <si>
    <t>451 ML</t>
  </si>
  <si>
    <t>STUBB'S GLUTEN FREE SMOKEY MESQUITE FLAVOUR BBQ SAUCE</t>
  </si>
  <si>
    <t>STUBBS GLUTEN FREE HOT BBQ SAUCE</t>
  </si>
  <si>
    <t>STUBB'S GLUTEN FREE HICKORY BOURBON FLAVOUR BBQ SAUCE</t>
  </si>
  <si>
    <t>WHOLESOME SWEETENERS ORGANIC BLUE AGAVE NECTAR</t>
  </si>
  <si>
    <t>WHOLESOME SWEETENERS ORGANIC COCONUT PALM SUGAR</t>
  </si>
  <si>
    <t>WHOLESOME SWEETENERS TURBINADO RAW CANE SUGAR ORGANIC</t>
  </si>
  <si>
    <t>WHOLESOME SWEETENERS GOLDEN SUGAR ORGANIC</t>
  </si>
  <si>
    <t>WHOLESOME SWEETENERS SUGAR NATURAL RAW CANE</t>
  </si>
  <si>
    <t>STUBB'S SWEET HEAT BAR-B-Q SAUCE</t>
  </si>
  <si>
    <t>STUBBS STICKY SWEET BBQ SAUCE</t>
  </si>
  <si>
    <t>STUBB'S BLACK PEPPER &amp; SMOKE RUB FLAVOURED SEASONING</t>
  </si>
  <si>
    <t>345 GR</t>
  </si>
  <si>
    <t>STUBB'S TEXAS ALL-PURPOSE RUB SEASONING</t>
  </si>
  <si>
    <t>STUBB'S SWEET JALAPENO RUB SEASONING</t>
  </si>
  <si>
    <t>323 GR</t>
  </si>
  <si>
    <t>SANDRA GAGANIARAS GB</t>
  </si>
  <si>
    <t>FEVER TREE</t>
  </si>
  <si>
    <t>FEVER TREE CLUB SODA 8X150ML</t>
  </si>
  <si>
    <t>8X150 ML</t>
  </si>
  <si>
    <t>FEVER TREE GINGER ALE 8X150ML</t>
  </si>
  <si>
    <t>FEVER TREE GINGER BEER 8X150ML</t>
  </si>
  <si>
    <t>FEVER TREE REFRESHINGLY LIGHT TONIC WATER 8X150ML</t>
  </si>
  <si>
    <t>FEVER TREE TONIC WATER 8X150ML</t>
  </si>
  <si>
    <t>FEVER TREE CLUB SODA 4X200ML</t>
  </si>
  <si>
    <t>4X200 ML</t>
  </si>
  <si>
    <t>FEVER TREE ELDERFLOWER TONIC WATER 4X200ML</t>
  </si>
  <si>
    <t>FEVER TREE GINGER ALE 4X200ML</t>
  </si>
  <si>
    <t>FEVER TREE GINGER BEER 4X200ML</t>
  </si>
  <si>
    <t>FEVER TREE LEMON TONIC WATER 4X200ML</t>
  </si>
  <si>
    <t>FEVER TREE MEDITERRANEAN TONIC WATER 4X200ML</t>
  </si>
  <si>
    <t>FEVER TREE PREMIUM TONIC WATER 4X200ML</t>
  </si>
  <si>
    <t>FEVER TREE REFRESHINGLY LIGHT CUCUMBER TONIC WATER 4X200ML</t>
  </si>
  <si>
    <t>FEVER TREE REFRESHINGLY LIGHT GINGER BEER 4X200ML</t>
  </si>
  <si>
    <t>FEVER TREE REFRESHINGLY LIGHT TONIC WATER 4X200ML</t>
  </si>
  <si>
    <t>FEVER TREE SPARKLING SICILIAN LEMONADE 4X200ML</t>
  </si>
  <si>
    <t>FEVER TREE PINK SPARKLING GRAPEFRUIT 4X200ML</t>
  </si>
  <si>
    <t>FEVER TREE CLUB SODA 500ML</t>
  </si>
  <si>
    <t>FEVER TREE GINGER BEER 500ML</t>
  </si>
  <si>
    <t>FEVER TREE PREMIUM TONIC WATER 500ML</t>
  </si>
  <si>
    <t>FEVER TREE REFRESHINGLY LIGHT GINGER BEER 500ML</t>
  </si>
  <si>
    <t>FEVER TREE REFRESHINGLY LIGHT TONIC WATER 500ML</t>
  </si>
  <si>
    <t>FEVER TREE SPARKLING LIME AND YUZU 4X200ML</t>
  </si>
  <si>
    <t>FEVER TREE PREMIUM TONIC WATER 24X200ML COSTCO</t>
  </si>
  <si>
    <t>24X200 ML COSTCO</t>
  </si>
  <si>
    <t>FEVER TREE DISTILLERS COLA 4X200ML</t>
  </si>
  <si>
    <t>FEVER TREE CAESAR CLASSIC MIX</t>
  </si>
  <si>
    <t>FEVER TREE MARGARITA CLASSIC MIX</t>
  </si>
  <si>
    <t>FEVER TREE MOJITO CLASSIC MIX</t>
  </si>
  <si>
    <t>FEVER TREE SPARKLING PINK GRAPEFRUIT 8X150ML</t>
  </si>
  <si>
    <t>FEVER TREE GINGER BEER 24X250ML COSTCO</t>
  </si>
  <si>
    <t>24X250 ML COSTCO</t>
  </si>
  <si>
    <t>FEVER TREE PREMIUM TONIC WATER 24X250MLCOSTCO</t>
  </si>
  <si>
    <t>JEREMY MAINGOT PR</t>
  </si>
  <si>
    <t>ZAVIDA</t>
  </si>
  <si>
    <t>ZAVIDA 100% COLOMBIAN COFFEE GROUND 340G</t>
  </si>
  <si>
    <t>ZAVIDA HAZELNUT VANILLA COFFEE GROUND 340G</t>
  </si>
  <si>
    <t>ZAVIDA CRÈME BRULEE COFFEE GROUND 340G</t>
  </si>
  <si>
    <t>ZAVIDA CANADIAN MAPLE COFFEE GROUND 340G</t>
  </si>
  <si>
    <t>ZAVIDA FRENCH VANILLA COFFEE GROUND 340G</t>
  </si>
  <si>
    <t>ZAVIDA ORGANICA COFFEE GROUND 340G</t>
  </si>
  <si>
    <t>ZAVIDA CINNAMON BUN COFFEE GROUND 340G</t>
  </si>
  <si>
    <t>ZAVIDA 100% COLOMBIAN COFFEE PODS 30CT</t>
  </si>
  <si>
    <t>30 CT PODS</t>
  </si>
  <si>
    <t>ZAVIDA HAZELNUT VANILLA COFFEE PODS 30CT</t>
  </si>
  <si>
    <t>ZAVIDA ORGANICA COFFEE PODS 30CT</t>
  </si>
  <si>
    <t>ZAVIDA PREMIUM FRENCH ROAST COFFEE PODS 30CT</t>
  </si>
  <si>
    <t>ZAVIDA HAZELNUT VANILLA PODS 12CT</t>
  </si>
  <si>
    <t>12 CT PODS</t>
  </si>
  <si>
    <t>ZAVIDA CRÈME BRULEE PODS 12CT</t>
  </si>
  <si>
    <t>ZAVIDA CANADIAN MAPLE PODS 12CT</t>
  </si>
  <si>
    <t>ZAVIDA CINNAMON BUN PODS 12CT</t>
  </si>
  <si>
    <t>ZAVIDA RASPBERRY CHOCOLATE PODS 12CT</t>
  </si>
  <si>
    <t>ZAVIDA DECAF HAZELNUT VANILLA PODS 12CT</t>
  </si>
  <si>
    <t>ZAVIDA CHOCOLATE FUDGE BROWNIE PODS 12CT</t>
  </si>
  <si>
    <t>ZAVIDA INTENSO ALUMINUM CAPSULE 5G</t>
  </si>
  <si>
    <t>5 GR PODS</t>
  </si>
  <si>
    <t>ZAVIDA ESPRESSO CREMOSO ALUMINUM CAPSULE5G</t>
  </si>
  <si>
    <t>ZAVIDA DECAFFEINATO ALUMINUM CAPSULE 5G</t>
  </si>
  <si>
    <t>ZAVIDA HAZELNUT VANILLA ALUMINUM CAPSULE5G</t>
  </si>
  <si>
    <t>ZAVIDA CRÈME BRULEE ALUMINUM CAPSULE 5G</t>
  </si>
  <si>
    <t>ZAVIDA CHOCOLATE TRUFFLE ALUMINUM CAPSULE 5G</t>
  </si>
  <si>
    <t>ZAVIDA ADVENT CALENDAR 24CT KEURIG CUPS</t>
  </si>
  <si>
    <t>24 CT PODS</t>
  </si>
  <si>
    <t>ZAVIDA ADVENT CALENDAR 24CT NESPRESSO PODS</t>
  </si>
  <si>
    <t>BARISTA GUSTO DELICATO COFFEE GROUND 340G FTO-LIGHT</t>
  </si>
  <si>
    <t>BARISTA AROMA DI CASA COFFEE GROUND 340GFTO-MEDIUM</t>
  </si>
  <si>
    <t>BARISTA NERO INTENSO COFFEE GROUND 340G FTO-DARK</t>
  </si>
  <si>
    <t>ZAVIDA ORGANICA BUTTERY CARAMEL 300G WB</t>
  </si>
  <si>
    <t>ZAVIDA ORGANICA DARK CHOCOLATE 300G WB</t>
  </si>
  <si>
    <t>ZAVIDA ORGANICA MADAGASCAR VANILLA 300G WB</t>
  </si>
  <si>
    <t>ORGANICA BUTTERY CARAMEL PODS 10CT</t>
  </si>
  <si>
    <t>ORGANICA DARK CHOCOLATE PODS 10CT</t>
  </si>
  <si>
    <t>ORGANICA MADAGASCAR VANILLA PODS 10CT</t>
  </si>
  <si>
    <t>ZAVIDA ORGANICA MEDIUM-DARK 10CT PODS</t>
  </si>
  <si>
    <t>ZAVIDA ORGANICA 340G WB MEDIUM-DARK</t>
  </si>
  <si>
    <t>ZAVIDA ORGANICA 340G WB DARK</t>
  </si>
  <si>
    <t>ZAVIDA CORE FLAVOURS SHIPPER 80CT</t>
  </si>
  <si>
    <t>EMPTY SHIPPER</t>
  </si>
  <si>
    <t>ZAVIDA FRENCH VANILLA ALUMINUM CAPSULE 5G</t>
  </si>
  <si>
    <t>ZAVIDA ALMOND BISCOTTI ALUMINUM CAPSULE 5G</t>
  </si>
  <si>
    <t>ZAVIDA RASPBERRY CHOCOLATE ALUMINUM CAPSULE 5G</t>
  </si>
  <si>
    <t>ZAVIDA CANADIAN MAPLE ALUMINUM CAPSULE 5G</t>
  </si>
  <si>
    <t>ZAVIDA KCUPS VARIETY PACK 30CT FAN FAVOURITES</t>
  </si>
  <si>
    <t>ZAVIDA KCUPS VARIETY PACK 30CT DESSERT LOVERS</t>
  </si>
  <si>
    <t>JASPER HILL FARM</t>
  </si>
  <si>
    <t>JASPER HILL BAYLEY HAZEN BLEU CHS</t>
  </si>
  <si>
    <t>2.95 KG</t>
  </si>
  <si>
    <t>JASPER HILL CABOT CLOTHBOUND CHEDDAR QUARTERS</t>
  </si>
  <si>
    <t>3.63 KG</t>
  </si>
  <si>
    <t>JASPER HILL ALPHA TOLMAN QUARTERS CHS</t>
  </si>
  <si>
    <t>BOB'S RED MILL GLUTEN FREE REGULAR ROLL OATS</t>
  </si>
  <si>
    <t>JASPER HILL HARBISON CHS</t>
  </si>
  <si>
    <t>JASPER HILL CLOTHBOUND CHEDDAR</t>
  </si>
  <si>
    <t>CARRS</t>
  </si>
  <si>
    <t>CARRS TABLE WATER BITE CRACKER CRACKED PEPPER</t>
  </si>
  <si>
    <t>CARRS TABLE WATER CRACKERS GARLIC &amp; HERB</t>
  </si>
  <si>
    <t>CARRS TABLE WATER BITE ORIGINAL CRACKER</t>
  </si>
  <si>
    <t>CARRS CHEESE MELTS CRACKERS</t>
  </si>
  <si>
    <t>MCVITIES</t>
  </si>
  <si>
    <t>MCVITIES MILK CHOCOLATE DIGESTIVE BISCUIT</t>
  </si>
  <si>
    <t>MCVITIES DARK CHOC DIGESTIVE BISCUIT</t>
  </si>
  <si>
    <t>MCVITIES MILK CHOCOLATE HOBNOBS BISCUIT</t>
  </si>
  <si>
    <t>MCVITIES DARK CHOCOLATE HOBNOB BISCUIT</t>
  </si>
  <si>
    <t>BOB'S RED MILL ALMOND FLOUR 11.34 KG</t>
  </si>
  <si>
    <t>MCVITIES ORIGINAL DIGESTIVE BISCUIT</t>
  </si>
  <si>
    <t>BOB'S RED MILL WHEAT FREE ROLLED OATS QUICK</t>
  </si>
  <si>
    <t>CARRS TABLE WATER CRACKERS PORTION PACKS</t>
  </si>
  <si>
    <t>3 PC</t>
  </si>
  <si>
    <t>SUNBIRD</t>
  </si>
  <si>
    <t>SUNBIRD BEEF &amp; BROCCOLI SEASONING MIX</t>
  </si>
  <si>
    <t>SUNBIRD FRIED RICE SEASONING MIX</t>
  </si>
  <si>
    <t>21 GR</t>
  </si>
  <si>
    <t>SUNBIRD STIR FRY SEASONING MIX</t>
  </si>
  <si>
    <t>XO GLUTEN FREE COOKIE MIX OATMEAL</t>
  </si>
  <si>
    <t>439 GR</t>
  </si>
  <si>
    <t>NATURE'S NUTS ALMOND BUTTER NATURAL 10KG</t>
  </si>
  <si>
    <t>SOMETHING SPECIAL</t>
  </si>
  <si>
    <t>SOMETHING SPECIAL ANTIPASTO</t>
  </si>
  <si>
    <t>SOMETHING SPECIAL JALAPENO DIP SPREAD AND MARINADE</t>
  </si>
  <si>
    <t>SOMETHING SPECIAL RED CHILI DIP SPREAD AND MARINADE</t>
  </si>
  <si>
    <t>SOMETHING SPECIAL ANTIPASTO 750 GR</t>
  </si>
  <si>
    <t>SOMETHING SPECIAL GOURMET VEGETARIAN ANTIPASTO TANGY VEGETABLES</t>
  </si>
  <si>
    <t>SOMETHING SPECIAL POMEGRANATE DIP SPREAD AND MARINADE</t>
  </si>
  <si>
    <t>SOMETHING SPECIAL CRANBERRY SPREAD</t>
  </si>
  <si>
    <t>SOMETHING SPECIAL KEG RED CHILI PEPPER SPREAD</t>
  </si>
  <si>
    <t>925 GR</t>
  </si>
  <si>
    <t>BOB'S RED MILL POTATO FLAKES 11.34KG</t>
  </si>
  <si>
    <t>BOB'S RED MILL GLUTEN FREE 1 TO 1 BAKING FLOUR 11.34KG</t>
  </si>
  <si>
    <t>BOB'S RED MILL ARTISAN BREAD FLOUR</t>
  </si>
  <si>
    <t>BOB'S RED MILL UNBLEACHED WHITE ALL PURPOSE BAKING FLOUR</t>
  </si>
  <si>
    <t>BOB'S RED MILL WHOLE WHEAT FLOUR</t>
  </si>
  <si>
    <t>WALKERS SALTIRE TIN</t>
  </si>
  <si>
    <t>136 GR</t>
  </si>
  <si>
    <t>WALKERS FINGERS TIN</t>
  </si>
  <si>
    <t>WALKERS FESTIVE STARS TIN</t>
  </si>
  <si>
    <t>WALKERS CHOCOLATE ORANGE SHORTBREAD</t>
  </si>
  <si>
    <t>WALKERS FRUIT MINCE PIES</t>
  </si>
  <si>
    <t>WALKERS GINGERBREAD MINCE PIES</t>
  </si>
  <si>
    <t>NUDEFRUIT</t>
  </si>
  <si>
    <t>NUDEFRUIT FROZEN BLUSHING STRAWBERRIES 540G</t>
  </si>
  <si>
    <t>NUDEFRUIT FROZEN WILD &amp; CRAZY BLUEBERRIES 540G</t>
  </si>
  <si>
    <t>NUDEFRUIT FROZEN FOUR VERY BARE BERRIES 1.5KG</t>
  </si>
  <si>
    <t>NUDEFRUIT FROZEN SCRUMPTIOUS ANTIOXIDANT1.5KG</t>
  </si>
  <si>
    <t>NUDEFRUIT FROZEN WILD &amp; CRAZY BLUEBERRIES 1.5KG</t>
  </si>
  <si>
    <t>NUDEFRUIT FROZEN FOUR VERY BARE BERRIES 500G</t>
  </si>
  <si>
    <t>NUDEFRUIT FROZEN SCRUMPTIOUS ANTIOXIDANT 500G</t>
  </si>
  <si>
    <t>NUDEFRUIT FROZEN RAVISHING RASPBERRIES 360G</t>
  </si>
  <si>
    <t>NUDEFRUIT FROZEN THREE SHADY BERRIES 540G</t>
  </si>
  <si>
    <t>NUDEFRUIT FROZEN JUST CHILLIN' JUST MANGO 540 GR</t>
  </si>
  <si>
    <t>NUDEFRUIT FROZEN SWEET CHERRY BLUES 500 GR</t>
  </si>
  <si>
    <t>NUDEFRUIT FROZEN JUST CHILLIN' GOOD MORNING SUNSHINE 500 GR</t>
  </si>
  <si>
    <t>NUDEFRUIT FROZEN JUST CHILLIN' TROPICAL BREEZE 500 GR</t>
  </si>
  <si>
    <t>FARKAY</t>
  </si>
  <si>
    <t>FARKAY CHOW MEIN NOODLES 397GR</t>
  </si>
  <si>
    <t>FARKAY STEAM FRIED NOODLES 397GR</t>
  </si>
  <si>
    <t>FARKAY W/F</t>
  </si>
  <si>
    <t>FARKAY WESTERN FAMILY CHOW MEIN</t>
  </si>
  <si>
    <t>FARKAY WESTERN FAM STEAM FRY NOODLES</t>
  </si>
  <si>
    <t>FARMBOY MATURE ENGLISH CHEDDAR 200G</t>
  </si>
  <si>
    <t>FARMBOY BRITISH RED LEICESTER CHEDDAR 200G</t>
  </si>
  <si>
    <t>FARMBOY WELSH MATURED CHEDDAR</t>
  </si>
  <si>
    <t>FARMBOY IRISH CHEDDAR CHEESE 200G</t>
  </si>
  <si>
    <t>FARMBOY SCOTTISH CHEDDAR CHEESE 200G</t>
  </si>
  <si>
    <t>COOMBE CASTLE CHEESE BAKE RED LEICESTER</t>
  </si>
  <si>
    <t>COOMBE CASTLE BRITISH SELECTION CHEESE CATER PACK BOX</t>
  </si>
  <si>
    <t>1.95 KG</t>
  </si>
  <si>
    <t>BAR BURRITO</t>
  </si>
  <si>
    <t>BAR BURRITO CLASSIC BURRITO FZ GUAC 1LB</t>
  </si>
  <si>
    <t>TRADITIONAL CHEESE</t>
  </si>
  <si>
    <t>TRADITIONAL CHEESE IR CHEDDAR WITH ROASTED ONIONS &amp; CARAWAY SEEDS</t>
  </si>
  <si>
    <t>TRADITIONAL CHEESE IR CHEDDAR WITH SUNDRIED TOMATOES, ROSEMARY &amp; BLACK PEPPER</t>
  </si>
  <si>
    <t>TRADITIONAL CHEESE IR CHEDDAR WITH BLACK PEPPER &amp; CHIVES</t>
  </si>
  <si>
    <t>CRODO</t>
  </si>
  <si>
    <t>CRODO ARANCIATA - ORANGE SODA</t>
  </si>
  <si>
    <t>CRODO LIMONATA - LEMON SODA</t>
  </si>
  <si>
    <t>MCVITIES DIGESTIVE WHITE VANILLA</t>
  </si>
  <si>
    <t>232 GR</t>
  </si>
  <si>
    <t>CARR'S COSTCO</t>
  </si>
  <si>
    <t>CARRS COSTCO TW MULTIPACK PALLET</t>
  </si>
  <si>
    <t>COSTCO ASSRTMNT</t>
  </si>
  <si>
    <t>SF Pretzel Crisps Sea Salt &amp; Cracked Pepper</t>
  </si>
  <si>
    <t>SF PRETZEL CRISP BITES 60CT SHIPPER</t>
  </si>
  <si>
    <t>SF CAN PCRSP BITES 168CT HDRP</t>
  </si>
  <si>
    <t>SOH SHIPPER TWISTED VARIETY 60CT</t>
  </si>
  <si>
    <t>Finest Call Puree Watermelon</t>
  </si>
  <si>
    <t>AMY’S ORGANIC REFRIED BLACK BEANS</t>
  </si>
  <si>
    <t>Amy's Organic Refried Beans with Green Chiles</t>
  </si>
  <si>
    <t>BLUE DIAMOND WASABI &amp; SOY SAUCE FLAVOURED ALMONDS</t>
  </si>
  <si>
    <t>WALKERS CRANBERRY &amp; CLEMENTINE MINCE PIES</t>
  </si>
  <si>
    <t>Tinkyada Brown Rice Fettucini 397g</t>
  </si>
  <si>
    <t>Tinkyada Org Brown Rice Spaghetti 340g</t>
  </si>
  <si>
    <t>Tinkyada White Rice Spaghetti 454g</t>
  </si>
  <si>
    <t>BELLA CAS ALBER LEAP</t>
  </si>
  <si>
    <t>BELLA CASARA CHEESE BURRATA 6x250G</t>
  </si>
  <si>
    <t>BELLA CASARA CHEESE Mini Buffalo Bocconcini</t>
  </si>
  <si>
    <t>BELLA CASARA CHEESE BUFFALO MOZZARELLA</t>
  </si>
  <si>
    <t>BELLA CASARA CHEESE FIOR DI LATTE  6x250g</t>
  </si>
  <si>
    <t>SF SSCP 60CT SHIPPER</t>
  </si>
  <si>
    <t>SF CAN PCRSP SEA SALT CRACKED PEPPER 288CT HDRP</t>
  </si>
  <si>
    <t>2 LT</t>
  </si>
  <si>
    <t>PUTTERS PICKLES BREAD &amp; BUTTER</t>
  </si>
  <si>
    <t>GV LIFE</t>
  </si>
  <si>
    <t>GV LIFE FZ CLASSIC GUACAMOLE POUCHES -  12/1 LB</t>
  </si>
  <si>
    <t>12 LB</t>
  </si>
  <si>
    <t>PUTTERS PEPPERS JALAPENO RINGS</t>
  </si>
  <si>
    <t>10 LT</t>
  </si>
  <si>
    <t>PUTTERS PICKLES HOT PEPPER RINGS</t>
  </si>
  <si>
    <t>TATES BAKE SHOP COOKIES PUMPKIN SPICE</t>
  </si>
  <si>
    <t>TATES BAKE SHOP COOKIES DOUBLE CHOCOLATE TOFFEE</t>
  </si>
  <si>
    <t>TATES BAKE SHOP COOKIES GINGERSNAP</t>
  </si>
  <si>
    <t>TATES BAKE SHOP COOKIES FALL SHIPPER</t>
  </si>
  <si>
    <t>TATES BAKE SHOP COOKIES HOLIDAY SHIPPER</t>
  </si>
  <si>
    <t>PUTTERS RELISH SWEET GREEN</t>
  </si>
  <si>
    <t>PUTTERS Pickled jalapeno peppers rings</t>
  </si>
  <si>
    <t>PUTTERS PICKLES DILL</t>
  </si>
  <si>
    <t>WHIPPD &amp; BAKE INC</t>
  </si>
  <si>
    <t>WHIPDD Butter Herb &amp; Garlic</t>
  </si>
  <si>
    <t>WhIPDD Butter Chilli &amp; Lime</t>
  </si>
  <si>
    <t>WHIPDD Dairy Spread Honey &amp; Cinnamon</t>
  </si>
  <si>
    <t>WHIPDD Butter Herb &amp; Garlic COSTCO</t>
  </si>
  <si>
    <t>85 GR</t>
  </si>
  <si>
    <t>PUTTERS PICKLES KOSHER DILL HAM. CRINKLE CUT</t>
  </si>
  <si>
    <t>TYS FZ FULLY COOKED BACON PIECES, SMOKE FLAVOUR ADDED</t>
  </si>
  <si>
    <t>COOMBE CASTLE KING JAMES FIRM BLUE STILTON VEINED CHEESE</t>
  </si>
  <si>
    <t>8 KG</t>
  </si>
  <si>
    <t>WALKERS MINI SHORTBREAD EGGS</t>
  </si>
  <si>
    <t>WALKERS ASSORTED THISTLE SHORTBREAD</t>
  </si>
  <si>
    <t>KIKKOMAN SAUCE SRIRACHA HOT CHILI GLUTEN FREE</t>
  </si>
  <si>
    <t>504 ML</t>
  </si>
  <si>
    <t>Walkers Food Service Box</t>
  </si>
  <si>
    <t>BOTHWELL CHEESE SPICY DILL PICKLE MJ 170 GR</t>
  </si>
  <si>
    <t>BOTHWELL CHEESE RED HOT CHILI PEPPER MJ 540 GR</t>
  </si>
  <si>
    <t>ROBERTSONS LEMON CURD</t>
  </si>
  <si>
    <t>BRM Shipper GF 1-to-1 Baking Flour 6cs CA</t>
  </si>
  <si>
    <t>BRM Shipper GF Blanched Almond Flour 6cs CA</t>
  </si>
  <si>
    <t>APPLEKISS</t>
  </si>
  <si>
    <t>Applekiss Sparkling Honeycrisp Beverage</t>
  </si>
  <si>
    <t>Applekiss Sparkling Ginger Honeycrisp Beverage</t>
  </si>
  <si>
    <t>Applekiss Sparkling Rhubarb Honeycrisp Beverage</t>
  </si>
  <si>
    <t>Kikkoman Fish Sauce Gluten Free</t>
  </si>
  <si>
    <t>MRS. RENFRO'S SPICY PICKLE SALSA</t>
  </si>
  <si>
    <t>Flourish Protein Mug Cake, Blueberry</t>
  </si>
  <si>
    <t>Auricchio</t>
  </si>
  <si>
    <t>AURICCHIO CHEESE PROVOLONE CLASSICO SLM 30KG</t>
  </si>
  <si>
    <t>30 KG</t>
  </si>
  <si>
    <t>AURICCHIO CHEESE PROVOLONE CLASSICO SLM 50KG</t>
  </si>
  <si>
    <t>AURICCHIO CHEESE PROVOLONE CLASSICO SLM 100KG</t>
  </si>
  <si>
    <t>100 KG</t>
  </si>
  <si>
    <t>AURICCHIO CHEESE PROVOLONE DOLCE MILD</t>
  </si>
  <si>
    <t>6 KG</t>
  </si>
  <si>
    <t>AURICCHIO CHEESE PROVOLONE CLASSICO FETTE WEDGES</t>
  </si>
  <si>
    <t>AURICCHIO CHEESE PROVOLONE DOLCE FETTE WEDGES</t>
  </si>
  <si>
    <t>AURICCHIO CHEESE TALEGGIO DOP SOFT</t>
  </si>
  <si>
    <t>AURICCHIO CHEESE PECORINO ROMANO WEDGES HARD DOP</t>
  </si>
  <si>
    <t>AURICCHIO CHEESE PECORINO BUCARO PEPPERCORNS WEDGES HARD</t>
  </si>
  <si>
    <t>AURICCHIO CHEESE SCAMORZA WHITE</t>
  </si>
  <si>
    <t>AURICCHIO CHEESE SCAMORZA SMOKED</t>
  </si>
  <si>
    <t>AURICCHIO CHEESE GORGONZOLA DOP</t>
  </si>
  <si>
    <t>Top Grass Sausage Breakfast</t>
  </si>
  <si>
    <t>Top Grass Sausage Mild</t>
  </si>
  <si>
    <t>Top Grass Sausage Spicy</t>
  </si>
  <si>
    <t>AURICCHIO CHEESE CLASSICO SPICCHIO</t>
  </si>
  <si>
    <t>VITALE ITALIA ASSORTMENT PROSCIUTTO, COPPA, SALAMI</t>
  </si>
  <si>
    <t>VITALE PROSCIUTTO CRUDO</t>
  </si>
  <si>
    <t>VITALE SALAMI MILANO</t>
  </si>
  <si>
    <t>VITALE SPIANATA SALAMI</t>
  </si>
  <si>
    <t>VITALE COPPA STAGIONATA</t>
  </si>
  <si>
    <t>VITALE SALAMI CALABRESE HOT</t>
  </si>
  <si>
    <t>VITALE BRESAOLA 8/80G - ITALIAN DRY CURED BEEF</t>
  </si>
  <si>
    <t>VITALE - ALL NATURAL SALAME MILANO</t>
  </si>
  <si>
    <t>FT BLOOD ORANGE GINGER BEER 4X200ML</t>
  </si>
  <si>
    <t>Something Special Cranberry KEG</t>
  </si>
  <si>
    <t>1.04 KG</t>
  </si>
  <si>
    <t>BRAZZALE GRAN MORAVIA HARD CHEESE WEDGE 200 gram</t>
  </si>
  <si>
    <t>AGROPUR ENTREMONT BRIE 3KG</t>
  </si>
  <si>
    <t>AGROPUR ENTREMONT BRIE 227G</t>
  </si>
  <si>
    <t>AGROPUR ENTREMONT CAMEMBERT 227G</t>
  </si>
  <si>
    <t>SWEET STREET FROZEN OATMEAL RAISIN COOKIE PUCKS</t>
  </si>
  <si>
    <t>KKM 40% LS TAMARI SOY SAUCE GF 1.89L JUG</t>
  </si>
  <si>
    <t>KKM TAMARI SOY SAUCE GF 18.9L TUB</t>
  </si>
  <si>
    <t>KKM TAMARI SOY SAUCE GF 1.89L JUG</t>
  </si>
  <si>
    <t>KKM LS SOY SAUCE PACKETS 6ML</t>
  </si>
  <si>
    <t>KKM SOY SAUCE 3.79L BOTTLE</t>
  </si>
  <si>
    <t>KKM LS SOY SAUCE 18.9L TUB</t>
  </si>
  <si>
    <t>KKM SOY SAUCE 15.1L CARTON</t>
  </si>
  <si>
    <t>15.1 LT</t>
  </si>
  <si>
    <t>Kikkoman Kotteri Mirin</t>
  </si>
  <si>
    <t>Kikkoman Teriyaki Baste and Glaze</t>
  </si>
  <si>
    <t>Kikkoman Hoisin GF</t>
  </si>
  <si>
    <t>Kikkoman Poke Sauce</t>
  </si>
  <si>
    <t>Kikkoman Ponzu Lime</t>
  </si>
  <si>
    <t>CASA ITALIA</t>
  </si>
  <si>
    <t>CASA ITALIA Pepperoni - Sliced BULK</t>
  </si>
  <si>
    <t>1.135 KG</t>
  </si>
  <si>
    <t>CASA ITALIA Pancetta Bacon Diced-Pouch</t>
  </si>
  <si>
    <t>CASA ITALIA Pancetta Diced - BULK</t>
  </si>
  <si>
    <t>CASA ITALIA Mortadella</t>
  </si>
  <si>
    <t>CASA ITALIA Prosciutto Cotto-Mini</t>
  </si>
  <si>
    <t>CASA ITALIA Pancetta Mild Rolled-OF</t>
  </si>
  <si>
    <t>1.25 KG</t>
  </si>
  <si>
    <t>CASA ITALIA Genoa Salami VP</t>
  </si>
  <si>
    <t>CASA ITALIA Genoa Piccante Salami-VP</t>
  </si>
  <si>
    <t>CASA ITALIA Soppressata Piccante-Flat VP</t>
  </si>
  <si>
    <t>CASA ITALIA Soppressata-Flat VP</t>
  </si>
  <si>
    <t>VILLANI SPA</t>
  </si>
  <si>
    <t>VILLANI DRY PORK COPPA</t>
  </si>
  <si>
    <t>Villani Pancetta Nero with Black Pepper</t>
  </si>
  <si>
    <t>Villani Guanciale Pork Cheek</t>
  </si>
  <si>
    <t>PAESE MIO CRUSHED DICED TOMATO BAG</t>
  </si>
  <si>
    <t>G.H. CRETORS POPCORN HOT HONEY</t>
  </si>
  <si>
    <t>BRB FZ CORDON BLEU BREADED BONELESS RAW STUFFED CHICKEN BREAST (NEW)</t>
  </si>
  <si>
    <t>BRB FZ CREME BRIE AND APPLE BREADED BONELESS RAW STUFFED CHICKEN BREAST (NEW)</t>
  </si>
  <si>
    <t>BRB FZ CHICKEN PARMESAN BREADED BONELESS RAW STUFFED CHICKEN BREAST (NEW)</t>
  </si>
  <si>
    <t>BRB FZ 7OZ BROCCOLI &amp; CHEESE BREADED BONELESS RAW STUFFED CHICKEN BREAST (NEW)</t>
  </si>
  <si>
    <t>BRB FZ CORDON ROYALE BREADED BONELESS RAW STUFFED CHICKEN BREAST (NEW)</t>
  </si>
  <si>
    <t>BRB FZ CHIKCNE KIEV BREADED BONELESS RAW STUFFED CHICKEN BREAST (NEW)</t>
  </si>
  <si>
    <t>BRB FZ 4OZ BROCCOLI &amp; CHEESE BREADED BONELESS RAW STUFFED CHICKEN BREAST (NEW)</t>
  </si>
  <si>
    <t>JAYONE</t>
  </si>
  <si>
    <t>JAYONE GIMBAP - KOREAN RICE ROLL W/TUNA</t>
  </si>
  <si>
    <t>JAYONE KOREAN SCALLION PANCAKES</t>
  </si>
  <si>
    <t>JAYONE KOREAN KIMCHI PANCAKES</t>
  </si>
  <si>
    <t>JAYONE JAPCHAE - NOODLES STIR FRIED SWEET POTATO VEGGIES</t>
  </si>
  <si>
    <t>285 GR</t>
  </si>
  <si>
    <t>JAYONE GIMBAP - KOREAN RICE ROLL W/ FRIED TOFU</t>
  </si>
  <si>
    <t>JAYONE GIMBAP - KOREAN RICE ROLL W/ BULGOGI FLAVOUR SOY PROTEIN</t>
  </si>
  <si>
    <t>TRE MARIE COLOMBA RE NOIR</t>
  </si>
  <si>
    <t>Lundberg Rice Cake Cinnamon Toast ORGANIC</t>
  </si>
  <si>
    <t>Kikkoman Memmi</t>
  </si>
  <si>
    <t>Jarritos Fiesta Box</t>
  </si>
  <si>
    <t>JUST SOUP / JUST SAU</t>
  </si>
  <si>
    <t>JUST SAUCE TOMATO &amp; BASIL</t>
  </si>
  <si>
    <t>JUST SAUCE MARINARA</t>
  </si>
  <si>
    <t>JUST SAUCE ROSE</t>
  </si>
  <si>
    <t>JUST SAUCE PIZZA</t>
  </si>
  <si>
    <t>JUST SAUCE BUTTER CHICKEN</t>
  </si>
  <si>
    <t>JUST SAUCE TOMATO &amp; ROASTED RED PEPPER</t>
  </si>
  <si>
    <t>JUST SOUP ROASTED GARLIC TOMATO</t>
  </si>
  <si>
    <t>JUST SOUP CREAMY LEEK &amp; POTATO</t>
  </si>
  <si>
    <t>JUST SOUP SMOKED SPLIT PEA</t>
  </si>
  <si>
    <t>JUST SOUP MOROCCAN SPLIT PEA</t>
  </si>
  <si>
    <t>JUST SOUP THAI LENTIL COCONUT</t>
  </si>
  <si>
    <t>JUST SOUP CREAMY MUSHROOM</t>
  </si>
  <si>
    <t>JUST SOUP CREAMY BROCCOLI &amp; CHEESE</t>
  </si>
  <si>
    <t>JUST SOUP GARDEN VEGATABLE</t>
  </si>
  <si>
    <t>JUST SOUP CARROT AND COCONUT MILK</t>
  </si>
  <si>
    <t>JUST SOUP ROASTED RED PEPPER</t>
  </si>
  <si>
    <t>JUST SOUP BOMBAY TOMATO</t>
  </si>
  <si>
    <t>JUST SOUP CREAMY TOMATO BASIL</t>
  </si>
  <si>
    <t>JUST SOUP BUTTERNUT SQUASH AND SWEET POTATO</t>
  </si>
  <si>
    <t>SIMPLY DESSERTS RASPBERRY JEL DESSERT MC</t>
  </si>
  <si>
    <t>SIMPLY DESSERTS PEACH JEL DESSERT MC</t>
  </si>
  <si>
    <t>SIMPLY DESSERTS CHOCOLATE PUDDING AND PIE FILLING MC</t>
  </si>
  <si>
    <t>SIMPLY DESSERTS STRAWBERRY PUDDING AND PIE FILLING MC</t>
  </si>
  <si>
    <t>SIMPLY DESSERTS VANILLA PUDDING AND PIE FILLING MC</t>
  </si>
  <si>
    <t>SIMPLY DESSERTS BANANA INSTANT PUDDING MC</t>
  </si>
  <si>
    <t>KKM RICE VINEGAR 591ML GLASS BOTTLE</t>
  </si>
  <si>
    <t>KKM PANKO 1.13KG BAG</t>
  </si>
  <si>
    <t>SD JEL DESSERT ORANGE MC</t>
  </si>
  <si>
    <t>SD JEL DESSERT STRAWBERRY MC</t>
  </si>
  <si>
    <t>VILLANI GUANCIALE SML</t>
  </si>
  <si>
    <t>VILLANI CULATELLO WITH RIND</t>
  </si>
  <si>
    <t>BRM Organic Quick Cooking Steel Cut Oats Pallet 3.18 KG</t>
  </si>
  <si>
    <t>3.18 KG</t>
  </si>
  <si>
    <t>SCHAR BAGEL PLAIN</t>
  </si>
  <si>
    <t>SCHAR BAGEL EVERYTHING</t>
  </si>
  <si>
    <t>SCHAR COOKIE BUTTER</t>
  </si>
  <si>
    <t>KRONOS FZN WINDY CITY GYRO CONES 4-10LB</t>
  </si>
  <si>
    <t>KKM LS PF SOY SAUCE 6ML PACKETS</t>
  </si>
  <si>
    <t>KKM LS SOY SAUCE CUBEPACK 15.14LT</t>
  </si>
  <si>
    <t>15.14 LT</t>
  </si>
  <si>
    <t>KKM WASABI SAUCE 20OZ</t>
  </si>
  <si>
    <t>20 OZ</t>
  </si>
  <si>
    <t>KKM SRIRACHA 20OZ GF</t>
  </si>
  <si>
    <t>KKM PF SOY SAUCE 1.89L GF</t>
  </si>
  <si>
    <t>KKM LS 50% TERIYAKI SAUCE 1.89L</t>
  </si>
  <si>
    <t>KKM LS TERIYAKI SAUCE 1.89L</t>
  </si>
  <si>
    <t>Kikkoman 18.9L Teriyaki Sauce</t>
  </si>
  <si>
    <t>18.93 LT</t>
  </si>
  <si>
    <t>KKM TERIYAKI SAUCE 1.89L</t>
  </si>
  <si>
    <t>Kikkoman 2.41Kg Teriyaki Baste &amp; Glaze</t>
  </si>
  <si>
    <t>2.41 KG</t>
  </si>
  <si>
    <t>Kikkoman NO PRESERVATIVES ADDED VEGETARIAN OYSTER FLAVORED SAUCE</t>
  </si>
  <si>
    <t>1.49 KG</t>
  </si>
  <si>
    <t>Kikkoman 3.79L Rice Vinegar</t>
  </si>
  <si>
    <t>Kikkoman 18.9L Seisho Rice Flavoured Grain Vinegar</t>
  </si>
  <si>
    <t>Kikkoman 18.9L Kotteri Mirin</t>
  </si>
  <si>
    <t>Kikkoman 2.2kg Katsu Sauce</t>
  </si>
  <si>
    <t>Kikkoman 1.84L Oyster Flavoured Sauce</t>
  </si>
  <si>
    <t>Kikkoman 1.2L Teriyaki Marinade</t>
  </si>
  <si>
    <t>KETTLE CHIPS ALL DRESSED 198G</t>
  </si>
  <si>
    <t>KETTLE CHIPS LOADED KETCHUP 198G</t>
  </si>
  <si>
    <t>MONSIEUR GUSTAV GOUDA CHEESE EXTRA OLD</t>
  </si>
  <si>
    <t>BEL BOURSIN FZ  DICE IQF Garlic &amp; Fine Herbs BAG 750GX4</t>
  </si>
  <si>
    <t>Kikkoman 22.2kg JINYA SHOYU RAMEN SOUP BASE BIB</t>
  </si>
  <si>
    <t>22.2 KG</t>
  </si>
  <si>
    <t>Asif Ahmad PR</t>
  </si>
  <si>
    <t>RED BARON</t>
  </si>
  <si>
    <t>RED BARON FZ RIS CRST PIZZA SUPREME</t>
  </si>
  <si>
    <t>875 GR</t>
  </si>
  <si>
    <t>RED BARON FZ RISING CRUST PIZZA PEPPERONI</t>
  </si>
  <si>
    <t>775 GR</t>
  </si>
  <si>
    <t>RED BARON FZ RISING CRUST PIZZA CHEESE</t>
  </si>
  <si>
    <t>740 GR</t>
  </si>
  <si>
    <t>BIBIGO</t>
  </si>
  <si>
    <t>BIBIGO FZ MANDU CHICKEN BULGOGI DUMPLINGS</t>
  </si>
  <si>
    <t>RED BARON FZ RISING CRUST PIZZA HAWAIIAN</t>
  </si>
  <si>
    <t>780 GR</t>
  </si>
  <si>
    <t>RED BARON FZ THIN CRUST PIZZA 5 CHEESE</t>
  </si>
  <si>
    <t>442 GR</t>
  </si>
  <si>
    <t>RED BARON FZ THIN CRUST PIZZA PEPPERONI</t>
  </si>
  <si>
    <t>447 GR</t>
  </si>
  <si>
    <t>RED BARON FZ DEEP DISH SINGLES SUPREME</t>
  </si>
  <si>
    <t>326 GR</t>
  </si>
  <si>
    <t>RED BARON FZ DEEP DISH SINGLES 4 CHEESE</t>
  </si>
  <si>
    <t>318 GR</t>
  </si>
  <si>
    <t>RED BARON FZ DEEP DISH SINGLES PEPPERONI</t>
  </si>
  <si>
    <t>RED BARON FZ CLASSIC PIZZA 4 MEAT</t>
  </si>
  <si>
    <t>RED BARON FZ CLASSIC PIZZA 4 CHEESE</t>
  </si>
  <si>
    <t>622 GR</t>
  </si>
  <si>
    <t>RED BARON FZ CLASSIC PIZZA PEPPERONI</t>
  </si>
  <si>
    <t>597 GR</t>
  </si>
  <si>
    <t>RED BARON FZ FULLY LOADED HAND TOSSED PIZZA MEAT LOVERS</t>
  </si>
  <si>
    <t>805 GR</t>
  </si>
  <si>
    <t>RED BARON FZ FULLY LOADED HAND TOSSED PIZZA PEPPERONI</t>
  </si>
  <si>
    <t>815 GR</t>
  </si>
  <si>
    <t>RED BARON FZ CLASSIC PIZZA SUPREME</t>
  </si>
  <si>
    <t>665 GR</t>
  </si>
  <si>
    <t>BIBIGO FZ MANDU PORK AND VEGETABLE DUMPLINGS</t>
  </si>
  <si>
    <t>BIBIGO FZ MINI WONTON CHICKEN AND VEGETABLE</t>
  </si>
  <si>
    <t>BIBIGO FZ MINI WONTON PORK AND VEGETABLE</t>
  </si>
  <si>
    <t>BIBIGO FZ STEAMED DUMPLING CHICKEN AND VEGETABLE</t>
  </si>
  <si>
    <t>187 GR</t>
  </si>
  <si>
    <t>BIBIGO FZ STEAMED DUMPLING PORK AND VEGETABLE</t>
  </si>
  <si>
    <t>Our Finest Blue Stilton Cheese</t>
  </si>
  <si>
    <t>Our Finest Wensleydale with Cranberries</t>
  </si>
  <si>
    <t>Our Finest Irish Mature Cheddar</t>
  </si>
  <si>
    <t>Our Finest Red Fox - Aged Red Leicester</t>
  </si>
  <si>
    <t>Our Finest Peppers &amp; Spice Cheddar Cheese</t>
  </si>
  <si>
    <t>Walker's Shortbread Finger</t>
  </si>
  <si>
    <t>Walkers Gluten Free Shortbread Rounds 2 pack</t>
  </si>
  <si>
    <t>Walkers Gluten Free Choocolate Chip Shortbread Rounds 2 pack</t>
  </si>
  <si>
    <t>Walker's Bulk Mini Rounds 420g Tray</t>
  </si>
  <si>
    <t>Kirkland Coastal Cheddar</t>
  </si>
  <si>
    <t>810 GR</t>
  </si>
  <si>
    <t>BRM SHIPPER GF OAT OLD FASHIONED 6CS</t>
  </si>
  <si>
    <t>BRM SHIPPER ORG OAT OLD FASHIONED 6CS</t>
  </si>
  <si>
    <t>BRM SHIPPER GF ORG OAT OLD FASHIONED 6CS</t>
  </si>
  <si>
    <t>Walkers Rectangle Tin with sleeve</t>
  </si>
  <si>
    <t>RANA RETAIL</t>
  </si>
  <si>
    <t>RANA RICOTTA &amp; SPINACH RAVIOLI 6/300 GR</t>
  </si>
  <si>
    <t>RANA 4 CHEESE RAVIOLI 6/300 GR</t>
  </si>
  <si>
    <t>RANA MUSHROOM RAVIOLI 6/300 GR</t>
  </si>
  <si>
    <t>RANA ITALIAN SAUSAGE RAVIOLI 6/300 GR</t>
  </si>
  <si>
    <t>RANA BRAISED BEEF RAVIOLI 6/250 GR</t>
  </si>
  <si>
    <t>2X250 GR</t>
  </si>
  <si>
    <t>RANA CHICKEN &amp; ROASTED GARLIC RAVIOLI 6/250 GR </t>
  </si>
  <si>
    <t>RANA CABONARA RAVIOLI 6/250 GR</t>
  </si>
  <si>
    <t>RANA PULLED PORK RAVIOLI 6/250 GR</t>
  </si>
  <si>
    <t>RANA PEPPERONI PIZZA RAVIOLI 6/250 GR</t>
  </si>
  <si>
    <t>RANA MOZZARELLA RAVIOLI 6/250 GR</t>
  </si>
  <si>
    <t>RANA BUTTERNUT SQUASH RAVIOLI 6/250 GR</t>
  </si>
  <si>
    <t>RANA MAINE LOBSTER RAVIOLI 6/227 GR</t>
  </si>
  <si>
    <t>RANA MEAT LASAGNE 6/1.134 KG</t>
  </si>
  <si>
    <t>1.134 KG</t>
  </si>
  <si>
    <t>RANA Chicken Alfredo Lasagna 6/1.134 KG</t>
  </si>
  <si>
    <t>RANA MEAT LASAGNE 6/340g</t>
  </si>
  <si>
    <t>RANA CHICKEN ALFREDO LASAGNA 6/340g</t>
  </si>
  <si>
    <t>RANA ITALIAN SAUSAGE MUSHROOM FETTUCCINE6/454GR</t>
  </si>
  <si>
    <t>RANA CHICKEN CARBONARA FETTUCCINE 6/454GR</t>
  </si>
  <si>
    <t>RANA CHICKEN ALFREDO FETTUCCINE 6/454 GR</t>
  </si>
  <si>
    <t>RANA SEASONED WHITE CHICKEN MUSHROOM SAUCE WITH LINGUINE 6/454G</t>
  </si>
  <si>
    <t>RANA ITALIAN SAUSAGE AND PEPPERS FETTUCINE 6/454G</t>
  </si>
  <si>
    <t>PAREX RAW LG BROWN RICE - 50 LB</t>
  </si>
  <si>
    <t>Zavida Espresso Cremoso 700g Whole Bean Coffee</t>
  </si>
  <si>
    <t>Zavida Hazelnut Vanilla 700g Whole Bean Coffee</t>
  </si>
  <si>
    <t>PUTTERS SLICED BANANA PEPPERS</t>
  </si>
  <si>
    <t>PUTTERS PICKLED JALAPENO PEPPER RINGS</t>
  </si>
  <si>
    <t>AURICCHIO CHEESE STRAVECCHIO</t>
  </si>
  <si>
    <t>KKM HOISIN SAUCE 22.7KG TUB</t>
  </si>
  <si>
    <t>22.7 KG</t>
  </si>
  <si>
    <t>BRICKM Halal Beef Hot Dogs - 8:1</t>
  </si>
  <si>
    <t>Natura Dairy Alternative Almond Beverage Original 946ml</t>
  </si>
  <si>
    <t>Natura Dairy Alternative Almond Beverage Vanilla 946ml</t>
  </si>
  <si>
    <t>Natura Dairy Alternative Almond Beverage Unsweetened 946ml</t>
  </si>
  <si>
    <t>Natura Dairy Alternative Almond Beverage Chocolate 946ml</t>
  </si>
  <si>
    <t>Natura Dairy Alternative Almond Beverage Vanilla Unsweetened 946ml</t>
  </si>
  <si>
    <t>Natura Dairy Alternative Almond Beverage Unsweetened Coconut 946ml</t>
  </si>
  <si>
    <t>Our Finest Mature 9 Month Cheddar Cheese 12x200g</t>
  </si>
  <si>
    <t>Our Finest Extra Mature 12 Month Cheddar Cheese 12x200g</t>
  </si>
  <si>
    <t>Our Finest Mature 9 Month Cheddar Cheese 12x480g</t>
  </si>
  <si>
    <t>Our Finest Extra Mature 12 Month Cheddar Cheese 12x480g</t>
  </si>
  <si>
    <t>Finest Call Triple Sec</t>
  </si>
  <si>
    <t>GAY LEA</t>
  </si>
  <si>
    <t>Black River Cheese Cheddar Maple</t>
  </si>
  <si>
    <t>Ivanhoe Cheese Coloured Cheddar Old Sharpe</t>
  </si>
  <si>
    <t>Black River Cheese Monterey Jack</t>
  </si>
  <si>
    <t>KKM SOY SAUCE 208L DRUM</t>
  </si>
  <si>
    <t>208 LT</t>
  </si>
  <si>
    <t>FRICO GOUDA MILD 1X4.5KG</t>
  </si>
  <si>
    <t>FRICO GOUDA MATURE 1X4.5KG</t>
  </si>
  <si>
    <t>FRICO GOUDA CUMIN 1X4.5KG</t>
  </si>
  <si>
    <t>FRICO GOUDA EXTRA MATURE 1X4.5KG</t>
  </si>
  <si>
    <t>EMMENTAL ENTREMONT 2X3.2KG</t>
  </si>
  <si>
    <t>3.2 KG</t>
  </si>
  <si>
    <t>CASHEL BLUE 2X1.5KG</t>
  </si>
  <si>
    <t>FRICO SMOKED PROCESSED GOUDA</t>
  </si>
  <si>
    <t>FRENCH EMMENTAL 12X200G</t>
  </si>
  <si>
    <t>BLEU DE FRANCE ENTREMONT 8X125GR</t>
  </si>
  <si>
    <t>CheeseLand Strawberry cake</t>
  </si>
  <si>
    <t>Tilda RTH Sticky Rice</t>
  </si>
  <si>
    <t>Tilda Sticky Rice</t>
  </si>
  <si>
    <t>SCHAR BREAD ARTISAN WHITE 8PK GF</t>
  </si>
  <si>
    <t>SCHAR BREAD ARTISAN MULTIGRAIN 8PK GF</t>
  </si>
  <si>
    <t>SCHAR BREAD ARTISAN 10 GRN SEED 8PK GF</t>
  </si>
  <si>
    <t>SABANA QUESO COTIJA BULK 2.2KG</t>
  </si>
  <si>
    <t>SABANA QUESO COTIJA BULK 4.4KG</t>
  </si>
  <si>
    <t>FRICO EDAM CHEESE SLICES 12 x 150g</t>
  </si>
  <si>
    <t>DEV Halal Beef Hot Dogs - 6:1</t>
  </si>
  <si>
    <t>ARBYS ONION BUN</t>
  </si>
  <si>
    <t>ARBYS FZ ONION ROLL CN</t>
  </si>
  <si>
    <t>24 CT</t>
  </si>
  <si>
    <t>THE SPICE TAILOR ORIGINAL TACO SAUCE &amp; SALSA KIT</t>
  </si>
  <si>
    <t>228 ML</t>
  </si>
  <si>
    <t>THE SPICE TAILOR CLASSIC FAJITA SAUCE KIT</t>
  </si>
  <si>
    <t>THE SPICE TAILOR CHIPOTLE LIME BURRITO SAUCE AND SALSA KIT</t>
  </si>
  <si>
    <t>TRE MARIE PANETTONE MILANESE  – GIFT BOX 1000 G</t>
  </si>
  <si>
    <t>TRE MARIE PANDORA  – GIFT BOX 1000 G</t>
  </si>
  <si>
    <t>TRE MARIE CLASSIC WRAPPED 1000G</t>
  </si>
  <si>
    <t>TRE MARIE FROLLINI  CARAMEL &amp; CHOCOLAT CHIP COOKIES</t>
  </si>
  <si>
    <t>315 GR</t>
  </si>
  <si>
    <t>TATES BAKE SHOP UNIVERSAL SHIPPER- 60 CT</t>
  </si>
  <si>
    <t>Cheeseland Prosecco Yellow Meadow 10kg WHL</t>
  </si>
  <si>
    <t>Cheeseland Goat Cranberry 200g wedge</t>
  </si>
  <si>
    <t>Cheeseland Two Sisters - Serafina 250 wedge</t>
  </si>
  <si>
    <t>Cheeseland Goat Truffle 200g wedge</t>
  </si>
  <si>
    <t>Walkers Mini Fingers Mini Saltire Tin</t>
  </si>
  <si>
    <t>Walkers Mini Fingers Union Jack</t>
  </si>
  <si>
    <t>Walkers Mini Fingers Tartan Tin</t>
  </si>
  <si>
    <t>Walkers Mini Shortbread Festive Shapes - Mini Festive Tin</t>
  </si>
  <si>
    <t>Walkers Scottish Biscuits  For Cheese</t>
  </si>
  <si>
    <t>ALIMENTIAS SPANISH Sheep cheese with black olives</t>
  </si>
  <si>
    <t>BRM NUTRITIONAL YEAST LARGE FLAKE 142G</t>
  </si>
  <si>
    <t>ALIMENTIAS SPANISH Sheep cheese with caramelized onion</t>
  </si>
  <si>
    <t>ALIMENTIAS SPANISH Marbleized sheep´s cheese with Pedro Ximenez</t>
  </si>
  <si>
    <t>Walkers Carton Shortbread Festive Shapes</t>
  </si>
  <si>
    <t>SORESINA</t>
  </si>
  <si>
    <t>SORESINA GRANA PADANA PDO WEDGE</t>
  </si>
  <si>
    <t>SORESINA GRANA PADANA CHEESE PDO GRATED TIN</t>
  </si>
  <si>
    <t>SORESINA GRANA PADANA CHEESE PDO 10 M 38KG</t>
  </si>
  <si>
    <t>38 KG</t>
  </si>
  <si>
    <t>SORESINA GRANA PADANA CHEESE PDO 1/8 WHEEL</t>
  </si>
  <si>
    <t>SORESINA REGGIANO CHEESE PDO 900G WEDGE 14M</t>
  </si>
  <si>
    <t>SORESINA REGGIANO CHEESE 36KG PDO 18M</t>
  </si>
  <si>
    <t>SORESINA REGGIANO CHEESE PDO 1/8 WHEEL</t>
  </si>
  <si>
    <t>SORESINA PECORINO CHEESE DOP 30KG WHEEL</t>
  </si>
  <si>
    <t>SORESINA PECORINO CHEESE DOP 1/4 WHEEL</t>
  </si>
  <si>
    <t>Walkers Carton Shortbread Petticoat Tails Festive design</t>
  </si>
  <si>
    <t>CASA ITALIA Capocollo X-lean mild</t>
  </si>
  <si>
    <t>CASA ITALIA Capocollo X-lean hot</t>
  </si>
  <si>
    <t>ARBYS RYE BREAD</t>
  </si>
  <si>
    <t>Arbys FZ Marble Rye Bread</t>
  </si>
  <si>
    <t>14 PC</t>
  </si>
  <si>
    <t>Walkers Carton Festive Shortbread Selection</t>
  </si>
  <si>
    <t>Walkers Bag Mini Chocolate Shortbread Parcels</t>
  </si>
  <si>
    <t>Something Special Multi Pack Jelly</t>
  </si>
  <si>
    <t>Something Special Multi Pack Antipesto</t>
  </si>
  <si>
    <t>IM BROTH CHICKEN BONE 946ML</t>
  </si>
  <si>
    <t>IM BROTH CHICKEN LOW SODIUM ORG 946ML</t>
  </si>
  <si>
    <t>IM BROTH BEEF LOW SODIUM ORG 946ML</t>
  </si>
  <si>
    <t>IM BROTH VEG LOW SODIUM ORG 946ML</t>
  </si>
  <si>
    <t>IM BROTH CHICKEN ORG 946ML</t>
  </si>
  <si>
    <t>KKM GF Poke Sauce 285ML</t>
  </si>
  <si>
    <t>KKM Yuzu Ponzu Sauce 10 FL OZ</t>
  </si>
  <si>
    <t>KKM GYOZA DIPPING SAUCE 296ML</t>
  </si>
  <si>
    <t>KKM Soy Sauce in Cube 4 Gallon</t>
  </si>
  <si>
    <t>15 LT</t>
  </si>
  <si>
    <t>KKM Double Fermented Soy Sauce 6.8 FL OZ</t>
  </si>
  <si>
    <t>200 MG</t>
  </si>
  <si>
    <t>BES SPREAD HOT HONEY 1KG</t>
  </si>
  <si>
    <t>BES SPREAD HONEY 14G</t>
  </si>
  <si>
    <t>CAFFE VIVO</t>
  </si>
  <si>
    <t>Café Vivo Espresso Italiano Gran Crema50x5gr</t>
  </si>
  <si>
    <t>50x5 GR</t>
  </si>
  <si>
    <t>Café Vivo Espresso Italiano Classic50x5gr</t>
  </si>
  <si>
    <t>Café Vivo Espresso Italiano Strong50x5gr</t>
  </si>
  <si>
    <t>Café Vivo Whole beans coffee 1KG</t>
  </si>
  <si>
    <t>Café Vivo Whole beans coffee Premium 1KG</t>
  </si>
  <si>
    <t>ARBYS TURNOVER</t>
  </si>
  <si>
    <t>Arbys FZ Apple Turnover</t>
  </si>
  <si>
    <t>60 PC</t>
  </si>
  <si>
    <t>Arbys FZ Blueberry Turnover</t>
  </si>
  <si>
    <t>BD ALM BREEZE UNSWTND BARISTA 6PACK</t>
  </si>
  <si>
    <t>GIMME ORGANIC ROASTED SEAWEED EX VIR OLIVE OIL 6PK</t>
  </si>
  <si>
    <t>BALCONI CLASSIC PANDORO 500 GR</t>
  </si>
  <si>
    <t>SNACK PACK</t>
  </si>
  <si>
    <t>SNACK PACK PUDDING VANILLA</t>
  </si>
  <si>
    <t>BALCONI WITHOUT CANDIED MINI PANETTONCINO</t>
  </si>
  <si>
    <t>BALCONI  CHOCO CHIPS  MINI PANETTONCINO</t>
  </si>
  <si>
    <t>BALCONI  CLASSIC PANETTONE</t>
  </si>
  <si>
    <t>BALCONI CHOCO DROPS PANETTONE</t>
  </si>
  <si>
    <t>CELESTIAL SEASONINGS VITAMIN C SHINE HERBAL TEA</t>
  </si>
  <si>
    <t>CELESTIAL SEASONINGS WOMEN'S RASPBERRY LEAF HERBAL TEA</t>
  </si>
  <si>
    <t>SNACK PACK GEL CHERRY NSA</t>
  </si>
  <si>
    <t>SNACK PACK GEL STRAWBERRY ORANGE NSA</t>
  </si>
  <si>
    <t>ACT II</t>
  </si>
  <si>
    <t>ACT II MICROWAVE POPCORN BUTTER</t>
  </si>
  <si>
    <t>1.09 KG</t>
  </si>
  <si>
    <t>SNACK PACK PUDDING CHOCOLATE</t>
  </si>
  <si>
    <t>ACT II MICROWAVE POPCORN BUTTER LOVERS</t>
  </si>
  <si>
    <t>ANGIE'S BCP SWEET &amp; SALTY 198G</t>
  </si>
  <si>
    <t>ANGIE'S BCP SEA SALT 255G</t>
  </si>
  <si>
    <t>ANGIE'S BCP SEA SALT 136G</t>
  </si>
  <si>
    <t>ANGIE'S PUFFS SWEET CHILI 170G</t>
  </si>
  <si>
    <t>ANGIE'S BCP SWEET &amp; SALTY 64G</t>
  </si>
  <si>
    <t>64 GR</t>
  </si>
  <si>
    <t>ANGIE'S BCP SEA SALT 35G</t>
  </si>
  <si>
    <t>ANGIE'S PUFFS WHITE CHEDDAR 50G</t>
  </si>
  <si>
    <t>ANGIE'S BCP SWEET &amp; SALTY 397G</t>
  </si>
  <si>
    <t>ANGIE'S BCP SM HOT COCO MRSHM 128G</t>
  </si>
  <si>
    <t>SNACK PACK PUDDING CHOCOLATE FUDGE</t>
  </si>
  <si>
    <t>ANGIE'S BCP BBQ 156G</t>
  </si>
  <si>
    <t>ANGIE'S BCP RTE SLTD MPL 12/156G</t>
  </si>
  <si>
    <t>ANGIE'S BCP BUTTER 125G</t>
  </si>
  <si>
    <t>ANGIE'S BCP SEA SALT MULTIPK 6CT/17G</t>
  </si>
  <si>
    <t>17 GR</t>
  </si>
  <si>
    <t>ALYMER TOMATOES</t>
  </si>
  <si>
    <t>AYLMER ACCENTS TOMATO CHUNKY STEWED</t>
  </si>
  <si>
    <t>540 ML</t>
  </si>
  <si>
    <t>AYLMER TOMATOES DICED 796ML</t>
  </si>
  <si>
    <t>AYLMER TOMATOES DICED 540ML</t>
  </si>
  <si>
    <t>AYLMER ACCENTS TOMATO PETITE STEWED</t>
  </si>
  <si>
    <t>BIG SEEDS</t>
  </si>
  <si>
    <t>BIGS SEEDS RANCH</t>
  </si>
  <si>
    <t>SNACK PACK PUDDING BUTTERSCOTCH</t>
  </si>
  <si>
    <t>BIGS SEEDS DILL PICKLE</t>
  </si>
  <si>
    <t>BIGS SEEDS SALTED ROAST</t>
  </si>
  <si>
    <t>DUNCAN HINES</t>
  </si>
  <si>
    <t>DUNCAN HINES 4" BELGIAN WAFFLES SQUARE</t>
  </si>
  <si>
    <t>3.12 KG</t>
  </si>
  <si>
    <t>DUNCAN HINES 4" HOMESTYLE TOASTER WAFFLE</t>
  </si>
  <si>
    <t>3.36 KG</t>
  </si>
  <si>
    <t>DUNCAN HINES 7" BELGIAN WAFFLE ROUND</t>
  </si>
  <si>
    <t>DUNCAN HINES WAFFLE STICKS</t>
  </si>
  <si>
    <t>DUNCAN HINES 4" WHOLE GRAIN PANCAKES</t>
  </si>
  <si>
    <t>5.72 KG</t>
  </si>
  <si>
    <t>DUNCAN HINES 4" ROUND PANCAKES</t>
  </si>
  <si>
    <t>3.74 KG</t>
  </si>
  <si>
    <t>DUNCAN HINES 5/8" FRENCH TOAST</t>
  </si>
  <si>
    <t>8.16 KG</t>
  </si>
  <si>
    <t>EARTH BALANCE</t>
  </si>
  <si>
    <t>EARTH BAL SPREADS ORGANIC 12/368G</t>
  </si>
  <si>
    <t>13 OZ</t>
  </si>
  <si>
    <t>SNACK PACK PUDDING TAPIOCA</t>
  </si>
  <si>
    <t>EARTH BAL SPREADS 6/1.276K</t>
  </si>
  <si>
    <t>1.276 KG</t>
  </si>
  <si>
    <t>EARTH BAL SPREADS ORIGINAL 13.6KG</t>
  </si>
  <si>
    <t>13.6 KG</t>
  </si>
  <si>
    <t>EARTH BAL SPREADS SOY FR 12/425G</t>
  </si>
  <si>
    <t>425.2 GR</t>
  </si>
  <si>
    <t>EARTH BAL SPREADS 12/425G</t>
  </si>
  <si>
    <t>EVER BAKE</t>
  </si>
  <si>
    <t>EVERBAKE PAN NO-STICK COOKING SPRAY</t>
  </si>
  <si>
    <t>GARDEIN</t>
  </si>
  <si>
    <t>GARDEIN CHIPOTLE BLACK BEAN PATTY 5.72KG</t>
  </si>
  <si>
    <t>5.72KG</t>
  </si>
  <si>
    <t>GARDEIN SUPREME BURGERS PLANT BASED 4.52KG</t>
  </si>
  <si>
    <t>4.52KG</t>
  </si>
  <si>
    <t>GARDEIN CHICK'N BREAST 5.45KG</t>
  </si>
  <si>
    <t>5.45KG</t>
  </si>
  <si>
    <t>GARDEIN CHICK'N STRIPS 4.54KG</t>
  </si>
  <si>
    <t>4.54KG</t>
  </si>
  <si>
    <t>GARDEIN BREADED CHIK'N TENDERS 5.45KG</t>
  </si>
  <si>
    <t>SNACK PACK PUDDING BANANA CREAM PIE</t>
  </si>
  <si>
    <t>GARDEIN SUPREME BREADED CHIK'N NUGGET</t>
  </si>
  <si>
    <t>4.53KG</t>
  </si>
  <si>
    <t>GARDEIN SUPREME BREADED CHIK'N FILETS</t>
  </si>
  <si>
    <t>GARDEIN GROUND B'EF 4.52KG</t>
  </si>
  <si>
    <t>GARDEIN MEATLESS MEATBALLS 4.54KG</t>
  </si>
  <si>
    <t>GARDEIN BRKFST SAUSAGE 4.54KG</t>
  </si>
  <si>
    <t>GARDEIN GOLDEN F'SH FILETS 4.54KG</t>
  </si>
  <si>
    <t>GARDEIN SUPRM MTBL MRNRA BWL 8/255G</t>
  </si>
  <si>
    <t>GARDEIN SUPRM BEEF BROC BWL 8/255G</t>
  </si>
  <si>
    <t>GARDEIN BOWL CHICKEN MAC CHS 8/255G</t>
  </si>
  <si>
    <t>GARDEIN BOWL CHKN FRIED RICE 8/255G</t>
  </si>
  <si>
    <t>SNACK PACK PUDDING LEMON MERINGUE</t>
  </si>
  <si>
    <t>GARDEIN STUFFED TURK'Y 8/454G</t>
  </si>
  <si>
    <t>GARDEIN SUPR BLK BN BGR 8/226G</t>
  </si>
  <si>
    <t>226 GR</t>
  </si>
  <si>
    <t>GARDEIN ULTIMATE BURGER 8/226G</t>
  </si>
  <si>
    <t>GARDEIN SUPRM CHKN NUGTS 6/417G</t>
  </si>
  <si>
    <t>417 GR</t>
  </si>
  <si>
    <t>GARDEIN SUPRM CHKN FLT 6/425G</t>
  </si>
  <si>
    <t>GARDEIN SP CKNBL WNG BFLO 6/419G</t>
  </si>
  <si>
    <t>419 GR</t>
  </si>
  <si>
    <t>GARDEIN SP CKNBL WNG BBQ 6/415G</t>
  </si>
  <si>
    <t>415 GR</t>
  </si>
  <si>
    <t>GARDEIN SUP DINR SAGE ORIBT 6/397G</t>
  </si>
  <si>
    <t>GARDEIN SUP DINR SAGE SPY ITL 6/397G</t>
  </si>
  <si>
    <t>GARDEIN GROUND BE'F 6/397G</t>
  </si>
  <si>
    <t>SNACK PACK PUDDING CINNABON</t>
  </si>
  <si>
    <t>GARDEIN CHICKN TENDER 6/425G</t>
  </si>
  <si>
    <t>GARDEIN PATTI BRKFST SAUS 6/390G</t>
  </si>
  <si>
    <t>GARDEIN CHICKN STRIP 6/397G</t>
  </si>
  <si>
    <t>GARDEIN FSH FILET 6/425G</t>
  </si>
  <si>
    <t>GARDEIN MEATBALL 6/425G</t>
  </si>
  <si>
    <t>GLUTINO</t>
  </si>
  <si>
    <t>GLUTINO PRETZEL TWIST 12/400G</t>
  </si>
  <si>
    <t>GLUTINO PRETZEL STICK 12/400G</t>
  </si>
  <si>
    <t>GLUTINO WAFERS CHOCOLATE 12/130G</t>
  </si>
  <si>
    <t>GLUTINO WAFERS LEMON 12/130G</t>
  </si>
  <si>
    <t>GLUTINO WAFERS VANILLA 12/130G</t>
  </si>
  <si>
    <t>SNACK PACK PUDDING CHOCOLATE NSA</t>
  </si>
  <si>
    <t>GLUTINO CKIES VAN CREME 12/300G</t>
  </si>
  <si>
    <t>GLUTINO CKIES CH/VAN CRM 12/300G</t>
  </si>
  <si>
    <t>GLUTINO CKIES CHOC CHIP 12/245G</t>
  </si>
  <si>
    <t>GLUTINO CVRED PRETZLS CHOC 12/156G</t>
  </si>
  <si>
    <t>GLUTINO CVRED PRETZL YOGURT 12/156G</t>
  </si>
  <si>
    <t>GRIDDLE MATE</t>
  </si>
  <si>
    <t>GRIDDLEMATE PAN COOKING SPRAY 454G</t>
  </si>
  <si>
    <t>HEALTHY CHOICE (HC)</t>
  </si>
  <si>
    <t>HEALTHY CHOICE GRILLED CHICKEN MARINARA 8/284G</t>
  </si>
  <si>
    <t>HEALTHY CHOICE CHICKEN BALSAMIC 8/284G</t>
  </si>
  <si>
    <t>HEALTHY CHOICE GRILLED MEATBALL MARINARA 8/283G</t>
  </si>
  <si>
    <t>HEALTHY CHOICE SMPLY CRMY SPNCH TOM 8/255G</t>
  </si>
  <si>
    <t>SNACK PACK PUDDING VANILLA NSA</t>
  </si>
  <si>
    <t>HEALTHY CHOICE POWER BOWL CHICKEN ADOBO 8/276G</t>
  </si>
  <si>
    <t>HEALTHY CHOICE POWER BOWL KOREAN BEEF 8/269G</t>
  </si>
  <si>
    <t>HEALTHY CHOICE POWER BOWL PESTO CHICKEN 8/262G</t>
  </si>
  <si>
    <t>262 GR</t>
  </si>
  <si>
    <t>HEALTHY CHOICE POWER BOWL CHICKEN MARINARA 8/262G</t>
  </si>
  <si>
    <t>HEBREW NATIONAL</t>
  </si>
  <si>
    <t>HEBREW NATIONAL BEEF FRANKS</t>
  </si>
  <si>
    <t>2.268 KG</t>
  </si>
  <si>
    <t>HUNT'S TOMATOES &amp; SA</t>
  </si>
  <si>
    <t>HUNT'S TOMATOES DICED HEIRLOOM</t>
  </si>
  <si>
    <t>HUNT'S TOMATO PASTE 369ML</t>
  </si>
  <si>
    <t>369 ML</t>
  </si>
  <si>
    <t>HUNT'S TOMATO PASTE 156ML</t>
  </si>
  <si>
    <t>HUNT'S TOMATO SAUCE 680ML</t>
  </si>
  <si>
    <t>680 ML</t>
  </si>
  <si>
    <t>HUNT'S TOMATO SAUCE 398ML</t>
  </si>
  <si>
    <t>SNACK PACK GEL LEMON LIME</t>
  </si>
  <si>
    <t>HUNT'S TOMATO SAUCE NO SALT ADDED 398ML</t>
  </si>
  <si>
    <t>HUNT'S TOMATO AND HERB SAUCE 680ML</t>
  </si>
  <si>
    <t>JIFFY POP</t>
  </si>
  <si>
    <t>JIFFY POP POPCORN</t>
  </si>
  <si>
    <t>MANWICH</t>
  </si>
  <si>
    <t>MANWICH SAUCE 398ML</t>
  </si>
  <si>
    <t>ORVILLE</t>
  </si>
  <si>
    <t>ORVILLE KERNELS 35LB</t>
  </si>
  <si>
    <t>1.4 KG</t>
  </si>
  <si>
    <t>ORVILLE MICROWAVE BUTTERY POPCORN 82G</t>
  </si>
  <si>
    <t>82 GR</t>
  </si>
  <si>
    <t>ORVILLE MICROWAVE SMART POP 70G</t>
  </si>
  <si>
    <t>ORVILLE MICROWAVE BUTTERY LIGHT POPCORN</t>
  </si>
  <si>
    <t>456 GR</t>
  </si>
  <si>
    <t>ORVILLE MICROWAVE SMART POP</t>
  </si>
  <si>
    <t>ORVILLE MICROWAVE BUTTERY POPCORN</t>
  </si>
  <si>
    <t>SNACK PACK GEL STRAWBERRY ORANGE</t>
  </si>
  <si>
    <t>ORVILLE MICROWAVE EXTRA BUTTERY POPCORN</t>
  </si>
  <si>
    <t>ORVILLE READY TO EAT KETTLECORN</t>
  </si>
  <si>
    <t>PAM</t>
  </si>
  <si>
    <t>PAM COOKNG SPRAY ORIG CANOLA OIL 400G</t>
  </si>
  <si>
    <t>PAM COOKNG SPRAY ORIG CANOLA OIL 170G</t>
  </si>
  <si>
    <t>PAM COOKING SPRAY COCONUT OIL</t>
  </si>
  <si>
    <t>PAM COOKING SPRAY BUTTER FLAVOUR</t>
  </si>
  <si>
    <t>PAM COOKING SPRAY BAKING</t>
  </si>
  <si>
    <t>POGO</t>
  </si>
  <si>
    <t>POGO ORIGINAL CORN DOG 120/75G</t>
  </si>
  <si>
    <t>POGO ORIGINAL MINI CORN DOG 100/30G</t>
  </si>
  <si>
    <t>POGO ORIGINAL CORN DOG 50/75G</t>
  </si>
  <si>
    <t>SNACK PACK GEL CHERRY LEMON LIME</t>
  </si>
  <si>
    <t>POGO ALL BEEF CORN DOG 8/600G</t>
  </si>
  <si>
    <t>PURITAN</t>
  </si>
  <si>
    <t>PURITAN MILD CHILI</t>
  </si>
  <si>
    <t>PURITAN CORN BEEF</t>
  </si>
  <si>
    <t>ROTEL (RTL)</t>
  </si>
  <si>
    <t>ROTEL TOMATOES DICED MILD</t>
  </si>
  <si>
    <t>ROTEL TOMATOES DICED ORIGINAL</t>
  </si>
  <si>
    <t>SLIM JIM</t>
  </si>
  <si>
    <t>SLIM JIM GIANT ORIGINAL</t>
  </si>
  <si>
    <t>27.5 GR</t>
  </si>
  <si>
    <t>SLIM JIM GIANT MILD</t>
  </si>
  <si>
    <t>SLIM JIM GIANT HOT AF</t>
  </si>
  <si>
    <t>SWANSON</t>
  </si>
  <si>
    <t>SWANSON PIE TURKEY PIE</t>
  </si>
  <si>
    <t>UDI'S</t>
  </si>
  <si>
    <t>UDI'S CLASSIC HAMBURGER BUN</t>
  </si>
  <si>
    <t>SNACK PACK GEL RASPBERRY MIX BERRY</t>
  </si>
  <si>
    <t>UDI'S MULTIGRAIN SANDWICH LOAF</t>
  </si>
  <si>
    <t>UDI'S SOFT WHITE SANDWICH BREAD</t>
  </si>
  <si>
    <t>UDI'S PIZZA CRUST 10"</t>
  </si>
  <si>
    <t>145 GR</t>
  </si>
  <si>
    <t>UDI'S PIZZA CRUST 12"</t>
  </si>
  <si>
    <t>UDI'S ORIGINAL ENGLISH MUFFINS</t>
  </si>
  <si>
    <t>VH SAUCES</t>
  </si>
  <si>
    <t>VH SOYA SAUCE 2/3.6LT</t>
  </si>
  <si>
    <t>3.6 LT</t>
  </si>
  <si>
    <t>VH PLUM SAUCE 2/3.6LT</t>
  </si>
  <si>
    <t>VH HONEY GARLIC SP 12/341ML</t>
  </si>
  <si>
    <t>341 ML</t>
  </si>
  <si>
    <t>VH SOYA LITE SAUCE 12/380ML</t>
  </si>
  <si>
    <t>380 ML</t>
  </si>
  <si>
    <t>VH SOYA REG SAUCE 12/380ML</t>
  </si>
  <si>
    <t>SNACK PACK GEL STRAWBERRY NSA</t>
  </si>
  <si>
    <t>VH BEAN SPROUTS 12/796ML</t>
  </si>
  <si>
    <t>A&amp;W PRIVATE LABEL</t>
  </si>
  <si>
    <t>A&amp;W 5" PANCAKES</t>
  </si>
  <si>
    <t>49 GR</t>
  </si>
  <si>
    <t>ARBYS CHEESE SAUCE</t>
  </si>
  <si>
    <t>Arbys Aged Cheddar Sauce</t>
  </si>
  <si>
    <t>160 OZ</t>
  </si>
  <si>
    <t>VILLANI EMILIANO SALAMI</t>
  </si>
  <si>
    <t>VILLANI BAROLO WINE SALAMI</t>
  </si>
  <si>
    <t>VILLANI CALABRO SALAMI</t>
  </si>
  <si>
    <t>VILLANI FINOCCHIETTO SALAMI</t>
  </si>
  <si>
    <t>VILLANI TRUFFLE SALAMI</t>
  </si>
  <si>
    <t>Finest Call Citrus Sour</t>
  </si>
  <si>
    <t>CC/Belton Farms Fox Cheese Trio</t>
  </si>
  <si>
    <t>PUTTERS SWEET RELISH 375ML</t>
  </si>
  <si>
    <t>PUTTERS SLICED PICKLED BEETS 750ML</t>
  </si>
  <si>
    <t>SNOWDONIA AGED CHEDDAR LOAF 1X2.5KG</t>
  </si>
  <si>
    <t>Devon Cream  Alcohol Free Clotted Cream with Limoncello 0%</t>
  </si>
  <si>
    <t>Cheeseland Reduced Fat Gouda 1x4.5KG</t>
  </si>
  <si>
    <t>BEL TLC CHEESE DIPPERS PIZZA WITH BREADSTICKS x4</t>
  </si>
  <si>
    <t>MINI BABYBEL VARIETY PACK X12</t>
  </si>
  <si>
    <t>GV LIFE FZ LIGHTLY SEAS  AVOC - 12 / 1LB</t>
  </si>
  <si>
    <t>GV LIFE FZ LIGHTLY SEAS AVOC - 2 OZ CUP</t>
  </si>
  <si>
    <t>JARRITOS MANDARIN SOFT DRINK ZERO</t>
  </si>
  <si>
    <t>Soresina Grana Padano Riserva 20M 38KG WHL</t>
  </si>
  <si>
    <t>Soresina Grana Padano Cerimonia 10M 1/2 WHL</t>
  </si>
  <si>
    <t>19 KG</t>
  </si>
  <si>
    <t>Soresina Grana Padano Riserva 20M 1/8 Wedge neutro</t>
  </si>
  <si>
    <t>Soresina Parmigiano Reggiano14M 36KG W</t>
  </si>
  <si>
    <t>Soresina Parmigiano Reggiano  22-24M 36KG WHL</t>
  </si>
  <si>
    <t>Soresina Parmigiano Reggiano  22-24M 4KG WHL</t>
  </si>
  <si>
    <t>Soresina Parmigiano Reggiano 125 g</t>
  </si>
  <si>
    <t>Soresina Provolone Piccante Classico 31 kg</t>
  </si>
  <si>
    <t>31 KG</t>
  </si>
  <si>
    <t>Soresina Provolone Dolce 5kg</t>
  </si>
  <si>
    <t>Soresina Pecorino Romano  150GR</t>
  </si>
  <si>
    <t>SORESINA HARD WHEELS 36kg Wheel</t>
  </si>
  <si>
    <t>SORESINA HARD ITALIAN CHEESE 4kg Wedge</t>
  </si>
  <si>
    <t>OETKER FOOD SERVICE</t>
  </si>
  <si>
    <t>OTKR PIZZA MEAT LOVERS FRESCHETTA 16"</t>
  </si>
  <si>
    <t>1.19 KG</t>
  </si>
  <si>
    <t>OTKR PIZZA ALL DRESSED FRESCHETTA 16"</t>
  </si>
  <si>
    <t>OTKR PIZZA 5 CHEESE FRESCHETTA 16"</t>
  </si>
  <si>
    <t>1.12 KG</t>
  </si>
  <si>
    <t>OTKR PIZZA VEGETABLE FRESCHETTA 16"</t>
  </si>
  <si>
    <t>OTKER PIZZA PEPPERONI FRESCHETTA 16"</t>
  </si>
  <si>
    <t>1.17 KG</t>
  </si>
  <si>
    <t>OTKR PIZZA 5 CHEESE 7"</t>
  </si>
  <si>
    <t>OTKR PIZZA PEPPERONI PLANK 8" X 4"</t>
  </si>
  <si>
    <t>191 GR</t>
  </si>
  <si>
    <t>OTKR PIZZA 3 CHEESE PLANK 8" X 4"</t>
  </si>
  <si>
    <t>OTKR PIZZA NEW KIDS RECIPE UNLIMITED</t>
  </si>
  <si>
    <t>PPK Cholula Original &amp; Green</t>
  </si>
  <si>
    <t>1 UN</t>
  </si>
  <si>
    <t>Soresina Gorgonzola Dolce LS 1/8  weel</t>
  </si>
  <si>
    <t>BEBE</t>
  </si>
  <si>
    <t>BEBE Strawberry spread</t>
  </si>
  <si>
    <t>BEBE Fig spread</t>
  </si>
  <si>
    <t>BEBE Rasberry spread</t>
  </si>
  <si>
    <t>BEBE Peach spread</t>
  </si>
  <si>
    <t>BEBE Blueberry</t>
  </si>
  <si>
    <t>Kinnikinnick Gluten-Free Classic Oatmeal Cookies</t>
  </si>
  <si>
    <t>Kinnikinnick Gluten-Free Oatmeal Chocolate Chip Cookies</t>
  </si>
  <si>
    <t>Kinnikinnick Gluten-Free Oatmeal Cranberry Cookies</t>
  </si>
  <si>
    <t>Snack Factory PCRSP Dark Chocolate Drizzlers 155g</t>
  </si>
  <si>
    <t>BLUE DIAMOND SNACK NUTS SMOKEHOUSE PORTION 4PK</t>
  </si>
  <si>
    <t>43 GR</t>
  </si>
  <si>
    <t>HUNT'S PASTA SAUCE OG 680ML</t>
  </si>
  <si>
    <t>VLASIC</t>
  </si>
  <si>
    <t>VLASIC Dill Pickle Corn Puffs Ready To Eat 12-56g</t>
  </si>
  <si>
    <t>RUSTICO CHEESE</t>
  </si>
  <si>
    <t>RUSTICO CH PECORINO CHEESE SHEEP SEMI-AGED</t>
  </si>
  <si>
    <t>RUSTICO CH MONTE PORO DOP CHEESE SHEEP SEMI-AGED</t>
  </si>
  <si>
    <t>RUSTICO CH PECORINO CHEESE SEMI-AGED SHEEP WITH PEPPER</t>
  </si>
  <si>
    <t>RUSTICO CH PASTE FILATE CHEESE COW FRESH PROVOLA</t>
  </si>
  <si>
    <t>Natura Almond Simple</t>
  </si>
  <si>
    <t>CHG</t>
  </si>
  <si>
    <t>Mi Rancho Corn 4.5 YLW Organic Tortilla</t>
  </si>
  <si>
    <t>13.219 LB</t>
  </si>
  <si>
    <t>Pacific Foods ORGANIC CURRY POTATO &amp; VEGETABLE SOUP</t>
  </si>
  <si>
    <t>Pacific Foods ORGANIC TUSCAN MINESTRONE SOUP</t>
  </si>
  <si>
    <t>Bob's Red Mill Unsweetened Coconut Flakes 25lbs</t>
  </si>
  <si>
    <t>Brazzale Worldcup Provolone cheese</t>
  </si>
  <si>
    <t>PAREX PB LG RICE BOX 20 KG</t>
  </si>
  <si>
    <t>SOH Pieces Honey Mustard &amp; Onion 9 caddies x 92g</t>
  </si>
  <si>
    <t>92 GR</t>
  </si>
  <si>
    <t>SOH Pieces Cheddar Cheese 9 caddies x 92g</t>
  </si>
  <si>
    <t>M M GUSTAV HAVARTI  CREAMY 2.75KG</t>
  </si>
  <si>
    <t>2.75 KG</t>
  </si>
  <si>
    <t>M.GUSTAV HAVARTI SPICY JALAPENO  2.75KG</t>
  </si>
  <si>
    <t>M.GUSTAV HAVARTI FINE HERBS 2.75KG</t>
  </si>
  <si>
    <t>M.GUSTAV HAVARTI  BASIL AND TOMATOES 2.75KG</t>
  </si>
  <si>
    <t xml:space="preserve"> KERRYGOLD CHEDDAR DUBLINER 12 X 198G</t>
  </si>
  <si>
    <t>.198 kg</t>
  </si>
  <si>
    <t>KERRYGOLD CHEDDAR RESERVE 12 X 198G</t>
  </si>
  <si>
    <t>CANADIAN RESERVE GOUDA 5 MONTHS 12X200G</t>
  </si>
  <si>
    <t>CANADIAN RESERVE GOUDA 5 MONTHS SMOKED 12X200</t>
  </si>
  <si>
    <t>CANADIAN RESERVE GOUDA 9 MONTHS 12X170</t>
  </si>
  <si>
    <t>Finest Call Single Press Lime</t>
  </si>
  <si>
    <t>Finest Call Single Press Lemon</t>
  </si>
  <si>
    <t>Cheeseland Yellow Meadow 200 gr</t>
  </si>
  <si>
    <t>Cheeseland Pavoncella Olandese</t>
  </si>
  <si>
    <t>13 KG</t>
  </si>
  <si>
    <t>ZONIN</t>
  </si>
  <si>
    <t>ZONIN SPARKLING CUVEE ZERO 750ML</t>
  </si>
  <si>
    <t>ZONIN SPARKLING CUVEE ZERO 200ML</t>
  </si>
  <si>
    <t>ZONIN CABERNET SAUVIGNON RED ZERO 750ML</t>
  </si>
  <si>
    <t>ZONIN CHARDONNAY WHITE ZERO 750ML</t>
  </si>
  <si>
    <t>Snack Factory PCRSP GFR ORIG 141G</t>
  </si>
  <si>
    <t>Snack Factory PCRSP GFR MEDTRN HERB 141G</t>
  </si>
  <si>
    <t>SNACK FACTORY CAN PCRSP CHOC VAR 155G HDRP 288PL</t>
  </si>
  <si>
    <t>SNACK FACTORY CAN PCRSP CHOCVAR SHPR 155G 60CA</t>
  </si>
  <si>
    <t>LaPancanella CROCCANTINI Italian Herb &amp; Spices 12X170G</t>
  </si>
  <si>
    <t>Beehive Beechive cheddard with chives</t>
  </si>
  <si>
    <t>SNYDERS OF HANOVER SOUR CREAM &amp; CARAMELIZED ONION PRETZEL PIECES</t>
  </si>
  <si>
    <t>PAESE MIO CRUNCHY NOUGAT BAR 120G</t>
  </si>
  <si>
    <t>PAESE MIO SOFT MIXED NOUGAT BAG 200</t>
  </si>
  <si>
    <t>PAESE MIO SOFT MIXED NOUGAT BAG 2.5 KG</t>
  </si>
  <si>
    <t>PAESE MIO CRUNCHY MIXED NOUGAT BAG 2.5 KG</t>
  </si>
  <si>
    <t>KROON SMOKED PROCESSED CHEESE 45+ 2.85KG</t>
  </si>
  <si>
    <t>SOMETHING SPECIAL CRANBERRY SPREAD 270G</t>
  </si>
  <si>
    <t>Veggies Made Great Costco Lemon Blueberry Muffin</t>
  </si>
  <si>
    <t>Veggies Made Great Costco Mushroom &amp; 3 Cheese Egg White Frittata</t>
  </si>
  <si>
    <t>Veggies Made Great Costco Broccoli Cheddar Breakfast Potato Bake</t>
  </si>
  <si>
    <t>MORINAGA NUTRITIONAL</t>
  </si>
  <si>
    <t>MORI-NU SILKEN TOFU SOFT</t>
  </si>
  <si>
    <t>305 GR</t>
  </si>
  <si>
    <t>MORI-NU SILKEN TOFU FIRM</t>
  </si>
  <si>
    <t>307 GR</t>
  </si>
  <si>
    <t>MORI-NU SILKEN TOFU EXTRA FIRM</t>
  </si>
  <si>
    <t>308 GR</t>
  </si>
  <si>
    <t>GREEN &amp; BLACKS ORGANIC WHITE CHOCOLATE</t>
  </si>
  <si>
    <t>GREEN &amp; BLACKS ORGANIC DARK CHOCOLATE</t>
  </si>
  <si>
    <t>GREEN &amp; BLACKS ORGANIC DARK CHOCOLATE WITH PEPPERMINT OIL</t>
  </si>
  <si>
    <t>SHARWOODS KORMA LITE SAUCE</t>
  </si>
  <si>
    <t>SHARWOODS MADRAS SAUCE</t>
  </si>
  <si>
    <t>SHARWOODS CREAMY BUTTER CHICKEN SAUCE</t>
  </si>
  <si>
    <t>SSHARWOODS TIKKA MASALA LITE SAUCE</t>
  </si>
  <si>
    <t>THAI KITCHEN 1/2 PALLET COCONUT MILK REGULAR ONLY</t>
  </si>
  <si>
    <t>THE SPICE TAILOR SHIPPER 50 UNITS</t>
  </si>
  <si>
    <t>DR. OETKER WHIP IT STABILIZER MASTER</t>
  </si>
  <si>
    <t>GREEN &amp; BLACKS SHIPPER DARK/WHITE CHOCOLATE</t>
  </si>
  <si>
    <t>GREEN &amp; BLACKS CHOCOLATE FULL SHIPPER</t>
  </si>
  <si>
    <t>FINEST CALL SIROP TRIPLE SEC</t>
  </si>
  <si>
    <t>CAPE COD CHIPS HALF PALLET</t>
  </si>
  <si>
    <t>FINEST CALL PEACH PUREE</t>
  </si>
  <si>
    <t>FC MARTINI ESPRESSO</t>
  </si>
  <si>
    <t>WALKERS SHORTBREAD FINGER FLOOR DISPLAYER 80 COUNT</t>
  </si>
  <si>
    <t>WALKERS FINGERS / ROUNDS DISPLAYER</t>
  </si>
  <si>
    <t>Walkers Mini Bags Shipper – Christmas Trees and Stars</t>
  </si>
  <si>
    <t>WALKERS GLUTEN FREE SHIPPER</t>
  </si>
  <si>
    <t>WALKERS FESTIVE SHAPES SHIPPER 48CT</t>
  </si>
  <si>
    <t>WALKERS SCOTTIE GINGERBREAD SHIPPER</t>
  </si>
  <si>
    <t>JW SHIPPER 3D CHRISTMAS</t>
  </si>
  <si>
    <t>WALKERS COSTCO</t>
  </si>
  <si>
    <t>JW 40GR DISPLAY CASE COSTCO</t>
  </si>
  <si>
    <t>FEVER TREE HALF PALLET CANS</t>
  </si>
  <si>
    <t>ZAVIDA ORGANICA SHIPPER 48CT</t>
  </si>
  <si>
    <t>MCVITIE'S DISPLAY DIGESTIVES ORIGINAL</t>
  </si>
  <si>
    <t>CARRS TABLE WATER BITE ORIGINAL CRACKERSPREPACK</t>
  </si>
  <si>
    <t>MCVITIES HOB NOBS CHOCOLATE PPK</t>
  </si>
  <si>
    <t>BARISTA SHIPPER 60CT</t>
  </si>
  <si>
    <t>FT HALF PALLET CANS 4 FLAVOURS</t>
  </si>
  <si>
    <t>WALKERS GLUTEN FREE FESTIVE SHORTBREAD SHIPPER</t>
  </si>
  <si>
    <t>FEVER TREE POS CARB MIXER DISPLAYER BUILT</t>
  </si>
  <si>
    <t>POS MATERIAL</t>
  </si>
  <si>
    <t>FEVER TREE POS NON CARB MIXER DISPL BUILT</t>
  </si>
  <si>
    <t>WALKERS MINI SHORTBREAD EGGS SHIPPER</t>
  </si>
  <si>
    <t>JW HIGHLANDERS SHIPPER 40CT</t>
  </si>
  <si>
    <t>Jarritos Fiesta Box Pallet</t>
  </si>
  <si>
    <t>SIMPLY DESSERTS RASPBERRY JEL DESSERT MC AMAZON</t>
  </si>
  <si>
    <t>6X20 GR</t>
  </si>
  <si>
    <t>SIMPLY DESSERTS PEACH JEL DESSERT MC AMAZON</t>
  </si>
  <si>
    <t>SIMPLY DESSERTS CHOCOLATE PUDDING AND PIE FILLING MC AMAZON</t>
  </si>
  <si>
    <t>6X48 GR</t>
  </si>
  <si>
    <t>SIMPLY DESSERTS STRAWBERRY PUDDING AND PIE FILLING MC AMAZON</t>
  </si>
  <si>
    <t>SIMPLY DESSERTS VANILLA PUDDING AND PIE FILLING MC AMAZON</t>
  </si>
  <si>
    <t>SIMPLY DESSERTS BANANA INSTANT PUDDING MC AMAZON</t>
  </si>
  <si>
    <t>SIMPLY DESSERTS JEL DESSERT ORANGE MC AMAZON</t>
  </si>
  <si>
    <t>SIMPLY DESSERTS JEL DESSERT STRAWBERRY MC AMAZON</t>
  </si>
  <si>
    <t>JARRITOS MIXED PALLET 370ML</t>
  </si>
  <si>
    <t>Ian Millar PT</t>
  </si>
  <si>
    <t>TREE OF LIFE BAGS</t>
  </si>
  <si>
    <t>OFFICE FURNITURE 1</t>
  </si>
  <si>
    <t>OFFICE FURNITURE</t>
  </si>
  <si>
    <t>OFFICE FURNITURE 2</t>
  </si>
  <si>
    <t>SIMPLY DELISH - EMPTY SHIPPER - 84CT</t>
  </si>
  <si>
    <t>DO NOT USE - MOM YETI SOFT FLIP COOLER</t>
  </si>
  <si>
    <t>THE SPICE TAILER CA FSDU - FLAT PACKED</t>
  </si>
  <si>
    <t>BLUE DIAMOND CARDBOARD PALLET KIT</t>
  </si>
  <si>
    <t>PALLET</t>
  </si>
  <si>
    <t>MORI-NU COMPONENT SOFT TOFU</t>
  </si>
  <si>
    <t>GREEN &amp; BLACKS ORGANIC MILK CHOCOLATE WITH SEA SALT STICKER</t>
  </si>
  <si>
    <t>STICKERS/PPK OUTER</t>
  </si>
  <si>
    <t>GREEN &amp; BLACKS COMPONENT HEADER PREPACK CARD</t>
  </si>
  <si>
    <t>GREEN &amp; BLACKS COMPONENT TRAY BODY PREPACK DISPLAY</t>
  </si>
  <si>
    <t>GREEN &amp; BLACKS COMPONENT SHELVES PREPACK DISPLAY</t>
  </si>
  <si>
    <t>GREEN &amp; BLACKS COMPONENT BASE PREPACK DISPLAY</t>
  </si>
  <si>
    <t>GREEN &amp; BLACKS COMPONENT OUTER CASE PREPACK DISPLAY</t>
  </si>
  <si>
    <t>GREEN &amp; BLACKS COMPONENT SHIPPER FILLER PAD 2</t>
  </si>
  <si>
    <t>GREEN &amp; BLACKS COMPONENT SHIPPER SUPPORT</t>
  </si>
  <si>
    <t>GREEN &amp; BLACKS WHITE CHOCOLATE STICKERS</t>
  </si>
  <si>
    <t>GREEN &amp; BLACKS COMPONENT ORGANIC WHITE CHOCOLATE</t>
  </si>
  <si>
    <t>GREEN &amp; BLACKS MILK CHOCOLATE/SEA SALT -FRONT STICKER</t>
  </si>
  <si>
    <t>GREEN &amp; BLACKS WHITE CHOCOLATE -FRONT STICKER</t>
  </si>
  <si>
    <t>GREEN &amp; BLACKS MAYA GOLD FRONT STICKER</t>
  </si>
  <si>
    <t>GREEN &amp; BLACKS MAYA GOLD STICKER</t>
  </si>
  <si>
    <t>GREEN &amp; BLACKS COMPONENT SMOOTH DARK 50%</t>
  </si>
  <si>
    <t>GREEN &amp; BLACKS COMPONENT SMTH DARK MINT 50%</t>
  </si>
  <si>
    <t>GREEN &amp; BLACKS STICKER SMOOTH DARK 50% FRONT</t>
  </si>
  <si>
    <t>GREEN &amp; BLACKS STICKER SMOOTH DARK 50% BACK</t>
  </si>
  <si>
    <t>GREEN &amp; BLACKS STICKER SMOOTH DARK MINT 50% FRONT</t>
  </si>
  <si>
    <t>GREEN &amp; BLACKS STICKER SMOOTH DARK MINT 50% BACK</t>
  </si>
  <si>
    <t>THAI KITCHEN SHIPPER MASTER CASE</t>
  </si>
  <si>
    <t>THAI KITCHEN SHIPPER SHELF</t>
  </si>
  <si>
    <t>SHIPPER COMPONENT</t>
  </si>
  <si>
    <t>THAI KITCHEN SHIPPER BASE</t>
  </si>
  <si>
    <t>THAI KITCHEN SHIPPER SMALL SUPPORT</t>
  </si>
  <si>
    <t>THAI KITCHEN SHIPPER LARGE SUPPORT</t>
  </si>
  <si>
    <t>THAI KITCHEN SHIPPER EXTRA SUPPORT</t>
  </si>
  <si>
    <t>NUPASTA SHIPPER BASE-A</t>
  </si>
  <si>
    <t>SHARWOODS LARGE SHIPPER FILLER</t>
  </si>
  <si>
    <t>LABELS</t>
  </si>
  <si>
    <t>SHARWOODS SHIPPER CASE</t>
  </si>
  <si>
    <t>SHARWOODS SMALL SHIPPER FILLER</t>
  </si>
  <si>
    <t>SHARWOODS SHIPPER KICK TRAY</t>
  </si>
  <si>
    <t>SHARWOODS SHIPPER LABEL</t>
  </si>
  <si>
    <t>SHARWOODS SHIPPER HEADER CARD</t>
  </si>
  <si>
    <t>SHARWOODS SHIPPING TRAY</t>
  </si>
  <si>
    <t>SHARWOODS SHIPPER WEEKENDER</t>
  </si>
  <si>
    <t>SHARWOODS MADRAS SAUCE LABEL</t>
  </si>
  <si>
    <t>SHARWOODS SHIPPER BOTTOM BACK FILLER</t>
  </si>
  <si>
    <t>SHARWOODS SHIPPER BOTTOM DIVIDER</t>
  </si>
  <si>
    <t>SHARWOODS CREAMY BUTTER CHICKEN SAUCE COMPONENT</t>
  </si>
  <si>
    <t>SHARWOODS KORMA LITE SAUCE COMP</t>
  </si>
  <si>
    <t>SHARWOODS TIKKA MASALA LITE SAUCE COMPONENT</t>
  </si>
  <si>
    <t>SHARWOODS KORMA LITE SAUCE LABEL</t>
  </si>
  <si>
    <t>SHARWOODS LITE TIKKA MASALA LABEL</t>
  </si>
  <si>
    <t>SHARWOODS CREAMY BUTTER CHICKEN SAUCE LABEL</t>
  </si>
  <si>
    <t>SHARWOODS SHIPPER TOP BACK FILLER</t>
  </si>
  <si>
    <t>SHARWOODS MADRAS SAUCE COMPONENT</t>
  </si>
  <si>
    <t>CAPE COD CHIPS HALF PALLET TRAY COMP</t>
  </si>
  <si>
    <t>CAPE COD CHIPS HALF PALLET PARTITION COMPONENT</t>
  </si>
  <si>
    <t>FINEST CALL BOXES</t>
  </si>
  <si>
    <t>WALKERS UNIVERSAL PPK BASE</t>
  </si>
  <si>
    <t>WALKERS MINI PPK BODY</t>
  </si>
  <si>
    <t>WALKERS MINI PPK SHELF</t>
  </si>
  <si>
    <t>WALKERS MINI PPK OUTER CASE</t>
  </si>
  <si>
    <t>WALKERS MINI PPK HEADER</t>
  </si>
  <si>
    <t>WALKERS SKINNY SHIPPER-BODY</t>
  </si>
  <si>
    <t>WALKERS SKINNY SHIPPER-SHELF</t>
  </si>
  <si>
    <t>WALKERS SKINNY SHIPPER-OUTERCASE</t>
  </si>
  <si>
    <t>WALKERS SKINNY SHIPPER-HEADER</t>
  </si>
  <si>
    <t>WALKERS FESTIVE SHIPPER-BODY</t>
  </si>
  <si>
    <t>WALKERS FESTIVE SHIPPER-OUTERCASE</t>
  </si>
  <si>
    <t>WALKERS FESTIVE SHIPPER-HEADER</t>
  </si>
  <si>
    <t>ZAVIDA ORGANICA SHIPPER FLAT</t>
  </si>
  <si>
    <t>FEVER TREE COSTCO GING BEER FLAT</t>
  </si>
  <si>
    <t>COSTCO FLATS</t>
  </si>
  <si>
    <t>FEVER TREE COSTCO TONIC WATER FLAT</t>
  </si>
  <si>
    <t>CARRS COSTCO PALLET TRAY</t>
  </si>
  <si>
    <t>PALLET COMPONENT</t>
  </si>
  <si>
    <t>CARRS TRAY 72 COUNT FLOOR STAND</t>
  </si>
  <si>
    <t>CARRS BASE 72 COUNT FLOOR STAND</t>
  </si>
  <si>
    <t>CARRS HEADER 72 COUNT FLOOR STAND</t>
  </si>
  <si>
    <t>CARRS SIDE 72 COUNT FLOOR STAND</t>
  </si>
  <si>
    <t>CARRS FILLER 72 COUNT FLOOR STAND</t>
  </si>
  <si>
    <t>CARRS HSC COVER 72 COUNT FLOOR STAND</t>
  </si>
  <si>
    <t>CARRS BOTTOM CAP 72 COUNT FLOOR STAND</t>
  </si>
  <si>
    <t>CARRS TWIN STICK 72 COUNT FLOOR STAND</t>
  </si>
  <si>
    <t>CARRS TRAY 60 COUNT FLOOR STAND</t>
  </si>
  <si>
    <t>CARRS SIDE 60 COUNT FLOOR STAND</t>
  </si>
  <si>
    <t>CARRS BASE 60 COUNT FLOOR STAND</t>
  </si>
  <si>
    <t>CARRS FILLER TRAY 60 COUNT FLOOR STAND</t>
  </si>
  <si>
    <t>CARRS SHIPPER TRAY 60 COUNT FLOOR STAND</t>
  </si>
  <si>
    <t>CARRS BOTTOM CAP 60 COUNT FLOOR STAND</t>
  </si>
  <si>
    <t>CARRS SHELF SUPP CARRS 60 COUNT FLOOR STAND</t>
  </si>
  <si>
    <t>MCVITIES DISPLAY SUPPORT</t>
  </si>
  <si>
    <t>MCVITIES DISPLAY BODY</t>
  </si>
  <si>
    <t>MCVITIES DISPLAY SHELF</t>
  </si>
  <si>
    <t>MCVITIES DISPLAY TOP FILLER</t>
  </si>
  <si>
    <t>MCVITIES DISPLAY BOTTOM PAD</t>
  </si>
  <si>
    <t>MCVITIES DISPLAY SHIPPER</t>
  </si>
  <si>
    <t>CARRS CORNER POSTS COSTCO</t>
  </si>
  <si>
    <t>WESTKEY GRAPHICS LTD</t>
  </si>
  <si>
    <t>MORI-NU FIRM TOFU LABEL</t>
  </si>
  <si>
    <t>MORI-NU FIRM LITE TOFU LABEL</t>
  </si>
  <si>
    <t>MORI-NU EXTRA FIRM TOFU LABEL</t>
  </si>
  <si>
    <t>MORI-NU SOFT TOFU LABEL</t>
  </si>
  <si>
    <t>MORI-NU CASE LABEL FIRM</t>
  </si>
  <si>
    <t>MORI-NU CASE LABEL SOFT</t>
  </si>
  <si>
    <t>MORI-NU CASE LABEL EXT FIRM</t>
  </si>
  <si>
    <t>BARISTA SHIPPER FLAT</t>
  </si>
  <si>
    <t>CARDBOARD</t>
  </si>
  <si>
    <t>JW FESTIVE HEADER SHIPPER GF</t>
  </si>
  <si>
    <t>JW FESTIVE BODY SHIPPER GF</t>
  </si>
  <si>
    <t>JW FESTIVE SHELF SHIPPER GF</t>
  </si>
  <si>
    <t>JW FESTIVE OUTER SHIPPER GF</t>
  </si>
  <si>
    <t>McCormick Empty Corrugate Bookshelf</t>
  </si>
  <si>
    <t>JARRITOS EMPTY DISPLAY 108 units</t>
  </si>
  <si>
    <t>JARRITOS RACK 96 BTL (ADD 01131)</t>
  </si>
  <si>
    <t>JARRITOS HEADER (ADD 01130)</t>
  </si>
  <si>
    <t>RACK COMPONENT</t>
  </si>
  <si>
    <t>CRUNCHMASTER SPINNER RACK</t>
  </si>
  <si>
    <t>TREE OF LIFE COOLER BAGS</t>
  </si>
  <si>
    <t>PACKAGING</t>
  </si>
  <si>
    <t>TATES BAKE SHOP WRAP AROUND SHIPPER</t>
  </si>
  <si>
    <t>TATES BAKE SHOP HEADER CARD</t>
  </si>
  <si>
    <t>GREEN &amp; BLACKS SHELF TRAY</t>
  </si>
  <si>
    <t>SHELF TRAY</t>
  </si>
  <si>
    <t>SCHAR BLACK RACK</t>
  </si>
  <si>
    <t>HENGSTENBERG OKTOBERFEST STAND UP BANNER</t>
  </si>
  <si>
    <t>HENGSTENBERG OKTOBERFEST SKIRT</t>
  </si>
  <si>
    <t>KROON KITS PLV</t>
  </si>
  <si>
    <t>POS</t>
  </si>
  <si>
    <t>MOM PIZZA OVEN</t>
  </si>
  <si>
    <t>MOM SHIPPER COR</t>
  </si>
  <si>
    <t>MOM SPEAKER TOWER</t>
  </si>
  <si>
    <t>MOM HOME BAR</t>
  </si>
  <si>
    <t>COOMBE CASTLE ENGLISH VICTORIA DAY POS KIT</t>
  </si>
  <si>
    <t>MOM SOLO STOVE</t>
  </si>
  <si>
    <t>MOM YETI SOFT FLIP COOLER</t>
  </si>
  <si>
    <t>BLUE DIAMOND EMPTY CARDBOARD SHIPPER</t>
  </si>
  <si>
    <t>BLUE DIAMOND SNACK ALMOND EMPTY SHIPPER</t>
  </si>
  <si>
    <t>GLOW</t>
  </si>
  <si>
    <t>GLOW DISPLAYER CARDBOARD</t>
  </si>
  <si>
    <t>SNYDERS GLUTEN FREE PRETZEL SHIPPER EMPTY</t>
  </si>
  <si>
    <t>SNACK FACTORY METAL WIRE RACK FOOD BASICS</t>
  </si>
  <si>
    <t>ANGOSTURA AROMATIC MINIS 360</t>
  </si>
  <si>
    <t>BUILD COMPONENT</t>
  </si>
  <si>
    <t>ANGOSTURA COCOA MINIS 360</t>
  </si>
  <si>
    <t>ANGOSTURA ORANGE MINIS 360</t>
  </si>
  <si>
    <t>SNACK FACTORY PRETZEL CRISPS MULTI PRODUCT SPIN RACK</t>
  </si>
  <si>
    <t>SNACK FACTORY PRETZEL CRISPS 5 TIER EMPTY MULTI PRODUCT RACK</t>
  </si>
  <si>
    <t>CAFFE MAURO LARGE SHOPPING BAG</t>
  </si>
  <si>
    <t>SNACK FACTORY PRETZEL CRISPS EMPTY SHIPPER</t>
  </si>
  <si>
    <t>MRS. RENFRO'S EMPTY CANADIAN SHIPPER</t>
  </si>
  <si>
    <t>SCHAR WOOD RACK</t>
  </si>
  <si>
    <t>SCHAR SIDE RACK BASKETS</t>
  </si>
  <si>
    <t>SCHAR LCL SIDE RACK BASKETS</t>
  </si>
  <si>
    <t>CALLIPO DISPLAY STAND</t>
  </si>
  <si>
    <t>TRE MARIE DISPLAY STAND</t>
  </si>
  <si>
    <t>STEPHANIE OUDERKIRK</t>
  </si>
  <si>
    <t>DUMET AG</t>
  </si>
  <si>
    <t>DUMET EMPTY DISPLAY 100CT</t>
  </si>
  <si>
    <t>THAI KITCHEN DUMP BIN 2012</t>
  </si>
  <si>
    <t>DUMP BIN</t>
  </si>
  <si>
    <t>SHARWOODS FALSE BOTTOM COMP FOR 1/2 SHIPPER</t>
  </si>
  <si>
    <t>SHARWOODS LAYER TRAY COMP FOR 1/2 SHIPPER</t>
  </si>
  <si>
    <t>SHARWOODS LARGE LAYER FILLER COMP FOR 1/2 SHIPPER</t>
  </si>
  <si>
    <t>SHARWOODS SMALL LAYER FILLER COMP FOR 1/2 SHIPPER</t>
  </si>
  <si>
    <t>SHARWOODS LENGTH PORTION COMP FOR 1/2 SHIPPER</t>
  </si>
  <si>
    <t>SHARWOODS WIDTH PORTION COMP FOR 1/2 SHIPPER</t>
  </si>
  <si>
    <t>SHARWOODS SHIPPER COMP FOR 1/2 EXPÉDITEUR</t>
  </si>
  <si>
    <t>CAFFE MAURO ESPRESSO CUP</t>
  </si>
  <si>
    <t>INES ROSALES TORTAS SHIPPER 60CT</t>
  </si>
  <si>
    <t>BEL MINI BABYBEL ORIG RED BINS</t>
  </si>
  <si>
    <t>BINS</t>
  </si>
  <si>
    <t>BEL THE LAUGHING COW SINGLE SHELF DIVIDER</t>
  </si>
  <si>
    <t>TRAYS</t>
  </si>
  <si>
    <t>BEL THE LAUGHING COW DOUBLE SHELF DIVIDER</t>
  </si>
  <si>
    <t>CAPE COD CHIPS WEEKENDER KIT EMPTY</t>
  </si>
  <si>
    <t>KKM TABLE TOP CARDBOARD DISPLAYER 5 PACK</t>
  </si>
  <si>
    <t>LTF POWER PANEL WING DISPLAY BLACK</t>
  </si>
  <si>
    <t>LTF 5 SHELF LOGO WIRE RACK</t>
  </si>
  <si>
    <t>LTF WIRE RACK</t>
  </si>
  <si>
    <t>MISC PREMIUM TASTE</t>
  </si>
  <si>
    <t>TOLC GENERIC DUMP BIN</t>
  </si>
  <si>
    <t>MISC.</t>
  </si>
  <si>
    <t>FEVER TREE POS BAR BLADE 1X160</t>
  </si>
  <si>
    <t>FEVER TREE POS BLACK BOX PARTITION KIT 1X25</t>
  </si>
  <si>
    <t>FEVER TREE POS BLACK BOX PRESENTER 1X70</t>
  </si>
  <si>
    <t>FEVER TREE POS COPPER MUGS 1X48</t>
  </si>
  <si>
    <t>FEVER TREE POS GOVINO WINE GLASS 16-OZ 1X72</t>
  </si>
  <si>
    <t>FEVER TREE POS METAL RACK SIDE ACCESSORY1X1</t>
  </si>
  <si>
    <t>FEVER TREE POS METAL RACK STAND 1X1</t>
  </si>
  <si>
    <t>FEVER TREE POS UMBRELLA BASE</t>
  </si>
  <si>
    <t>FEVER TREE POS BEACH UMBRELLA BLUE</t>
  </si>
  <si>
    <t>FEVER TREE POS GRAPHIC KIT BILINGUAL 1X1</t>
  </si>
  <si>
    <t>FEVER TREE POS GRAPHIC WRAP</t>
  </si>
  <si>
    <t>FEVER TREE POS RESTAURANT UMBRELLA PINK</t>
  </si>
  <si>
    <t>FEVER TREE POS CAMPING CHAIR BLUE</t>
  </si>
  <si>
    <t>FEVER TREE POS LOUNGE CHAIR PINK</t>
  </si>
  <si>
    <t>FEVER TREE BAR RAIL MATS 5PK</t>
  </si>
  <si>
    <t>FEVER TREE POS CARB MIXER DISPLAYER</t>
  </si>
  <si>
    <t>FEVER TREE POS METAL RACK HEADER</t>
  </si>
  <si>
    <t>FEVER TREE POS NON CARB MIXER DISPL</t>
  </si>
  <si>
    <t>WALKERS WIRE COUNTER RACK</t>
  </si>
  <si>
    <t>FT POS COPA DRINKWARE</t>
  </si>
  <si>
    <t>FT Corrugated Boxes</t>
  </si>
  <si>
    <t>Fever Tree Buswell Collins Glass 12 oz</t>
  </si>
  <si>
    <t>WATER FILL UMBRELLA BASE</t>
  </si>
  <si>
    <t>MOM Yeti Backpack Cooler</t>
  </si>
  <si>
    <t>JARRITOS EMPTY DISPLAY 96 units</t>
  </si>
  <si>
    <t>Snack Factory Rack Walmart</t>
  </si>
  <si>
    <t>Material Group Name</t>
  </si>
  <si>
    <t>Sold by KG</t>
  </si>
  <si>
    <t>Plant Name</t>
  </si>
  <si>
    <t>Batch</t>
  </si>
  <si>
    <t>Storage Location</t>
  </si>
  <si>
    <t>Shelf Life Expiration Date</t>
  </si>
  <si>
    <t>Unrestricted Stock</t>
  </si>
  <si>
    <t>Allocation</t>
  </si>
  <si>
    <t>Available</t>
  </si>
  <si>
    <t>VMG BRC&amp;CHS BRKFST BKE POTAT</t>
  </si>
  <si>
    <t>Lineage Calgary CS</t>
  </si>
  <si>
    <t>260516</t>
  </si>
  <si>
    <t>1100</t>
  </si>
  <si>
    <t>TOL Calgary</t>
  </si>
  <si>
    <t>IN15925012</t>
  </si>
  <si>
    <t>KKF FZN DONUT CHOC DIPPED</t>
  </si>
  <si>
    <t>2026MA25</t>
  </si>
  <si>
    <t>20250828</t>
  </si>
  <si>
    <t>26056</t>
  </si>
  <si>
    <t>MCV DISP - DIGESTIVE ORIG</t>
  </si>
  <si>
    <t>1000000033</t>
  </si>
  <si>
    <t>4183T</t>
  </si>
  <si>
    <t>SCHAR BREAD DELI SOURDOH GF</t>
  </si>
  <si>
    <t>260601D</t>
  </si>
  <si>
    <t>G&amp;B DARK CHOC GINGER ORG</t>
  </si>
  <si>
    <t>OWR0344931</t>
  </si>
  <si>
    <t>LT250325CP</t>
  </si>
  <si>
    <t>LT260325CP</t>
  </si>
  <si>
    <t>AG0431J</t>
  </si>
  <si>
    <t>61583</t>
  </si>
  <si>
    <t>10-09-2025</t>
  </si>
  <si>
    <t>OMEGA OIL FLAX SEED 946ML</t>
  </si>
  <si>
    <t>2242-02</t>
  </si>
  <si>
    <t>26JN10</t>
  </si>
  <si>
    <t>LBS POSH PRALINE ALMD 130G</t>
  </si>
  <si>
    <t>20250911</t>
  </si>
  <si>
    <t>NATUR-A ALMD BEV UNSWTD</t>
  </si>
  <si>
    <t>513459311</t>
  </si>
  <si>
    <t>L25044A</t>
  </si>
  <si>
    <t>06132026A</t>
  </si>
  <si>
    <t>260615D T1</t>
  </si>
  <si>
    <t>260615A T1</t>
  </si>
  <si>
    <t>KKF FZN DONUTS MAPLE GLAZED</t>
  </si>
  <si>
    <t>2026JN15</t>
  </si>
  <si>
    <t>KG</t>
  </si>
  <si>
    <t>20260616</t>
  </si>
  <si>
    <t>20260617</t>
  </si>
  <si>
    <t>9.9.25/30.</t>
  </si>
  <si>
    <t>20JUN2026</t>
  </si>
  <si>
    <t>10G8BR1</t>
  </si>
  <si>
    <t>20260622</t>
  </si>
  <si>
    <t>BD ALM BREEZE UNSWT CHOCOLAT</t>
  </si>
  <si>
    <t>6AT25173A</t>
  </si>
  <si>
    <t>BC RED HOT CHILI MJ</t>
  </si>
  <si>
    <t>20251027</t>
  </si>
  <si>
    <t>20250924</t>
  </si>
  <si>
    <t>BULK SHP CHS AGD IN CASKS</t>
  </si>
  <si>
    <t>17625</t>
  </si>
  <si>
    <t>TRD IRISH CHED  BK PEP CHIVE</t>
  </si>
  <si>
    <t>LOT-110761</t>
  </si>
  <si>
    <t>KKM SOY SHIPPER 36CT</t>
  </si>
  <si>
    <t>177BC</t>
  </si>
  <si>
    <t>27JUN2026</t>
  </si>
  <si>
    <t>06272026A</t>
  </si>
  <si>
    <t>25510502</t>
  </si>
  <si>
    <t>SHARWOODS BUTTERCHICK LITE</t>
  </si>
  <si>
    <t>103965</t>
  </si>
  <si>
    <t>PC SHREDDED MOZZARELLA STYLE</t>
  </si>
  <si>
    <t>0062603117</t>
  </si>
  <si>
    <t>50186</t>
  </si>
  <si>
    <t>50187</t>
  </si>
  <si>
    <t>50508</t>
  </si>
  <si>
    <t>DC DOUBLE DEVON CREAM 12X170G</t>
  </si>
  <si>
    <t>44425</t>
  </si>
  <si>
    <t>45908</t>
  </si>
  <si>
    <t>46147</t>
  </si>
  <si>
    <t>46623</t>
  </si>
  <si>
    <t>47397</t>
  </si>
  <si>
    <t>028899T1</t>
  </si>
  <si>
    <t>062025</t>
  </si>
  <si>
    <t>LR THIN STKRS RED RICE QUNOA</t>
  </si>
  <si>
    <t>250630</t>
  </si>
  <si>
    <t>MORI-NU TOFU EXTRA FIRM</t>
  </si>
  <si>
    <t>2026JUN30</t>
  </si>
  <si>
    <t>4183TT1</t>
  </si>
  <si>
    <t>T079A</t>
  </si>
  <si>
    <t>CG FZ CHOPPED KALE</t>
  </si>
  <si>
    <t>18424-3</t>
  </si>
  <si>
    <t>04JUL2026</t>
  </si>
  <si>
    <t>SOH SHIPPER PRETZL PCS 60CT</t>
  </si>
  <si>
    <t>5252</t>
  </si>
  <si>
    <t>060726D</t>
  </si>
  <si>
    <t>BRM GRANOLA GF LEMON BLUBRRY</t>
  </si>
  <si>
    <t>5188SCC002</t>
  </si>
  <si>
    <t>KKM TEMPURA BATTER 2.27KG</t>
  </si>
  <si>
    <t>2026JUL07</t>
  </si>
  <si>
    <t>NUPST GF KNJC RISONI</t>
  </si>
  <si>
    <t>GEXXLP1601</t>
  </si>
  <si>
    <t>1004857218</t>
  </si>
  <si>
    <t>HA010538</t>
  </si>
  <si>
    <t>20260711</t>
  </si>
  <si>
    <t>07112026A</t>
  </si>
  <si>
    <t>SOH PRETZEL PIECE SLT CARAML</t>
  </si>
  <si>
    <t>11JUL2026</t>
  </si>
  <si>
    <t>304850</t>
  </si>
  <si>
    <t>260715A</t>
  </si>
  <si>
    <t>510659011</t>
  </si>
  <si>
    <t>A5105P</t>
  </si>
  <si>
    <t>9RS5197</t>
  </si>
  <si>
    <t>191125</t>
  </si>
  <si>
    <t>25431103</t>
  </si>
  <si>
    <t>250717</t>
  </si>
  <si>
    <t>L2401285</t>
  </si>
  <si>
    <t>TOL Mississauga</t>
  </si>
  <si>
    <t>2026JL20</t>
  </si>
  <si>
    <t>250721</t>
  </si>
  <si>
    <t>KKM SESAME OIL 148ML</t>
  </si>
  <si>
    <t>22JUL26</t>
  </si>
  <si>
    <t>BD ALM BREEZE UNSWTND ORIG</t>
  </si>
  <si>
    <t>11825207</t>
  </si>
  <si>
    <t>2026JUL26</t>
  </si>
  <si>
    <t>CG FZ MEXICAN STYL RSTD CORN</t>
  </si>
  <si>
    <t>2935</t>
  </si>
  <si>
    <t>Lineage Surrey CS</t>
  </si>
  <si>
    <t>072626</t>
  </si>
  <si>
    <t>XO SB MUFFN MX SWEET CRN GF</t>
  </si>
  <si>
    <t>TOL Surrey</t>
  </si>
  <si>
    <t>27JUL2026</t>
  </si>
  <si>
    <t>XO SB APPLE CRISP MIX GF</t>
  </si>
  <si>
    <t>4205W</t>
  </si>
  <si>
    <t>THAI EVERYTHING SAUCE</t>
  </si>
  <si>
    <t>JUL282026</t>
  </si>
  <si>
    <t>250729</t>
  </si>
  <si>
    <t>KKM STIR FRY SAUCE 2.2KG</t>
  </si>
  <si>
    <t>211BKW</t>
  </si>
  <si>
    <t>T112</t>
  </si>
  <si>
    <t>T101</t>
  </si>
  <si>
    <t>T213</t>
  </si>
  <si>
    <t>20251202</t>
  </si>
  <si>
    <t>51169</t>
  </si>
  <si>
    <t>51170</t>
  </si>
  <si>
    <t>51575</t>
  </si>
  <si>
    <t>DC CLOTTED CRM IRSH WHSK 12X170G</t>
  </si>
  <si>
    <t>00025</t>
  </si>
  <si>
    <t>00125</t>
  </si>
  <si>
    <t>DC AMBIENT CLOTTED CRM 24X28G</t>
  </si>
  <si>
    <t>49875</t>
  </si>
  <si>
    <t>5028</t>
  </si>
  <si>
    <t>TST INDO PEANUT SATAY</t>
  </si>
  <si>
    <t>4214TT1</t>
  </si>
  <si>
    <t>4245T</t>
  </si>
  <si>
    <t>20260801</t>
  </si>
  <si>
    <t>06564</t>
  </si>
  <si>
    <t>260208</t>
  </si>
  <si>
    <t>GEXXLT0201</t>
  </si>
  <si>
    <t>GEXXLT0801</t>
  </si>
  <si>
    <t>11825215J</t>
  </si>
  <si>
    <t>030826C</t>
  </si>
  <si>
    <t>12612626</t>
  </si>
  <si>
    <t>260625161</t>
  </si>
  <si>
    <t>45310</t>
  </si>
  <si>
    <t>260707172</t>
  </si>
  <si>
    <t>BC BULK SHRED JALAPENO MJ</t>
  </si>
  <si>
    <t>20260428</t>
  </si>
  <si>
    <t>S26134</t>
  </si>
  <si>
    <t>RANA ITALIAN SAUSAGE RAVIOLI 300 GR</t>
  </si>
  <si>
    <t>0807413914</t>
  </si>
  <si>
    <t>07AUG26</t>
  </si>
  <si>
    <t>NATUR-A MINI SOY CHOCO ORG</t>
  </si>
  <si>
    <t>512859011</t>
  </si>
  <si>
    <t>VMG FRITTATA LD PTATO 340G</t>
  </si>
  <si>
    <t>A02302466</t>
  </si>
  <si>
    <t>LT260325CR</t>
  </si>
  <si>
    <t>LG5220</t>
  </si>
  <si>
    <t>08AUG2026</t>
  </si>
  <si>
    <t>0809414115</t>
  </si>
  <si>
    <t>RANA MEAT LASAGNE 6/340G</t>
  </si>
  <si>
    <t>0809414117</t>
  </si>
  <si>
    <t>6040</t>
  </si>
  <si>
    <t>BRM GF OAT BRAN</t>
  </si>
  <si>
    <t>25 041</t>
  </si>
  <si>
    <t>GL 175G GOAT CHEDDAR MILD</t>
  </si>
  <si>
    <t>25031</t>
  </si>
  <si>
    <t>2026AUG12</t>
  </si>
  <si>
    <t>081226</t>
  </si>
  <si>
    <t>12AUG2026</t>
  </si>
  <si>
    <t>AGRO FONDUE DISPLAY 48C</t>
  </si>
  <si>
    <t>1004187309</t>
  </si>
  <si>
    <t>L100418730</t>
  </si>
  <si>
    <t>L100418734</t>
  </si>
  <si>
    <t>IL10442</t>
  </si>
  <si>
    <t>FT COSTCO TONIC WATER 24X250</t>
  </si>
  <si>
    <t>028337</t>
  </si>
  <si>
    <t>2026AU13</t>
  </si>
  <si>
    <t>20260813</t>
  </si>
  <si>
    <t>IL10439</t>
  </si>
  <si>
    <t>NATUR-A MINI SOY STRAWB ORG</t>
  </si>
  <si>
    <t>513459011</t>
  </si>
  <si>
    <t>NATUR-A ALMD BEV CHOCOLATE</t>
  </si>
  <si>
    <t>519559311</t>
  </si>
  <si>
    <t>GUS HAVARTI TOM BASIL 1X4KG</t>
  </si>
  <si>
    <t>9506</t>
  </si>
  <si>
    <t>14606</t>
  </si>
  <si>
    <t>FRICO GOUDA CUMIN</t>
  </si>
  <si>
    <t>10G3RN2</t>
  </si>
  <si>
    <t>426081500</t>
  </si>
  <si>
    <t>1004885035</t>
  </si>
  <si>
    <t>1062606124</t>
  </si>
  <si>
    <t>513659011</t>
  </si>
  <si>
    <t>2026AU15</t>
  </si>
  <si>
    <t>1182605123</t>
  </si>
  <si>
    <t>15AUG2026</t>
  </si>
  <si>
    <t>BB020805</t>
  </si>
  <si>
    <t>BB021005</t>
  </si>
  <si>
    <t>020905</t>
  </si>
  <si>
    <t>SOH TWISTED NACHO CHS 340G</t>
  </si>
  <si>
    <t>BB021003</t>
  </si>
  <si>
    <t>07648</t>
  </si>
  <si>
    <t>08648</t>
  </si>
  <si>
    <t>260707161</t>
  </si>
  <si>
    <t>081626</t>
  </si>
  <si>
    <t>LS0471J</t>
  </si>
  <si>
    <t>26135</t>
  </si>
  <si>
    <t>NN ALMD BTR NAT SMTH 500G</t>
  </si>
  <si>
    <t>B5231</t>
  </si>
  <si>
    <t>C523205343</t>
  </si>
  <si>
    <t>SB SPARKLING WATR CAN</t>
  </si>
  <si>
    <t>A5139AA</t>
  </si>
  <si>
    <t>PANERISO FZ MUFFIN BNAN CHO GF</t>
  </si>
  <si>
    <t>20-AU-2026</t>
  </si>
  <si>
    <t>BRM BAKING MIX CHOC CAKE</t>
  </si>
  <si>
    <t>25-234</t>
  </si>
  <si>
    <t>254803313</t>
  </si>
  <si>
    <t>260822B</t>
  </si>
  <si>
    <t>SOH PRETZEL PIECE HONEY MUST</t>
  </si>
  <si>
    <t>HA021816</t>
  </si>
  <si>
    <t>SOH PRETZEL RODS</t>
  </si>
  <si>
    <t>ZZ0217</t>
  </si>
  <si>
    <t>SOH TWISTED SEASONED 340G</t>
  </si>
  <si>
    <t>BB021705</t>
  </si>
  <si>
    <t>PS GREEN TOM GARAM MASALA /S</t>
  </si>
  <si>
    <t>08N2301</t>
  </si>
  <si>
    <t>11825235K</t>
  </si>
  <si>
    <t>C2O COCO WATER GNGR LME TURM</t>
  </si>
  <si>
    <t>23741900</t>
  </si>
  <si>
    <t>254804422</t>
  </si>
  <si>
    <t>CH1181J</t>
  </si>
  <si>
    <t>CA250526</t>
  </si>
  <si>
    <t>260825D</t>
  </si>
  <si>
    <t>4648523720</t>
  </si>
  <si>
    <t>20251229</t>
  </si>
  <si>
    <t>254804424</t>
  </si>
  <si>
    <t>CA260526</t>
  </si>
  <si>
    <t>VIT PROSCIUTTO CRUD PCK</t>
  </si>
  <si>
    <t>58</t>
  </si>
  <si>
    <t>LBS WASABI ME 45G PP</t>
  </si>
  <si>
    <t>20250827</t>
  </si>
  <si>
    <t>PANERISO FZ LOAF CAKE BNANA GF</t>
  </si>
  <si>
    <t>27-AU-2026</t>
  </si>
  <si>
    <t>L.543 A2</t>
  </si>
  <si>
    <t>PANERISO FZ LOAF CAKE LEMON GF</t>
  </si>
  <si>
    <t>28-AU-2026</t>
  </si>
  <si>
    <t>KKM SESAME OIL 1.18L</t>
  </si>
  <si>
    <t>28AUG26</t>
  </si>
  <si>
    <t>SHARWOODS CURRY THAI GRN SC</t>
  </si>
  <si>
    <t>4221W</t>
  </si>
  <si>
    <t>XO SB MUFFN MIX CHOC CHP GF</t>
  </si>
  <si>
    <t>28AUG2026</t>
  </si>
  <si>
    <t>AG1481J</t>
  </si>
  <si>
    <t>KC AIR FRIED HMALYA SALT GF</t>
  </si>
  <si>
    <t>1004898052</t>
  </si>
  <si>
    <t>BD ALM BREEZE UNSWT ORIGIN</t>
  </si>
  <si>
    <t>6AT25241C</t>
  </si>
  <si>
    <t>HA022816</t>
  </si>
  <si>
    <t>AG1491J</t>
  </si>
  <si>
    <t>20206AUG30</t>
  </si>
  <si>
    <t>254904980</t>
  </si>
  <si>
    <t>DC CLOTTED CRM GINGERBRE 12X170G</t>
  </si>
  <si>
    <t>0806165122</t>
  </si>
  <si>
    <t>RED BARON FZ FL HT PIZZA PEPPERONI</t>
  </si>
  <si>
    <t>355357</t>
  </si>
  <si>
    <t>4306T</t>
  </si>
  <si>
    <t>DC CLOTTED CRM W BRANDY 12X170G</t>
  </si>
  <si>
    <t>080655947</t>
  </si>
  <si>
    <t>3108459</t>
  </si>
  <si>
    <t>310826B</t>
  </si>
  <si>
    <t>4275T</t>
  </si>
  <si>
    <t>IRS TORTA ROS &amp;THY SAV OIL</t>
  </si>
  <si>
    <t>25495103</t>
  </si>
  <si>
    <t>71124/1211</t>
  </si>
  <si>
    <t>STW 170G SMKD CHIPOTLE CHS</t>
  </si>
  <si>
    <t>20.10.25</t>
  </si>
  <si>
    <t>28.11.24A</t>
  </si>
  <si>
    <t>250902</t>
  </si>
  <si>
    <t>NATUR-A MINI ALMND BVG CHOC</t>
  </si>
  <si>
    <t>515459511</t>
  </si>
  <si>
    <t>09032026A</t>
  </si>
  <si>
    <t>KKM TEMPURA BATTER 283GR</t>
  </si>
  <si>
    <t>04SEP2026</t>
  </si>
  <si>
    <t>2026SEP05</t>
  </si>
  <si>
    <t>HA030308</t>
  </si>
  <si>
    <t>1878001473</t>
  </si>
  <si>
    <t>6AT25251A</t>
  </si>
  <si>
    <t>NATUR-A OAT CHOCOLATE GF ORG</t>
  </si>
  <si>
    <t>CP25251</t>
  </si>
  <si>
    <t>NATUR-A OAT ORIGINAL GF ORG</t>
  </si>
  <si>
    <t>CAL JAM LEMON GINGER</t>
  </si>
  <si>
    <t>L000044</t>
  </si>
  <si>
    <t>2026SEP09</t>
  </si>
  <si>
    <t>4238519720</t>
  </si>
  <si>
    <t>RB GINGERBREAD TILES</t>
  </si>
  <si>
    <t>091026</t>
  </si>
  <si>
    <t>SUS CHEF MISO SOUP WHITE</t>
  </si>
  <si>
    <t>HC FZ PWR BWL KRN BEEF 8/269G</t>
  </si>
  <si>
    <t>5009534920</t>
  </si>
  <si>
    <t>1004942234</t>
  </si>
  <si>
    <t>CAPE CHIPS SEA SALT 220G</t>
  </si>
  <si>
    <t>1004886813</t>
  </si>
  <si>
    <t>HA031016</t>
  </si>
  <si>
    <t>HC FZ PWR BWL CKN MARINARA 8/262G</t>
  </si>
  <si>
    <t>5009535020</t>
  </si>
  <si>
    <t>11825255BT</t>
  </si>
  <si>
    <t>11825256J</t>
  </si>
  <si>
    <t>4238523120</t>
  </si>
  <si>
    <t>2026SEP15</t>
  </si>
  <si>
    <t>5296604920</t>
  </si>
  <si>
    <t>2026SEP17T</t>
  </si>
  <si>
    <t>17-SEP-26</t>
  </si>
  <si>
    <t>17DEC2026</t>
  </si>
  <si>
    <t>17SEP2026</t>
  </si>
  <si>
    <t>17SEP26</t>
  </si>
  <si>
    <t>6256605120</t>
  </si>
  <si>
    <t>4727526120</t>
  </si>
  <si>
    <t>09192026</t>
  </si>
  <si>
    <t>5301</t>
  </si>
  <si>
    <t>1004915415</t>
  </si>
  <si>
    <t>2026SEP19</t>
  </si>
  <si>
    <t>GEXXLU200</t>
  </si>
  <si>
    <t>NUPST BLACK PEPPER SAUCE</t>
  </si>
  <si>
    <t>GEXXLU2201</t>
  </si>
  <si>
    <t>BIBIGO FZ MINI WONTON PORK &amp; VEGGIE</t>
  </si>
  <si>
    <t>563850</t>
  </si>
  <si>
    <t>6256608520</t>
  </si>
  <si>
    <t>N22J54</t>
  </si>
  <si>
    <t>5296605620</t>
  </si>
  <si>
    <t>2026SEP23</t>
  </si>
  <si>
    <t>VER 500G ASST PORTIONS</t>
  </si>
  <si>
    <t>0000130952</t>
  </si>
  <si>
    <t>CS COUNTRY PEACH PASSN</t>
  </si>
  <si>
    <t>23-SEP-26</t>
  </si>
  <si>
    <t>23SEP2026</t>
  </si>
  <si>
    <t>2026SEP26</t>
  </si>
  <si>
    <t>HA032317</t>
  </si>
  <si>
    <t>6256609120</t>
  </si>
  <si>
    <t>MAN WATER MINERAL</t>
  </si>
  <si>
    <t>5087S</t>
  </si>
  <si>
    <t>5087S412</t>
  </si>
  <si>
    <t>20260928</t>
  </si>
  <si>
    <t>LR BRWN RICE CAKE WILD</t>
  </si>
  <si>
    <t>250929</t>
  </si>
  <si>
    <t>4223441678</t>
  </si>
  <si>
    <t>4727527320</t>
  </si>
  <si>
    <t>26SE30</t>
  </si>
  <si>
    <t>BD NUT THINS ALMOND</t>
  </si>
  <si>
    <t>2732509THH</t>
  </si>
  <si>
    <t>JW GF SHORTBRD GINGER LEMON</t>
  </si>
  <si>
    <t>T183E3</t>
  </si>
  <si>
    <t>315357</t>
  </si>
  <si>
    <t>BAUERNB BREAD 3 GRAIN ORG</t>
  </si>
  <si>
    <t>2026OCT01</t>
  </si>
  <si>
    <t>7265500255</t>
  </si>
  <si>
    <t>09925</t>
  </si>
  <si>
    <t>6256606520</t>
  </si>
  <si>
    <t>G&amp;B WHITE CHOCOLATE ORG</t>
  </si>
  <si>
    <t>ZICOS5142A</t>
  </si>
  <si>
    <t>275BC</t>
  </si>
  <si>
    <t>CARRS TW PORTION PACKS 57330</t>
  </si>
  <si>
    <t>5275X</t>
  </si>
  <si>
    <t>5276</t>
  </si>
  <si>
    <t>SB SPARKLING WATER 6 PACK</t>
  </si>
  <si>
    <t>A5184V</t>
  </si>
  <si>
    <t>2026OC04</t>
  </si>
  <si>
    <t>A5190P</t>
  </si>
  <si>
    <t>HA040838</t>
  </si>
  <si>
    <t>0411</t>
  </si>
  <si>
    <t>BW0412</t>
  </si>
  <si>
    <t>2026OC13</t>
  </si>
  <si>
    <t>IN31625031</t>
  </si>
  <si>
    <t>20260116</t>
  </si>
  <si>
    <t>2026OC14</t>
  </si>
  <si>
    <t>BB041305</t>
  </si>
  <si>
    <t>LIV SHIR OAT FETTUCCINE</t>
  </si>
  <si>
    <t>24101911</t>
  </si>
  <si>
    <t>Natura Almond Beverage Choc 946</t>
  </si>
  <si>
    <t>CP25292</t>
  </si>
  <si>
    <t>SF PRETZEL CRISP SALT PEPPER SHIPPER</t>
  </si>
  <si>
    <t>HD32525021</t>
  </si>
  <si>
    <t>HA0421</t>
  </si>
  <si>
    <t>0003108163</t>
  </si>
  <si>
    <t>RED BARON FZ RIS CRST PIZZA CHEESE</t>
  </si>
  <si>
    <t>20260129</t>
  </si>
  <si>
    <t>CB BUILDER CHOC PNT BTR</t>
  </si>
  <si>
    <t>ND23002506</t>
  </si>
  <si>
    <t>26OC28</t>
  </si>
  <si>
    <t>RED BARON FZ RISING CRUST PIZZA SUPREME</t>
  </si>
  <si>
    <t>20260131</t>
  </si>
  <si>
    <t>LIV SHIR OAT RICE</t>
  </si>
  <si>
    <t>24083011</t>
  </si>
  <si>
    <t>T279</t>
  </si>
  <si>
    <t>JW 60CT FNG/RND PPK.115XAMD</t>
  </si>
  <si>
    <t>1000000098</t>
  </si>
  <si>
    <t>T195</t>
  </si>
  <si>
    <t>0427</t>
  </si>
  <si>
    <t>RED BARON FZ DDS SUPREME</t>
  </si>
  <si>
    <t>316015T1</t>
  </si>
  <si>
    <t>20260203</t>
  </si>
  <si>
    <t>HA050945</t>
  </si>
  <si>
    <t>HA050944</t>
  </si>
  <si>
    <t>HA051538</t>
  </si>
  <si>
    <t>C2O COCONUT WATER PURE</t>
  </si>
  <si>
    <t>32441900</t>
  </si>
  <si>
    <t>LIV SHIR OAT PENNE</t>
  </si>
  <si>
    <t>XBZR14</t>
  </si>
  <si>
    <t>ZAVIDA KC VAR 30 DSRT LOV</t>
  </si>
  <si>
    <t>20271202</t>
  </si>
  <si>
    <t>25011811</t>
  </si>
  <si>
    <t>NATUR-A SOY BEV VANILLA ORG</t>
  </si>
  <si>
    <t>535359711</t>
  </si>
  <si>
    <t>COWS BUTTER SEA SALTED</t>
  </si>
  <si>
    <t>8543175</t>
  </si>
  <si>
    <t>LIV SHIR OAT SPAGHETTI</t>
  </si>
  <si>
    <t>25032911</t>
  </si>
  <si>
    <t>LIV SHIR DRY SPAGHETTI</t>
  </si>
  <si>
    <t>24070511</t>
  </si>
  <si>
    <t>LIV SPAG KETO</t>
  </si>
  <si>
    <t>42020812</t>
  </si>
  <si>
    <t>42020814</t>
  </si>
  <si>
    <t>SB SPARKLING WATER GLASS</t>
  </si>
  <si>
    <t>16LA5225B</t>
  </si>
  <si>
    <t>42020815</t>
  </si>
  <si>
    <t>L26104A</t>
  </si>
  <si>
    <t>LIV FETT KETO</t>
  </si>
  <si>
    <t>42020817</t>
  </si>
  <si>
    <t>42020818</t>
  </si>
  <si>
    <t>42020819</t>
  </si>
  <si>
    <t>OMEGA OIL COCONUT VIRGIN</t>
  </si>
  <si>
    <t>5501/20</t>
  </si>
  <si>
    <t>LIV SHIR DRY NOODLES</t>
  </si>
  <si>
    <t>24101011</t>
  </si>
  <si>
    <t>LIV FETT SOYBEAN ORG</t>
  </si>
  <si>
    <t>20241111</t>
  </si>
  <si>
    <t>LIV FETT BLACK BEAN ORG</t>
  </si>
  <si>
    <t>20241112</t>
  </si>
  <si>
    <t>LIV SPAG BLACK BEAN ORG</t>
  </si>
  <si>
    <t>24102611</t>
  </si>
  <si>
    <t>CS BENGAL SPICE</t>
  </si>
  <si>
    <t>111427</t>
  </si>
  <si>
    <t>OMEGA OIL COCONUT</t>
  </si>
  <si>
    <t>5270-13</t>
  </si>
  <si>
    <t>20250112</t>
  </si>
  <si>
    <t>25030211</t>
  </si>
  <si>
    <t>LIV SHIR DRY INSTANT RICE</t>
  </si>
  <si>
    <t>25031201</t>
  </si>
  <si>
    <t>OMEGA OIL PUMPKIN SEED</t>
  </si>
  <si>
    <t>3806-01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</si>
</sst>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m/dd/yyyy"/>
    <numFmt numFmtId="165" formatCode="* #,##0.00_0_0_0\ &quot;CAD&quot;;* \-\ #,##0.00_0_0_0\ &quot;CAD&quot;"/>
    <numFmt numFmtId="166" formatCode="&quot;Yes&quot;;;&quot;No&quot;"/>
    <numFmt numFmtId="167" formatCode="0\ &quot;CS&quot;"/>
    <numFmt numFmtId="168" formatCode="0\ &quot;EA&quot;"/>
    <numFmt numFmtId="169" formatCode="0.000\ &quot;CS&quot;"/>
    <numFmt numFmtId="170" formatCode="0.00\ &quot;KG&quot;"/>
    <numFmt numFmtId="171" formatCode="0.000"/>
    <numFmt numFmtId="172" formatCode="0.000\ &quot;KG&quot;"/>
  </numFmts>
  <fonts count="3"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vertical="center" wrapText="1"/>
    </xf>
    <xf numFmtId="170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7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pivotButton="1" applyAlignment="1">
      <alignment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pivotButton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67" fontId="0" fillId="0" borderId="0" xfId="0" applyNumberFormat="1"/>
    <xf numFmtId="167" fontId="2" fillId="0" borderId="0" xfId="0" applyNumberFormat="1" applyFont="1"/>
  </cellXfs>
  <cellStyles count="1">
    <cellStyle name="Normal" xfId="0" builtinId="0"/>
  </cellStyles>
  <dxfs count="21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bby Everitt" refreshedDate="46238.479660879631" createdVersion="8" refreshedVersion="8" minRefreshableVersion="3" recordCount="362" xr:uid="{F6C3662C-DFC8-4F44-BCCC-FC717F422AA7}">
  <cacheSource type="worksheet">
    <worksheetSource ref="A1:AE1048576" sheet="Overstock"/>
  </cacheSource>
  <cacheFields count="31">
    <cacheField name="Sales Order" numFmtId="0">
      <sharedItems containsBlank="1"/>
    </cacheField>
    <cacheField name="Sales Order Item" numFmtId="0">
      <sharedItems containsString="0" containsBlank="1" containsNumber="1" containsInteger="1" minValue="10" maxValue="560"/>
    </cacheField>
    <cacheField name="Key Account #" numFmtId="0">
      <sharedItems containsBlank="1"/>
    </cacheField>
    <cacheField name="Sales Order Type" numFmtId="0">
      <sharedItems containsBlank="1"/>
    </cacheField>
    <cacheField name="Creation Date" numFmtId="0">
      <sharedItems containsNonDate="0" containsDate="1" containsString="0" containsBlank="1" minDate="2025-05-13T00:00:00" maxDate="2026-07-30T00:00:00"/>
    </cacheField>
    <cacheField name="Order Status" numFmtId="0">
      <sharedItems containsBlank="1"/>
    </cacheField>
    <cacheField name="Rejection Status" numFmtId="0">
      <sharedItems containsBlank="1"/>
    </cacheField>
    <cacheField name="Sold To Party" numFmtId="0">
      <sharedItems containsBlank="1"/>
    </cacheField>
    <cacheField name="Ship To Party" numFmtId="0">
      <sharedItems containsBlank="1"/>
    </cacheField>
    <cacheField name="Material" numFmtId="0">
      <sharedItems containsBlank="1" count="112">
        <s v="10018980"/>
        <s v="10019778"/>
        <s v="10018659"/>
        <s v="10052114"/>
        <s v="10018053"/>
        <s v="10061010"/>
        <s v="10016081"/>
        <s v="10040122"/>
        <s v="10019780"/>
        <s v="10050619"/>
        <s v="10010749"/>
        <s v="10066217"/>
        <s v="10016044"/>
        <s v="10063102"/>
        <s v="10013128"/>
        <s v="10052076"/>
        <s v="10023483"/>
        <s v="10023481"/>
        <s v="10020851"/>
        <s v="10050486"/>
        <s v="10017114"/>
        <s v="10003061"/>
        <s v="10038139"/>
        <s v="10050609"/>
        <s v="10016401"/>
        <s v="10016404"/>
        <s v="10013105"/>
        <s v="10013039"/>
        <s v="10016204"/>
        <s v="10019648"/>
        <s v="10010755"/>
        <s v="10019706"/>
        <s v="10076782"/>
        <s v="10100031"/>
        <s v="10018016"/>
        <s v="10100028"/>
        <s v="10100030"/>
        <s v="10019690"/>
        <s v="10019703"/>
        <s v="10019707"/>
        <s v="10019641"/>
        <s v="10019704"/>
        <s v="10033021"/>
        <s v="10018656"/>
        <s v="10066215"/>
        <s v="10061008"/>
        <s v="10033175"/>
        <s v="10065013"/>
        <s v="10067042"/>
        <s v="10018646"/>
        <s v="10061013"/>
        <s v="10040391"/>
        <s v="10050324"/>
        <s v="10045483"/>
        <s v="10066216"/>
        <s v="10018657"/>
        <s v="10001127"/>
        <s v="10041273"/>
        <s v="10016408"/>
        <s v="10018661"/>
        <s v="10040869"/>
        <s v="10038126"/>
        <s v="10061099"/>
        <s v="10007843"/>
        <s v="10049305"/>
        <s v="10019131"/>
        <s v="10052110"/>
        <s v="10080616"/>
        <s v="10063103"/>
        <s v="10058342"/>
        <s v="10083460"/>
        <s v="10058821"/>
        <s v="10063101"/>
        <s v="10099045"/>
        <s v="10017604"/>
        <s v="10061060"/>
        <s v="10038130"/>
        <s v="10038153"/>
        <s v="10020850"/>
        <s v="10038132"/>
        <s v="10017611"/>
        <s v="10011275"/>
        <s v="10050613"/>
        <s v="10079023"/>
        <s v="10052112"/>
        <s v="10029944"/>
        <s v="10100278"/>
        <s v="10100282"/>
        <s v="10076520"/>
        <s v="10042157"/>
        <s v="10029943"/>
        <s v="10054147"/>
        <s v="10045485"/>
        <s v="10041270"/>
        <s v="10100364"/>
        <s v="10019107"/>
        <s v="10033115"/>
        <s v="10083462"/>
        <s v="10088045"/>
        <s v="10007851"/>
        <s v="10007849"/>
        <s v="10076532"/>
        <s v="10031164"/>
        <s v="10017617"/>
        <s v="10050485"/>
        <s v="10057233"/>
        <s v="10076880"/>
        <s v="10013144"/>
        <s v="10040699"/>
        <s v="10007757"/>
        <s v="10100487"/>
        <m/>
      </sharedItems>
    </cacheField>
    <cacheField name="Material Description" numFmtId="0">
      <sharedItems containsBlank="1"/>
    </cacheField>
    <cacheField name="Order Quantity (CS)" numFmtId="0">
      <sharedItems containsString="0" containsBlank="1" containsNumber="1" containsInteger="1" minValue="1" maxValue="480"/>
    </cacheField>
    <cacheField name="Confirmed Quantity (CS)" numFmtId="0">
      <sharedItems containsString="0" containsBlank="1" containsNumber="1" containsInteger="1" minValue="0" maxValue="480"/>
    </cacheField>
    <cacheField name="Picked Quantity (CS)" numFmtId="0">
      <sharedItems containsString="0" containsBlank="1" containsNumber="1" containsInteger="1" minValue="0" maxValue="480"/>
    </cacheField>
    <cacheField name="Invoice Quantity (CS)" numFmtId="0">
      <sharedItems containsString="0" containsBlank="1" containsNumber="1" containsInteger="1" minValue="0" maxValue="0"/>
    </cacheField>
    <cacheField name="Invoice #" numFmtId="0">
      <sharedItems containsNonDate="0" containsString="0" containsBlank="1"/>
    </cacheField>
    <cacheField name="Outbound Delivery #" numFmtId="0">
      <sharedItems containsBlank="1"/>
    </cacheField>
    <cacheField name="Confirmed Quantity (KG)" numFmtId="0">
      <sharedItems containsString="0" containsBlank="1" containsNumber="1" containsInteger="1" minValue="0" maxValue="8"/>
    </cacheField>
    <cacheField name="Invoice Item Amount" numFmtId="0">
      <sharedItems containsString="0" containsBlank="1" containsNumber="1" containsInteger="1" minValue="0" maxValue="0"/>
    </cacheField>
    <cacheField name="Invoice Quantity (KG)" numFmtId="0">
      <sharedItems containsString="0" containsBlank="1" containsNumber="1" containsInteger="1" minValue="0" maxValue="0"/>
    </cacheField>
    <cacheField name="Item Net Amount" numFmtId="0">
      <sharedItems containsString="0" containsBlank="1" containsNumber="1" minValue="3" maxValue="4704"/>
    </cacheField>
    <cacheField name="Item Net Amount (Confirmed)" numFmtId="0">
      <sharedItems containsString="0" containsBlank="1" containsNumber="1" minValue="0" maxValue="4704"/>
    </cacheField>
    <cacheField name="Order Quantity" numFmtId="0">
      <sharedItems containsString="0" containsBlank="1" containsNumber="1" containsInteger="1" minValue="1" maxValue="480"/>
    </cacheField>
    <cacheField name="Order Quantity (KG)" numFmtId="0">
      <sharedItems containsString="0" containsBlank="1" containsNumber="1" minValue="0" maxValue="762"/>
    </cacheField>
    <cacheField name="Picked Quantity (KG)" numFmtId="0">
      <sharedItems containsString="0" containsBlank="1" containsNumber="1" containsInteger="1" minValue="0" maxValue="0"/>
    </cacheField>
    <cacheField name="Plant" numFmtId="0">
      <sharedItems containsBlank="1" count="5">
        <s v="2910"/>
        <s v="2930"/>
        <s v="2920"/>
        <s v="2925"/>
        <m/>
      </sharedItems>
    </cacheField>
    <cacheField name="Ship To Name" numFmtId="0">
      <sharedItems containsBlank="1"/>
    </cacheField>
    <cacheField name="BBD / Shelf Life" numFmtId="0">
      <sharedItems containsNonDate="0" containsDate="1" containsString="0" containsBlank="1" minDate="2026-07-11T00:00:00" maxDate="2026-10-14T00:00:00"/>
    </cacheField>
    <cacheField name="Item Value" numFmtId="0">
      <sharedItems containsString="0" containsBlank="1" containsNumber="1" minValue="0" maxValue="46070.400000000001"/>
    </cacheField>
    <cacheField name="Requested Delivery Date" numFmtId="0">
      <sharedItems containsNonDate="0" containsDate="1" containsString="0" containsBlank="1" minDate="2025-05-14T00:00:00" maxDate="2026-08-05T00:00:00"/>
    </cacheField>
    <cacheField name="Ship to Arrive Date" numFmtId="0">
      <sharedItems containsNonDate="0" containsDate="1" containsString="0" containsBlank="1" minDate="2026-06-04T00:00:00" maxDate="2026-07-3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s v="3002794"/>
    <n v="20"/>
    <s v="ONIND"/>
    <s v="ZORA"/>
    <d v="2025-05-13T00:00:00"/>
    <s v="C"/>
    <s v="A"/>
    <s v="10214530"/>
    <s v="20214530"/>
    <x v="0"/>
    <s v="DC CLOTTED CREAM 12X170G"/>
    <n v="2"/>
    <n v="0"/>
    <n v="0"/>
    <n v="0"/>
    <m/>
    <m/>
    <n v="0"/>
    <n v="0"/>
    <n v="0"/>
    <n v="60"/>
    <n v="0"/>
    <n v="2"/>
    <n v="0"/>
    <n v="0"/>
    <x v="0"/>
    <s v="NIAGARA HOME BAKERY"/>
    <m/>
    <n v="95.6"/>
    <d v="2025-05-14T00:00:00"/>
    <m/>
  </r>
  <r>
    <s v="3008049"/>
    <n v="20"/>
    <s v="ONIND"/>
    <s v="ZORA"/>
    <d v="2025-06-06T00:00:00"/>
    <s v="C"/>
    <s v="A"/>
    <s v="10117761"/>
    <s v="20117761"/>
    <x v="1"/>
    <s v="SNO AMBER MIST 6X200G"/>
    <n v="50"/>
    <n v="0"/>
    <n v="0"/>
    <n v="0"/>
    <m/>
    <m/>
    <n v="0"/>
    <n v="0"/>
    <n v="0"/>
    <n v="1000"/>
    <n v="0"/>
    <n v="50"/>
    <n v="0"/>
    <n v="0"/>
    <x v="0"/>
    <s v="MENDEL'S GLOBAL CHEESE (ONLY)"/>
    <m/>
    <n v="917.5"/>
    <d v="2025-06-12T00:00:00"/>
    <m/>
  </r>
  <r>
    <s v="3008050"/>
    <n v="20"/>
    <s v="ONIND"/>
    <s v="ZORA"/>
    <d v="2025-06-06T00:00:00"/>
    <s v="C"/>
    <s v="A"/>
    <s v="10117598"/>
    <s v="20117598"/>
    <x v="1"/>
    <s v="SNO AMBER MIST 6X200G"/>
    <n v="5"/>
    <n v="0"/>
    <n v="0"/>
    <n v="0"/>
    <m/>
    <m/>
    <n v="0"/>
    <n v="0"/>
    <n v="0"/>
    <n v="100"/>
    <n v="0"/>
    <n v="5"/>
    <n v="0"/>
    <n v="0"/>
    <x v="0"/>
    <s v="FOOD DEPOT INT INC (WHOLESALE)"/>
    <m/>
    <n v="91.75"/>
    <d v="2025-06-12T00:00:00"/>
    <m/>
  </r>
  <r>
    <s v="3008307"/>
    <n v="30"/>
    <s v="ONIND"/>
    <s v="ZORA"/>
    <d v="2025-06-09T00:00:00"/>
    <s v="C"/>
    <s v="A"/>
    <s v="10717283"/>
    <s v="20717283"/>
    <x v="1"/>
    <s v="SNO AMBER MIST 6X200G"/>
    <n v="3"/>
    <n v="0"/>
    <n v="0"/>
    <n v="0"/>
    <m/>
    <m/>
    <n v="0"/>
    <n v="0"/>
    <n v="0"/>
    <n v="60"/>
    <n v="0"/>
    <n v="3"/>
    <n v="0"/>
    <n v="0"/>
    <x v="0"/>
    <s v="LA BOTTEGA (CHEESE)"/>
    <m/>
    <n v="55.05"/>
    <d v="2025-06-11T00:00:00"/>
    <m/>
  </r>
  <r>
    <s v="3009475"/>
    <n v="220"/>
    <s v="BCIND"/>
    <s v="ZORA"/>
    <d v="2025-06-13T00:00:00"/>
    <s v="C"/>
    <s v="A"/>
    <s v="10066089"/>
    <s v="20066089"/>
    <x v="2"/>
    <s v="SOH PRETZELS MINI"/>
    <n v="1"/>
    <n v="0"/>
    <n v="0"/>
    <n v="0"/>
    <m/>
    <m/>
    <n v="0"/>
    <n v="0"/>
    <n v="0"/>
    <n v="18.899999999999999"/>
    <n v="0"/>
    <n v="1"/>
    <n v="0"/>
    <n v="0"/>
    <x v="1"/>
    <s v="SUNRISE MARKET  CLEAROUT"/>
    <m/>
    <n v="27.41"/>
    <d v="2025-06-16T00:00:00"/>
    <m/>
  </r>
  <r>
    <s v="3010042"/>
    <n v="30"/>
    <s v="LIQID"/>
    <s v="ZORA"/>
    <d v="2025-06-17T00:00:00"/>
    <s v="C"/>
    <s v="A"/>
    <s v="10000912"/>
    <s v="20000912"/>
    <x v="3"/>
    <s v="STW 170G FIRM APPNZLR STYL"/>
    <n v="41"/>
    <n v="0"/>
    <n v="0"/>
    <n v="0"/>
    <m/>
    <m/>
    <n v="0"/>
    <n v="0"/>
    <n v="0"/>
    <n v="41"/>
    <n v="0"/>
    <n v="41"/>
    <n v="0"/>
    <n v="0"/>
    <x v="2"/>
    <s v="NUTRI-GLOBE-P/U FROM CALGARY W/H"/>
    <m/>
    <n v="3019.65"/>
    <d v="2025-06-18T00:00:00"/>
    <m/>
  </r>
  <r>
    <s v="3010875"/>
    <n v="20"/>
    <s v="FSIND"/>
    <s v="ZORA"/>
    <d v="2025-06-20T00:00:00"/>
    <s v="C"/>
    <s v="A"/>
    <s v="10074880"/>
    <s v="20074880"/>
    <x v="1"/>
    <s v="SNO AMBER MIST 6X200G"/>
    <n v="30"/>
    <n v="0"/>
    <n v="0"/>
    <n v="0"/>
    <m/>
    <m/>
    <n v="0"/>
    <n v="0"/>
    <n v="0"/>
    <n v="510"/>
    <n v="0"/>
    <n v="30"/>
    <n v="0"/>
    <n v="0"/>
    <x v="0"/>
    <s v="WORLDWIDE SPECIALTY FOODS LTD"/>
    <m/>
    <n v="550.5"/>
    <d v="2025-06-25T00:00:00"/>
    <m/>
  </r>
  <r>
    <s v="3011082"/>
    <n v="30"/>
    <s v="ATIND"/>
    <s v="ZORA"/>
    <d v="2025-06-23T00:00:00"/>
    <s v="C"/>
    <s v="A"/>
    <s v="10000813"/>
    <s v="20000813"/>
    <x v="4"/>
    <s v="IRELAND MATURE CHED BULK 2X2.5KG"/>
    <n v="8"/>
    <n v="0"/>
    <n v="0"/>
    <n v="0"/>
    <m/>
    <m/>
    <n v="0"/>
    <n v="0"/>
    <n v="0"/>
    <n v="448.4"/>
    <n v="0"/>
    <n v="8"/>
    <n v="40"/>
    <n v="0"/>
    <x v="0"/>
    <s v="DOLMA FOOD"/>
    <m/>
    <n v="524.79999999999995"/>
    <d v="2025-06-27T00:00:00"/>
    <m/>
  </r>
  <r>
    <s v="3011635"/>
    <n v="20"/>
    <s v="ATIND"/>
    <s v="ZORA"/>
    <d v="2025-06-25T00:00:00"/>
    <m/>
    <s v="A"/>
    <s v="10120116"/>
    <s v="20120116"/>
    <x v="1"/>
    <s v="SNO AMBER MIST 6X200G"/>
    <n v="30"/>
    <n v="0"/>
    <n v="0"/>
    <n v="0"/>
    <m/>
    <m/>
    <n v="0"/>
    <n v="0"/>
    <n v="0"/>
    <n v="510"/>
    <n v="0"/>
    <n v="30"/>
    <n v="0"/>
    <n v="0"/>
    <x v="0"/>
    <s v="MULDER MEATS (1983) LTD"/>
    <m/>
    <n v="550.5"/>
    <d v="2025-06-30T00:00:00"/>
    <m/>
  </r>
  <r>
    <s v="3011635"/>
    <n v="70"/>
    <s v="ATIND"/>
    <s v="ZORA"/>
    <d v="2025-06-25T00:00:00"/>
    <m/>
    <s v="A"/>
    <s v="10120116"/>
    <s v="20120116"/>
    <x v="4"/>
    <s v="IRELAND MATURE CHED BULK 2X2.5KG"/>
    <n v="10"/>
    <n v="0"/>
    <n v="0"/>
    <n v="0"/>
    <m/>
    <m/>
    <n v="0"/>
    <n v="0"/>
    <n v="0"/>
    <n v="560.5"/>
    <n v="0"/>
    <n v="10"/>
    <n v="50"/>
    <n v="0"/>
    <x v="0"/>
    <s v="MULDER MEATS (1983) LTD"/>
    <m/>
    <n v="656"/>
    <d v="2025-06-30T00:00:00"/>
    <m/>
  </r>
  <r>
    <s v="3013228"/>
    <n v="40"/>
    <s v="ONIND"/>
    <s v="ZORA"/>
    <d v="2025-07-02T00:00:00"/>
    <s v="C"/>
    <s v="A"/>
    <s v="10120219"/>
    <s v="20120219"/>
    <x v="1"/>
    <s v="SNO AMBER MIST 6X200G"/>
    <n v="2"/>
    <n v="0"/>
    <n v="0"/>
    <n v="0"/>
    <m/>
    <m/>
    <n v="0"/>
    <n v="0"/>
    <n v="0"/>
    <n v="32"/>
    <n v="0"/>
    <n v="2"/>
    <n v="0"/>
    <n v="0"/>
    <x v="0"/>
    <s v="THE MILL STREET CHEESE MARKET"/>
    <m/>
    <n v="36.700000000000003"/>
    <d v="2025-07-04T00:00:00"/>
    <m/>
  </r>
  <r>
    <s v="3015332"/>
    <n v="10"/>
    <s v="BCIND"/>
    <s v="ZORA"/>
    <d v="2025-07-11T00:00:00"/>
    <s v="C"/>
    <s v="A"/>
    <s v="10049999"/>
    <s v="20049999"/>
    <x v="5"/>
    <s v="BEL BOUR 150G GARLIC &amp; HERB"/>
    <n v="51"/>
    <n v="0"/>
    <n v="0"/>
    <n v="0"/>
    <m/>
    <m/>
    <n v="0"/>
    <n v="0"/>
    <n v="0"/>
    <n v="459"/>
    <n v="0"/>
    <n v="51"/>
    <n v="0"/>
    <n v="0"/>
    <x v="1"/>
    <s v="OLD COUNTRY MKT ALBERNI DELI"/>
    <m/>
    <n v="2557.65"/>
    <d v="2025-07-12T00:00:00"/>
    <m/>
  </r>
  <r>
    <s v="3015332"/>
    <n v="100"/>
    <s v="BCIND"/>
    <s v="ZORA"/>
    <d v="2025-07-11T00:00:00"/>
    <s v="C"/>
    <s v="A"/>
    <s v="10049999"/>
    <s v="20049999"/>
    <x v="6"/>
    <s v="CLAWSON HUNTSMN 5 LAY BULK 2X2KG"/>
    <n v="4"/>
    <n v="0"/>
    <n v="0"/>
    <n v="0"/>
    <m/>
    <m/>
    <n v="0"/>
    <n v="0"/>
    <n v="0"/>
    <n v="160"/>
    <n v="0"/>
    <n v="4"/>
    <n v="16"/>
    <n v="0"/>
    <x v="1"/>
    <s v="OLD COUNTRY MKT ALBERNI DELI"/>
    <m/>
    <n v="362.4"/>
    <d v="2025-07-12T00:00:00"/>
    <m/>
  </r>
  <r>
    <s v="3016217"/>
    <n v="90"/>
    <s v="ONIND"/>
    <s v="ZORA"/>
    <d v="2025-07-16T00:00:00"/>
    <s v="C"/>
    <s v="A"/>
    <s v="10125105"/>
    <s v="20125105"/>
    <x v="7"/>
    <s v="BAL SNACKS CHOCO LATTE"/>
    <n v="30"/>
    <n v="0"/>
    <n v="0"/>
    <n v="0"/>
    <m/>
    <m/>
    <n v="0"/>
    <n v="0"/>
    <n v="0"/>
    <n v="240"/>
    <n v="0"/>
    <n v="30"/>
    <n v="0"/>
    <n v="0"/>
    <x v="0"/>
    <s v="ELLIOT LAKE MEATS AND DELI"/>
    <m/>
    <n v="842.1"/>
    <d v="2025-07-21T00:00:00"/>
    <m/>
  </r>
  <r>
    <s v="3019222"/>
    <n v="90"/>
    <s v="BCIND"/>
    <s v="ZORA"/>
    <d v="2025-07-29T00:00:00"/>
    <s v="C"/>
    <s v="A"/>
    <s v="10049999"/>
    <s v="20049999"/>
    <x v="6"/>
    <s v="CLAWSON HUNTSMN 5 LAY BULK 2X2KG"/>
    <n v="7"/>
    <n v="0"/>
    <n v="0"/>
    <n v="0"/>
    <m/>
    <m/>
    <n v="0"/>
    <n v="0"/>
    <n v="0"/>
    <n v="336"/>
    <n v="0"/>
    <n v="7"/>
    <n v="28"/>
    <n v="0"/>
    <x v="1"/>
    <s v="OLD COUNTRY MKT ALBERNI DELI"/>
    <m/>
    <n v="634.20000000000005"/>
    <d v="2025-08-01T00:00:00"/>
    <m/>
  </r>
  <r>
    <s v="3019356"/>
    <n v="100"/>
    <s v="LIQID"/>
    <s v="ZORA"/>
    <d v="2025-07-30T00:00:00"/>
    <s v="C"/>
    <s v="A"/>
    <s v="10150032"/>
    <s v="20150032"/>
    <x v="8"/>
    <s v="SNO BLACK BOMBER 1X2KG"/>
    <n v="9"/>
    <n v="0"/>
    <n v="0"/>
    <n v="0"/>
    <m/>
    <m/>
    <n v="0"/>
    <n v="0"/>
    <n v="0"/>
    <n v="126"/>
    <n v="0"/>
    <n v="9"/>
    <n v="18"/>
    <n v="0"/>
    <x v="0"/>
    <s v="COUNTRY TRADITIONS FROZEN FOODS"/>
    <m/>
    <n v="512.82000000000005"/>
    <d v="2025-08-01T00:00:00"/>
    <m/>
  </r>
  <r>
    <s v="3019356"/>
    <n v="140"/>
    <s v="LIQID"/>
    <s v="ZORA"/>
    <d v="2025-07-30T00:00:00"/>
    <s v="C"/>
    <s v="A"/>
    <s v="10150032"/>
    <s v="20150032"/>
    <x v="9"/>
    <s v="CB CRUNCHY PEANUT BUTTER"/>
    <n v="2"/>
    <n v="0"/>
    <n v="0"/>
    <n v="0"/>
    <m/>
    <m/>
    <n v="0"/>
    <n v="0"/>
    <n v="0"/>
    <n v="12"/>
    <n v="0"/>
    <n v="2"/>
    <n v="0"/>
    <n v="0"/>
    <x v="0"/>
    <s v="COUNTRY TRADITIONS FROZEN FOODS"/>
    <m/>
    <n v="33.520000000000003"/>
    <d v="2025-08-01T00:00:00"/>
    <m/>
  </r>
  <r>
    <s v="3019752"/>
    <n v="230"/>
    <s v="BCIND"/>
    <s v="ZORA"/>
    <d v="2025-07-31T00:00:00"/>
    <s v="C"/>
    <s v="A"/>
    <s v="10062506"/>
    <s v="20062506"/>
    <x v="10"/>
    <s v="CL GOODA CHEESE SPICED"/>
    <n v="3"/>
    <n v="0"/>
    <n v="0"/>
    <n v="0"/>
    <m/>
    <m/>
    <n v="0"/>
    <n v="0"/>
    <n v="0"/>
    <n v="40.5"/>
    <n v="0"/>
    <n v="3"/>
    <n v="13.5"/>
    <n v="0"/>
    <x v="1"/>
    <s v="LO-BOY MARKET          CLEARANCE"/>
    <m/>
    <n v="167.27"/>
    <d v="2025-08-05T00:00:00"/>
    <m/>
  </r>
  <r>
    <s v="3019752"/>
    <n v="260"/>
    <s v="BCIND"/>
    <s v="ZORA"/>
    <d v="2025-07-31T00:00:00"/>
    <s v="C"/>
    <s v="A"/>
    <s v="10062506"/>
    <s v="20062506"/>
    <x v="11"/>
    <s v="KC SEA SALT 56G GF"/>
    <n v="18"/>
    <n v="0"/>
    <n v="0"/>
    <n v="0"/>
    <m/>
    <m/>
    <n v="0"/>
    <n v="0"/>
    <n v="0"/>
    <n v="72"/>
    <n v="0"/>
    <n v="18"/>
    <n v="0"/>
    <n v="0"/>
    <x v="1"/>
    <s v="LO-BOY MARKET          CLEARANCE"/>
    <m/>
    <n v="412.56"/>
    <d v="2025-08-05T00:00:00"/>
    <m/>
  </r>
  <r>
    <s v="3019989"/>
    <n v="180"/>
    <s v="LIQID"/>
    <s v="ZORA"/>
    <d v="2025-08-01T00:00:00"/>
    <s v="C"/>
    <s v="A"/>
    <s v="10225936"/>
    <s v="20225936"/>
    <x v="12"/>
    <s v="CC CHED W HORSERADISH 12X150G"/>
    <n v="20"/>
    <n v="0"/>
    <n v="0"/>
    <n v="0"/>
    <m/>
    <m/>
    <n v="0"/>
    <n v="0"/>
    <n v="0"/>
    <n v="160"/>
    <n v="0"/>
    <n v="20"/>
    <n v="0"/>
    <n v="0"/>
    <x v="0"/>
    <s v="ALMOST PERFECT"/>
    <m/>
    <n v="653.20000000000005"/>
    <d v="2025-08-07T00:00:00"/>
    <m/>
  </r>
  <r>
    <s v="3021494"/>
    <n v="10"/>
    <s v="LIQID"/>
    <s v="ZORA"/>
    <d v="2025-08-11T00:00:00"/>
    <s v="C"/>
    <s v="A"/>
    <s v="10000913"/>
    <s v="20000913"/>
    <x v="13"/>
    <s v="CAPE CHIPS SALT LS FAT 220G"/>
    <n v="4"/>
    <n v="0"/>
    <n v="0"/>
    <n v="0"/>
    <m/>
    <m/>
    <n v="0"/>
    <n v="0"/>
    <n v="0"/>
    <n v="12"/>
    <n v="0"/>
    <n v="4"/>
    <n v="0"/>
    <n v="0"/>
    <x v="1"/>
    <s v="NUTRI-GLOBE-P/U FR SURREY BRANCH"/>
    <m/>
    <n v="149.72"/>
    <d v="2025-08-14T00:00:00"/>
    <m/>
  </r>
  <r>
    <s v="3022985"/>
    <n v="10"/>
    <s v="ONIND"/>
    <s v="ZORA"/>
    <d v="2025-08-19T00:00:00"/>
    <s v="C"/>
    <s v="A"/>
    <s v="10130665"/>
    <s v="20130665"/>
    <x v="8"/>
    <s v="SNO BLACK BOMBER 1X2KG"/>
    <n v="6"/>
    <n v="0"/>
    <n v="0"/>
    <n v="0"/>
    <m/>
    <m/>
    <n v="0"/>
    <n v="0"/>
    <n v="0"/>
    <n v="228"/>
    <n v="0"/>
    <n v="6"/>
    <n v="12"/>
    <n v="0"/>
    <x v="0"/>
    <s v="SCHEFFLERS MEAT (CHEESE)"/>
    <m/>
    <n v="311.39999999999998"/>
    <d v="2025-08-20T00:00:00"/>
    <m/>
  </r>
  <r>
    <s v="3023002"/>
    <n v="20"/>
    <s v="ONIND"/>
    <s v="ZORA"/>
    <d v="2025-08-19T00:00:00"/>
    <s v="C"/>
    <s v="A"/>
    <s v="10120237"/>
    <s v="20120237"/>
    <x v="8"/>
    <s v="SNO BLACK BOMBER 1X2KG"/>
    <n v="4"/>
    <n v="0"/>
    <n v="0"/>
    <n v="0"/>
    <m/>
    <m/>
    <n v="0"/>
    <n v="0"/>
    <n v="0"/>
    <n v="168"/>
    <n v="0"/>
    <n v="4"/>
    <n v="8"/>
    <n v="0"/>
    <x v="0"/>
    <s v="ALEX FARMS CHEESE"/>
    <m/>
    <n v="207.6"/>
    <d v="2025-08-22T00:00:00"/>
    <m/>
  </r>
  <r>
    <s v="3023207"/>
    <n v="240"/>
    <s v="ONIND"/>
    <s v="ZORA"/>
    <d v="2025-08-19T00:00:00"/>
    <s v="C"/>
    <s v="A"/>
    <s v="10125105"/>
    <s v="20125105"/>
    <x v="14"/>
    <s v="IL APPLEWOOD SMKD SLICES 8X180G"/>
    <n v="1"/>
    <n v="0"/>
    <n v="0"/>
    <n v="0"/>
    <m/>
    <m/>
    <n v="0"/>
    <n v="0"/>
    <n v="0"/>
    <n v="4"/>
    <n v="0"/>
    <n v="1"/>
    <n v="0"/>
    <n v="0"/>
    <x v="0"/>
    <s v="ELLIOT LAKE MEATS AND DELI"/>
    <m/>
    <n v="30.19"/>
    <d v="2025-08-25T00:00:00"/>
    <m/>
  </r>
  <r>
    <s v="3023390"/>
    <n v="60"/>
    <s v="LIQID"/>
    <s v="ZORA"/>
    <d v="2025-08-20T00:00:00"/>
    <s v="C"/>
    <s v="A"/>
    <s v="10150032"/>
    <s v="20150032"/>
    <x v="15"/>
    <s v="IRS TORTO SWT ORNG OIL SEV"/>
    <n v="60"/>
    <n v="0"/>
    <n v="0"/>
    <n v="0"/>
    <m/>
    <m/>
    <n v="0"/>
    <n v="0"/>
    <n v="0"/>
    <n v="300"/>
    <n v="0"/>
    <n v="60"/>
    <n v="0"/>
    <n v="0"/>
    <x v="0"/>
    <s v="COUNTRY TRADITIONS FROZEN FOODS"/>
    <m/>
    <n v="1823.4"/>
    <d v="2025-08-21T00:00:00"/>
    <m/>
  </r>
  <r>
    <s v="3023390"/>
    <n v="70"/>
    <s v="LIQID"/>
    <s v="ZORA"/>
    <d v="2025-08-20T00:00:00"/>
    <s v="C"/>
    <s v="A"/>
    <s v="10150032"/>
    <s v="20150032"/>
    <x v="16"/>
    <s v="RB CINNAMON SPICE TWINKLES"/>
    <n v="20"/>
    <n v="0"/>
    <n v="0"/>
    <n v="0"/>
    <m/>
    <m/>
    <n v="0"/>
    <n v="0"/>
    <n v="0"/>
    <n v="160"/>
    <n v="0"/>
    <n v="20"/>
    <n v="0"/>
    <n v="0"/>
    <x v="0"/>
    <s v="COUNTRY TRADITIONS FROZEN FOODS"/>
    <m/>
    <n v="1199.4000000000001"/>
    <d v="2025-08-21T00:00:00"/>
    <m/>
  </r>
  <r>
    <s v="3023390"/>
    <n v="90"/>
    <s v="LIQID"/>
    <s v="ZORA"/>
    <d v="2025-08-20T00:00:00"/>
    <s v="C"/>
    <s v="A"/>
    <s v="10150032"/>
    <s v="20150032"/>
    <x v="17"/>
    <s v="RB MINI SNOWFLAKES"/>
    <n v="11"/>
    <n v="0"/>
    <n v="0"/>
    <n v="0"/>
    <m/>
    <m/>
    <n v="0"/>
    <n v="0"/>
    <n v="0"/>
    <n v="88"/>
    <n v="0"/>
    <n v="11"/>
    <n v="0"/>
    <n v="0"/>
    <x v="0"/>
    <s v="COUNTRY TRADITIONS FROZEN FOODS"/>
    <m/>
    <n v="661.87"/>
    <d v="2025-08-21T00:00:00"/>
    <m/>
  </r>
  <r>
    <s v="3023390"/>
    <n v="100"/>
    <s v="LIQID"/>
    <s v="ZORA"/>
    <d v="2025-08-20T00:00:00"/>
    <s v="C"/>
    <s v="A"/>
    <s v="10150032"/>
    <s v="20150032"/>
    <x v="18"/>
    <s v="LBS POSH PRALINE ALMD 45G"/>
    <n v="4"/>
    <n v="0"/>
    <n v="0"/>
    <n v="0"/>
    <m/>
    <m/>
    <n v="0"/>
    <n v="0"/>
    <n v="0"/>
    <n v="32"/>
    <n v="0"/>
    <n v="4"/>
    <n v="0"/>
    <n v="0"/>
    <x v="0"/>
    <s v="COUNTRY TRADITIONS FROZEN FOODS"/>
    <m/>
    <n v="133"/>
    <d v="2025-08-21T00:00:00"/>
    <m/>
  </r>
  <r>
    <s v="3023399"/>
    <n v="70"/>
    <s v="BCIND"/>
    <s v="ZORA"/>
    <d v="2025-08-20T00:00:00"/>
    <s v="C"/>
    <s v="A"/>
    <s v="10062506"/>
    <s v="20062506"/>
    <x v="19"/>
    <s v="NUPST VEGAN CHILI"/>
    <n v="13"/>
    <n v="0"/>
    <n v="0"/>
    <n v="0"/>
    <m/>
    <m/>
    <n v="0"/>
    <n v="0"/>
    <n v="0"/>
    <n v="78"/>
    <n v="0"/>
    <n v="13"/>
    <n v="0"/>
    <n v="0"/>
    <x v="1"/>
    <s v="LO-BOY MARKET          CLEARANCE"/>
    <m/>
    <n v="198.9"/>
    <d v="2025-08-22T00:00:00"/>
    <m/>
  </r>
  <r>
    <s v="3026929"/>
    <n v="20"/>
    <s v="ONIND"/>
    <s v="ZORA"/>
    <d v="2025-09-08T00:00:00"/>
    <s v="C"/>
    <s v="A"/>
    <s v="10130665"/>
    <s v="20130665"/>
    <x v="8"/>
    <s v="SNO BLACK BOMBER 1X2KG"/>
    <n v="20"/>
    <n v="0"/>
    <n v="0"/>
    <n v="0"/>
    <m/>
    <m/>
    <n v="0"/>
    <n v="0"/>
    <n v="0"/>
    <n v="760"/>
    <n v="0"/>
    <n v="20"/>
    <n v="40"/>
    <n v="0"/>
    <x v="0"/>
    <s v="SCHEFFLERS MEAT (CHEESE)"/>
    <m/>
    <n v="1038"/>
    <d v="2025-09-10T00:00:00"/>
    <m/>
  </r>
  <r>
    <s v="3027374"/>
    <n v="150"/>
    <s v="LIQID"/>
    <s v="ZORA"/>
    <d v="2025-09-09T00:00:00"/>
    <s v="C"/>
    <s v="A"/>
    <s v="10000913"/>
    <s v="20000913"/>
    <x v="20"/>
    <s v="BD ALM BREEZE UNSWT VANILLA"/>
    <n v="22"/>
    <n v="0"/>
    <n v="0"/>
    <n v="0"/>
    <m/>
    <m/>
    <n v="0"/>
    <n v="0"/>
    <n v="0"/>
    <n v="55"/>
    <n v="0"/>
    <n v="22"/>
    <n v="0"/>
    <n v="0"/>
    <x v="1"/>
    <s v="NUTRI-GLOBE-P/U FR SURREY BRANCH"/>
    <m/>
    <n v="743.38"/>
    <d v="2025-09-12T00:00:00"/>
    <m/>
  </r>
  <r>
    <s v="3027489"/>
    <n v="20"/>
    <s v="ATIND"/>
    <s v="ZORA"/>
    <d v="2025-09-10T00:00:00"/>
    <s v="C"/>
    <s v="A"/>
    <s v="10120116"/>
    <s v="20120116"/>
    <x v="6"/>
    <s v="CLAWSON HUNTSMN 5 LAY BULK 2X2KG"/>
    <n v="21"/>
    <n v="0"/>
    <n v="0"/>
    <n v="0"/>
    <m/>
    <m/>
    <n v="0"/>
    <n v="0"/>
    <n v="0"/>
    <n v="1554"/>
    <n v="0"/>
    <n v="21"/>
    <n v="84"/>
    <n v="0"/>
    <x v="0"/>
    <s v="MULDER MEATS (1983) LTD"/>
    <m/>
    <n v="2033.64"/>
    <d v="2025-09-15T00:00:00"/>
    <m/>
  </r>
  <r>
    <s v="3028127"/>
    <n v="50"/>
    <s v="BCIND"/>
    <s v="ZORA"/>
    <d v="2025-09-12T00:00:00"/>
    <s v="C"/>
    <s v="A"/>
    <s v="10062506"/>
    <s v="20062506"/>
    <x v="21"/>
    <s v="NATUR-A MINI SOY VANILLA ORG"/>
    <n v="14"/>
    <n v="0"/>
    <n v="0"/>
    <n v="0"/>
    <m/>
    <m/>
    <n v="0"/>
    <n v="0"/>
    <n v="0"/>
    <n v="70"/>
    <n v="0"/>
    <n v="14"/>
    <n v="0"/>
    <n v="0"/>
    <x v="1"/>
    <s v="LO-BOY MARKET          CLEARANCE"/>
    <m/>
    <n v="290.92"/>
    <d v="2025-09-16T00:00:00"/>
    <m/>
  </r>
  <r>
    <s v="3028474"/>
    <n v="120"/>
    <s v="BCIND"/>
    <s v="ZORA"/>
    <d v="2025-09-15T00:00:00"/>
    <s v="C"/>
    <s v="A"/>
    <s v="10062506"/>
    <s v="20062506"/>
    <x v="16"/>
    <s v="RB CINNAMON SPICE TWINKLES"/>
    <n v="2"/>
    <n v="0"/>
    <n v="0"/>
    <n v="0"/>
    <m/>
    <m/>
    <n v="0"/>
    <n v="0"/>
    <n v="0"/>
    <n v="6"/>
    <n v="0"/>
    <n v="2"/>
    <n v="0"/>
    <n v="0"/>
    <x v="1"/>
    <s v="LO-BOY MARKET          CLEARANCE"/>
    <m/>
    <n v="118.4"/>
    <d v="2025-09-16T00:00:00"/>
    <m/>
  </r>
  <r>
    <s v="3029800"/>
    <n v="130"/>
    <s v="LIQID"/>
    <s v="ZORA"/>
    <d v="2025-09-22T00:00:00"/>
    <s v="C"/>
    <s v="A"/>
    <s v="10150032"/>
    <s v="20150032"/>
    <x v="22"/>
    <s v="SCHAR PIZZA CRUST GF"/>
    <n v="18"/>
    <n v="0"/>
    <n v="0"/>
    <n v="0"/>
    <m/>
    <m/>
    <n v="0"/>
    <n v="0"/>
    <n v="0"/>
    <n v="54"/>
    <n v="0"/>
    <n v="18"/>
    <n v="0"/>
    <n v="0"/>
    <x v="0"/>
    <s v="COUNTRY TRADITIONS FROZEN FOODS"/>
    <m/>
    <n v="483.48"/>
    <d v="2025-09-24T00:00:00"/>
    <m/>
  </r>
  <r>
    <s v="3030829"/>
    <n v="10"/>
    <s v="BCIND"/>
    <s v="ZORA"/>
    <d v="2025-09-26T00:00:00"/>
    <s v="B"/>
    <s v="A"/>
    <s v="10062506"/>
    <s v="20062506"/>
    <x v="23"/>
    <s v="CB CHOCOLATE ALMOND FUDGE"/>
    <n v="99"/>
    <n v="99"/>
    <n v="0"/>
    <n v="0"/>
    <m/>
    <m/>
    <n v="0"/>
    <n v="0"/>
    <n v="0"/>
    <n v="198"/>
    <n v="198"/>
    <n v="99"/>
    <n v="0"/>
    <n v="0"/>
    <x v="1"/>
    <s v="LO-BOY MARKET          CLEARANCE"/>
    <m/>
    <n v="1696.86"/>
    <d v="2025-10-01T00:00:00"/>
    <m/>
  </r>
  <r>
    <s v="3035878"/>
    <n v="100"/>
    <s v="LIQID"/>
    <s v="ZORA"/>
    <d v="2025-10-22T00:00:00"/>
    <s v="C"/>
    <s v="A"/>
    <s v="10150032"/>
    <s v="20150032"/>
    <x v="24"/>
    <s v="BD ALM BREEZE VANILLA"/>
    <n v="48"/>
    <n v="0"/>
    <n v="0"/>
    <n v="0"/>
    <m/>
    <m/>
    <n v="0"/>
    <n v="0"/>
    <n v="0"/>
    <n v="240"/>
    <n v="0"/>
    <n v="48"/>
    <n v="0"/>
    <n v="0"/>
    <x v="0"/>
    <s v="COUNTRY TRADITIONS FROZEN FOODS"/>
    <m/>
    <n v="1191.8399999999999"/>
    <d v="2025-10-24T00:00:00"/>
    <m/>
  </r>
  <r>
    <s v="3037053"/>
    <n v="450"/>
    <s v="BCIND"/>
    <s v="ZORA"/>
    <d v="2025-10-28T00:00:00"/>
    <s v="C"/>
    <s v="A"/>
    <s v="10062506"/>
    <s v="20062506"/>
    <x v="25"/>
    <s v="BD ALM BREEZE UNSWT VANILLA"/>
    <n v="8"/>
    <n v="0"/>
    <n v="0"/>
    <n v="0"/>
    <m/>
    <m/>
    <n v="0"/>
    <n v="0"/>
    <n v="0"/>
    <n v="40"/>
    <n v="0"/>
    <n v="8"/>
    <n v="0"/>
    <n v="0"/>
    <x v="1"/>
    <s v="LO-BOY MARKET          CLEARANCE"/>
    <m/>
    <n v="211.44"/>
    <d v="2025-10-31T00:00:00"/>
    <m/>
  </r>
  <r>
    <s v="3038967"/>
    <n v="30"/>
    <s v="ONIND"/>
    <s v="ZORA"/>
    <d v="2025-11-06T00:00:00"/>
    <s v="C"/>
    <s v="A"/>
    <s v="10182593"/>
    <s v="20182593"/>
    <x v="5"/>
    <s v="BEL BOUR 150G GARLIC &amp; HERB"/>
    <n v="2"/>
    <n v="0"/>
    <n v="0"/>
    <n v="0"/>
    <m/>
    <m/>
    <n v="0"/>
    <n v="0"/>
    <n v="0"/>
    <n v="24.78"/>
    <n v="0"/>
    <n v="2"/>
    <n v="0"/>
    <n v="0"/>
    <x v="0"/>
    <s v="ZARKY'S FINE FOODS"/>
    <m/>
    <n v="99.14"/>
    <d v="2025-11-07T00:00:00"/>
    <m/>
  </r>
  <r>
    <s v="3038995"/>
    <n v="50"/>
    <s v="LIQID"/>
    <s v="ZORA"/>
    <d v="2025-11-07T00:00:00"/>
    <s v="C"/>
    <s v="A"/>
    <s v="10225936"/>
    <s v="20225936"/>
    <x v="5"/>
    <s v="BEL BOUR 150G GARLIC &amp; HERB"/>
    <n v="2"/>
    <n v="0"/>
    <n v="0"/>
    <n v="0"/>
    <m/>
    <m/>
    <n v="0"/>
    <n v="0"/>
    <n v="0"/>
    <n v="24.78"/>
    <n v="0"/>
    <n v="2"/>
    <n v="0"/>
    <n v="0"/>
    <x v="0"/>
    <s v="ALMOST PERFECT"/>
    <m/>
    <n v="99.14"/>
    <d v="2025-11-11T00:00:00"/>
    <m/>
  </r>
  <r>
    <s v="3040453"/>
    <n v="50"/>
    <s v="FSIND"/>
    <s v="ZORA"/>
    <d v="2025-11-14T00:00:00"/>
    <s v="C"/>
    <s v="A"/>
    <s v="10074880"/>
    <s v="20074880"/>
    <x v="26"/>
    <s v="IL APPLEWD SMKD CHED BULK 2X3KG"/>
    <n v="9"/>
    <n v="0"/>
    <n v="0"/>
    <n v="0"/>
    <m/>
    <m/>
    <n v="0"/>
    <n v="0"/>
    <n v="0"/>
    <n v="972"/>
    <n v="0"/>
    <n v="9"/>
    <n v="54"/>
    <n v="0"/>
    <x v="2"/>
    <s v="WORLDWIDE SPECIALTY FOODS LTD"/>
    <m/>
    <n v="1062.18"/>
    <d v="2025-11-18T00:00:00"/>
    <m/>
  </r>
  <r>
    <s v="3040453"/>
    <n v="60"/>
    <s v="FSIND"/>
    <s v="ZORA"/>
    <d v="2025-11-14T00:00:00"/>
    <s v="C"/>
    <s v="A"/>
    <s v="10074880"/>
    <s v="20074880"/>
    <x v="27"/>
    <s v="CC SHROPSHIRE BLUE BULK 2X2KG"/>
    <n v="4"/>
    <n v="0"/>
    <n v="0"/>
    <n v="0"/>
    <m/>
    <m/>
    <n v="0"/>
    <n v="0"/>
    <n v="0"/>
    <n v="192"/>
    <n v="0"/>
    <n v="4"/>
    <n v="16"/>
    <n v="0"/>
    <x v="2"/>
    <s v="WORLDWIDE SPECIALTY FOODS LTD"/>
    <m/>
    <n v="363.84"/>
    <d v="2025-11-18T00:00:00"/>
    <m/>
  </r>
  <r>
    <s v="3040453"/>
    <n v="110"/>
    <s v="FSIND"/>
    <s v="ZORA"/>
    <d v="2025-11-14T00:00:00"/>
    <s v="C"/>
    <s v="A"/>
    <s v="10074880"/>
    <s v="20074880"/>
    <x v="28"/>
    <s v="CC 1057 SCOTTISH CHED 12X200G"/>
    <n v="137"/>
    <n v="0"/>
    <n v="0"/>
    <n v="0"/>
    <m/>
    <m/>
    <n v="0"/>
    <n v="0"/>
    <n v="0"/>
    <n v="1644"/>
    <n v="0"/>
    <n v="137"/>
    <n v="0"/>
    <n v="0"/>
    <x v="2"/>
    <s v="WORLDWIDE SPECIALTY FOODS LTD"/>
    <m/>
    <n v="6011.56"/>
    <d v="2025-11-18T00:00:00"/>
    <m/>
  </r>
  <r>
    <s v="3041680"/>
    <n v="90"/>
    <s v="ONIND"/>
    <s v="ZORA"/>
    <d v="2025-11-21T00:00:00"/>
    <s v="C"/>
    <s v="A"/>
    <s v="10182593"/>
    <s v="20182593"/>
    <x v="28"/>
    <s v="CC 1057 SCOTTISH CHED 12X200G"/>
    <n v="1"/>
    <n v="0"/>
    <n v="0"/>
    <n v="0"/>
    <m/>
    <m/>
    <n v="0"/>
    <n v="0"/>
    <n v="0"/>
    <n v="20.94"/>
    <n v="0"/>
    <n v="1"/>
    <n v="0"/>
    <n v="0"/>
    <x v="0"/>
    <s v="ZARKY'S FINE FOODS"/>
    <m/>
    <n v="44.13"/>
    <d v="2025-11-24T00:00:00"/>
    <m/>
  </r>
  <r>
    <s v="3042246"/>
    <n v="40"/>
    <s v="LIQID"/>
    <s v="ZORA"/>
    <d v="2025-11-25T00:00:00"/>
    <s v="C"/>
    <s v="A"/>
    <s v="10123006"/>
    <s v="21000245"/>
    <x v="29"/>
    <s v="AGROSGN BRIE DBL CREAM 170G"/>
    <n v="2"/>
    <n v="0"/>
    <n v="0"/>
    <n v="0"/>
    <m/>
    <m/>
    <n v="0"/>
    <n v="0"/>
    <n v="0"/>
    <n v="8"/>
    <n v="0"/>
    <n v="2"/>
    <n v="0"/>
    <n v="0"/>
    <x v="0"/>
    <s v="NUTRI-GLOBE MARKETING"/>
    <m/>
    <n v="79.16"/>
    <d v="2025-11-28T00:00:00"/>
    <m/>
  </r>
  <r>
    <s v="3042247"/>
    <n v="20"/>
    <s v="ATIND"/>
    <s v="ZORA"/>
    <d v="2025-11-25T00:00:00"/>
    <s v="C"/>
    <s v="A"/>
    <s v="13000158"/>
    <s v="21000254"/>
    <x v="30"/>
    <s v="CL LAVENDER GOODA"/>
    <n v="5"/>
    <n v="0"/>
    <n v="0"/>
    <n v="0"/>
    <m/>
    <m/>
    <n v="0"/>
    <n v="0"/>
    <n v="0"/>
    <n v="220.56"/>
    <n v="0"/>
    <n v="5"/>
    <n v="24"/>
    <n v="0"/>
    <x v="0"/>
    <s v="MULHOUSE FINE FOODS"/>
    <m/>
    <n v="464.4"/>
    <d v="2025-12-02T00:00:00"/>
    <m/>
  </r>
  <r>
    <s v="3042551"/>
    <n v="60"/>
    <s v="LIQID"/>
    <s v="ZORA"/>
    <d v="2025-11-26T00:00:00"/>
    <s v="C"/>
    <s v="A"/>
    <s v="10150032"/>
    <s v="20150032"/>
    <x v="28"/>
    <s v="CC 1057 SCOTTISH CHED 12X200G"/>
    <n v="1"/>
    <n v="0"/>
    <n v="0"/>
    <n v="0"/>
    <m/>
    <m/>
    <n v="0"/>
    <n v="0"/>
    <n v="0"/>
    <n v="14"/>
    <n v="0"/>
    <n v="1"/>
    <n v="0"/>
    <n v="0"/>
    <x v="0"/>
    <s v="COUNTRY TRADITIONS FROZEN FOODS"/>
    <m/>
    <n v="44.13"/>
    <d v="2025-11-28T00:00:00"/>
    <m/>
  </r>
  <r>
    <s v="3042752"/>
    <n v="40"/>
    <s v="BCIND"/>
    <s v="ZORA"/>
    <d v="2025-11-26T00:00:00"/>
    <s v="C"/>
    <s v="A"/>
    <s v="10013000"/>
    <s v="20013000"/>
    <x v="31"/>
    <s v="OKA CHEESE CLASSIQ 1X2.5KG"/>
    <n v="2"/>
    <n v="0"/>
    <n v="0"/>
    <n v="0"/>
    <m/>
    <m/>
    <n v="0"/>
    <n v="0"/>
    <n v="0"/>
    <n v="144.85"/>
    <n v="0"/>
    <n v="2"/>
    <n v="5"/>
    <n v="0"/>
    <x v="1"/>
    <s v="BENNY'S WHOLESALE"/>
    <m/>
    <n v="149.35"/>
    <d v="2025-12-10T00:00:00"/>
    <m/>
  </r>
  <r>
    <s v="3045928"/>
    <n v="20"/>
    <s v="FSIND"/>
    <s v="ZORA"/>
    <d v="2025-12-12T00:00:00"/>
    <s v="C"/>
    <s v="A"/>
    <s v="10074880"/>
    <s v="20074880"/>
    <x v="4"/>
    <s v="IRELAND MATURE CHED BULK 2X2.5KG"/>
    <n v="77"/>
    <n v="0"/>
    <n v="0"/>
    <n v="0"/>
    <m/>
    <m/>
    <n v="0"/>
    <n v="0"/>
    <n v="0"/>
    <n v="2310"/>
    <n v="0"/>
    <n v="77"/>
    <n v="385"/>
    <n v="0"/>
    <x v="0"/>
    <s v="WORLDWIDE SPECIALTY FOODS LTD"/>
    <m/>
    <n v="5143.6000000000004"/>
    <d v="2025-12-17T00:00:00"/>
    <m/>
  </r>
  <r>
    <s v="3045968"/>
    <n v="30"/>
    <s v="ONIND"/>
    <s v="ZORA"/>
    <d v="2025-12-12T00:00:00"/>
    <s v="C"/>
    <s v="A"/>
    <s v="13000001"/>
    <s v="21000001"/>
    <x v="32"/>
    <s v="JW MINI SHRTBR STARS 1816X"/>
    <n v="1"/>
    <n v="0"/>
    <n v="0"/>
    <n v="0"/>
    <m/>
    <m/>
    <n v="0"/>
    <n v="0"/>
    <n v="0"/>
    <n v="22"/>
    <n v="0"/>
    <n v="1"/>
    <n v="0"/>
    <n v="0"/>
    <x v="0"/>
    <s v="TOL Employee 2910"/>
    <m/>
    <n v="0"/>
    <d v="2025-12-18T00:00:00"/>
    <m/>
  </r>
  <r>
    <s v="3046835"/>
    <n v="10"/>
    <s v="ONIND"/>
    <s v="ZORA"/>
    <d v="2025-12-17T00:00:00"/>
    <s v="C"/>
    <s v="A"/>
    <s v="10125105"/>
    <s v="20125105"/>
    <x v="33"/>
    <s v="BCC  CHEESE BUFFALO MOZZARELLA"/>
    <n v="1"/>
    <n v="0"/>
    <n v="0"/>
    <n v="0"/>
    <m/>
    <m/>
    <n v="0"/>
    <n v="0"/>
    <n v="0"/>
    <n v="8.2799999999999994"/>
    <n v="0"/>
    <n v="1"/>
    <n v="0"/>
    <n v="0"/>
    <x v="0"/>
    <s v="ELLIOT LAKE MEATS AND DELI"/>
    <m/>
    <n v="33.1"/>
    <d v="2025-12-22T00:00:00"/>
    <m/>
  </r>
  <r>
    <s v="3046835"/>
    <n v="160"/>
    <s v="ONIND"/>
    <s v="ZORA"/>
    <d v="2025-12-17T00:00:00"/>
    <s v="C"/>
    <s v="A"/>
    <s v="10125105"/>
    <s v="20125105"/>
    <x v="34"/>
    <s v="CC MOROCCAN SPICE BULK 2X1.6KG"/>
    <n v="26"/>
    <n v="0"/>
    <n v="0"/>
    <n v="0"/>
    <m/>
    <m/>
    <n v="0"/>
    <n v="0"/>
    <n v="0"/>
    <n v="432.64"/>
    <n v="0"/>
    <n v="26"/>
    <n v="83.2"/>
    <n v="0"/>
    <x v="0"/>
    <s v="ELLIOT LAKE MEATS AND DELI"/>
    <m/>
    <n v="1731.39"/>
    <d v="2025-12-22T00:00:00"/>
    <m/>
  </r>
  <r>
    <s v="3051021"/>
    <n v="40"/>
    <s v="ONIND"/>
    <s v="ZORA"/>
    <d v="2026-01-12T00:00:00"/>
    <s v="C"/>
    <s v="A"/>
    <s v="10182593"/>
    <s v="20182593"/>
    <x v="5"/>
    <s v="BEL BOUR 150G GARLIC &amp; HERB"/>
    <n v="56"/>
    <n v="0"/>
    <n v="0"/>
    <n v="0"/>
    <m/>
    <m/>
    <n v="0"/>
    <n v="0"/>
    <n v="0"/>
    <n v="969.36"/>
    <n v="0"/>
    <n v="56"/>
    <n v="0"/>
    <n v="0"/>
    <x v="0"/>
    <s v="ZARKY'S FINE FOODS"/>
    <m/>
    <n v="2791.04"/>
    <d v="2026-01-13T00:00:00"/>
    <m/>
  </r>
  <r>
    <s v="3052365"/>
    <n v="30"/>
    <s v="ONIND"/>
    <s v="ZORA"/>
    <d v="2026-01-19T00:00:00"/>
    <s v="C"/>
    <s v="A"/>
    <s v="10159306"/>
    <s v="20159306"/>
    <x v="29"/>
    <s v="AGROSGN BRIE DBL CREAM 170G"/>
    <n v="11"/>
    <n v="0"/>
    <n v="0"/>
    <n v="0"/>
    <m/>
    <m/>
    <n v="0"/>
    <n v="0"/>
    <n v="0"/>
    <n v="107.14"/>
    <n v="0"/>
    <n v="11"/>
    <n v="0"/>
    <n v="0"/>
    <x v="0"/>
    <s v="ZARKY'S FINE FOODS"/>
    <m/>
    <n v="434.28"/>
    <d v="2026-01-21T00:00:00"/>
    <m/>
  </r>
  <r>
    <s v="3052365"/>
    <n v="50"/>
    <s v="ONIND"/>
    <s v="ZORA"/>
    <d v="2026-01-19T00:00:00"/>
    <s v="C"/>
    <s v="A"/>
    <s v="10159306"/>
    <s v="20159306"/>
    <x v="35"/>
    <s v="BCC CHEESE BURRATA 6x250G"/>
    <n v="35"/>
    <n v="0"/>
    <n v="0"/>
    <n v="0"/>
    <m/>
    <m/>
    <n v="0"/>
    <n v="0"/>
    <n v="0"/>
    <n v="401.8"/>
    <n v="0"/>
    <n v="35"/>
    <n v="0"/>
    <n v="0"/>
    <x v="0"/>
    <s v="ZARKY'S FINE FOODS"/>
    <m/>
    <n v="1309"/>
    <d v="2026-01-21T00:00:00"/>
    <m/>
  </r>
  <r>
    <s v="3052465"/>
    <n v="30"/>
    <s v="LIQID"/>
    <s v="ZORA"/>
    <d v="2026-01-19T00:00:00"/>
    <s v="C"/>
    <s v="A"/>
    <s v="10123006"/>
    <s v="21000245"/>
    <x v="35"/>
    <s v="BCC CHEESE BURRATA 6x250G"/>
    <n v="10"/>
    <n v="0"/>
    <n v="0"/>
    <n v="0"/>
    <m/>
    <m/>
    <n v="0"/>
    <n v="0"/>
    <n v="0"/>
    <n v="114.8"/>
    <n v="0"/>
    <n v="10"/>
    <n v="0"/>
    <n v="0"/>
    <x v="0"/>
    <s v="NUTRI-GLOBE MARKETING"/>
    <m/>
    <n v="374"/>
    <d v="2026-01-22T00:00:00"/>
    <m/>
  </r>
  <r>
    <s v="3052465"/>
    <n v="40"/>
    <s v="LIQID"/>
    <s v="ZORA"/>
    <d v="2026-01-19T00:00:00"/>
    <s v="C"/>
    <s v="A"/>
    <s v="10123006"/>
    <s v="21000245"/>
    <x v="36"/>
    <s v="BCC CHEESE MINI BUFFALO BOCCONCINI"/>
    <n v="20"/>
    <n v="0"/>
    <n v="0"/>
    <n v="0"/>
    <m/>
    <m/>
    <n v="0"/>
    <n v="0"/>
    <n v="0"/>
    <n v="215.2"/>
    <n v="0"/>
    <n v="20"/>
    <n v="0"/>
    <n v="0"/>
    <x v="0"/>
    <s v="NUTRI-GLOBE MARKETING"/>
    <m/>
    <n v="699.6"/>
    <d v="2026-01-22T00:00:00"/>
    <m/>
  </r>
  <r>
    <s v="3052502"/>
    <n v="10"/>
    <s v="ATIND"/>
    <s v="ZORA"/>
    <d v="2026-01-20T00:00:00"/>
    <s v="C"/>
    <s v="A"/>
    <s v="10780161"/>
    <s v="20780161"/>
    <x v="37"/>
    <s v="SGN SM CHEESE GOAT 180GR"/>
    <n v="3"/>
    <n v="0"/>
    <n v="0"/>
    <n v="0"/>
    <m/>
    <m/>
    <n v="0"/>
    <n v="0"/>
    <n v="0"/>
    <n v="22.53"/>
    <n v="0"/>
    <n v="3"/>
    <n v="0"/>
    <n v="0"/>
    <x v="0"/>
    <s v="CANNING &amp; CORNWALLIS VALUFOODS"/>
    <m/>
    <n v="90.99"/>
    <d v="2026-01-23T00:00:00"/>
    <m/>
  </r>
  <r>
    <s v="3052502"/>
    <n v="20"/>
    <s v="ATIND"/>
    <s v="ZORA"/>
    <d v="2026-01-20T00:00:00"/>
    <s v="C"/>
    <s v="A"/>
    <s v="10780161"/>
    <s v="20780161"/>
    <x v="38"/>
    <s v="OKA CHEESE SWIS SMKD 1X4.5KG"/>
    <n v="6"/>
    <n v="0"/>
    <n v="0"/>
    <n v="0"/>
    <m/>
    <m/>
    <n v="0"/>
    <n v="0"/>
    <n v="0"/>
    <n v="195.48"/>
    <n v="0"/>
    <n v="6"/>
    <n v="27"/>
    <n v="0"/>
    <x v="0"/>
    <s v="CANNING &amp; CORNWALLIS VALUFOODS"/>
    <m/>
    <n v="787.86"/>
    <d v="2026-01-23T00:00:00"/>
    <m/>
  </r>
  <r>
    <s v="3052502"/>
    <n v="30"/>
    <s v="ATIND"/>
    <s v="ZORA"/>
    <d v="2026-01-20T00:00:00"/>
    <s v="C"/>
    <s v="A"/>
    <s v="10780161"/>
    <s v="20780161"/>
    <x v="39"/>
    <s v="OKA CHEESE LIGHT 1X2.5KG"/>
    <n v="6"/>
    <n v="0"/>
    <n v="0"/>
    <n v="0"/>
    <m/>
    <m/>
    <n v="0"/>
    <n v="0"/>
    <n v="0"/>
    <n v="99.75"/>
    <n v="0"/>
    <n v="6"/>
    <n v="15"/>
    <n v="0"/>
    <x v="0"/>
    <s v="CANNING &amp; CORNWALLIS VALUFOODS"/>
    <m/>
    <n v="401.85"/>
    <d v="2026-01-23T00:00:00"/>
    <m/>
  </r>
  <r>
    <s v="3052502"/>
    <n v="50"/>
    <s v="ATIND"/>
    <s v="ZORA"/>
    <d v="2026-01-20T00:00:00"/>
    <s v="C"/>
    <s v="A"/>
    <s v="10780161"/>
    <s v="20780161"/>
    <x v="35"/>
    <s v="BCC CHEESE BURRATA 6x250G"/>
    <n v="15"/>
    <n v="0"/>
    <n v="0"/>
    <n v="0"/>
    <m/>
    <m/>
    <n v="0"/>
    <n v="0"/>
    <n v="0"/>
    <n v="172.2"/>
    <n v="0"/>
    <n v="15"/>
    <n v="0"/>
    <n v="0"/>
    <x v="0"/>
    <s v="CANNING &amp; CORNWALLIS VALUFOODS"/>
    <m/>
    <n v="561"/>
    <d v="2026-01-23T00:00:00"/>
    <m/>
  </r>
  <r>
    <s v="3052502"/>
    <n v="60"/>
    <s v="ATIND"/>
    <s v="ZORA"/>
    <d v="2026-01-20T00:00:00"/>
    <s v="C"/>
    <s v="A"/>
    <s v="10780161"/>
    <s v="20780161"/>
    <x v="36"/>
    <s v="BCC CHEESE MINI BUFFALO BOCCONCINI"/>
    <n v="30"/>
    <n v="0"/>
    <n v="0"/>
    <n v="0"/>
    <m/>
    <m/>
    <n v="0"/>
    <n v="0"/>
    <n v="0"/>
    <n v="322.8"/>
    <n v="0"/>
    <n v="30"/>
    <n v="0"/>
    <n v="0"/>
    <x v="0"/>
    <s v="CANNING &amp; CORNWALLIS VALUFOODS"/>
    <m/>
    <n v="1049.4000000000001"/>
    <d v="2026-01-23T00:00:00"/>
    <m/>
  </r>
  <r>
    <s v="3052502"/>
    <n v="70"/>
    <s v="ATIND"/>
    <s v="ZORA"/>
    <d v="2026-01-20T00:00:00"/>
    <s v="C"/>
    <s v="A"/>
    <s v="10780161"/>
    <s v="20780161"/>
    <x v="33"/>
    <s v="BCC  CHEESE BUFFALO MOZZARELLA"/>
    <n v="20"/>
    <n v="0"/>
    <n v="0"/>
    <n v="0"/>
    <m/>
    <m/>
    <n v="0"/>
    <n v="0"/>
    <n v="0"/>
    <n v="204.8"/>
    <n v="0"/>
    <n v="20"/>
    <n v="0"/>
    <n v="0"/>
    <x v="0"/>
    <s v="CANNING &amp; CORNWALLIS VALUFOODS"/>
    <m/>
    <n v="662"/>
    <d v="2026-01-23T00:00:00"/>
    <m/>
  </r>
  <r>
    <s v="3053715"/>
    <n v="20"/>
    <s v="BCIND"/>
    <s v="ZORA"/>
    <d v="2026-01-26T00:00:00"/>
    <s v="C"/>
    <s v="A"/>
    <s v="10062506"/>
    <s v="20062506"/>
    <x v="38"/>
    <s v="OKA CHEESE SWIS SMKD 1X4.5KG"/>
    <n v="1"/>
    <n v="0"/>
    <n v="0"/>
    <n v="0"/>
    <m/>
    <m/>
    <n v="0"/>
    <n v="0"/>
    <n v="0"/>
    <n v="13.5"/>
    <n v="0"/>
    <n v="1"/>
    <n v="4.5"/>
    <n v="0"/>
    <x v="1"/>
    <s v="LO-BOY MARKET          CLEARANCE"/>
    <m/>
    <n v="135.27000000000001"/>
    <d v="2026-01-28T00:00:00"/>
    <m/>
  </r>
  <r>
    <s v="3053715"/>
    <n v="30"/>
    <s v="BCIND"/>
    <s v="ZORA"/>
    <d v="2026-01-26T00:00:00"/>
    <s v="C"/>
    <s v="A"/>
    <s v="10062506"/>
    <s v="20062506"/>
    <x v="39"/>
    <s v="OKA CHEESE LIGHT 1X2.5KG"/>
    <n v="2"/>
    <n v="0"/>
    <n v="0"/>
    <n v="0"/>
    <m/>
    <m/>
    <n v="0"/>
    <n v="0"/>
    <n v="0"/>
    <n v="15"/>
    <n v="0"/>
    <n v="2"/>
    <n v="5"/>
    <n v="0"/>
    <x v="1"/>
    <s v="LO-BOY MARKET          CLEARANCE"/>
    <m/>
    <n v="133.75"/>
    <d v="2026-01-28T00:00:00"/>
    <m/>
  </r>
  <r>
    <s v="3053717"/>
    <n v="20"/>
    <s v="BCIND"/>
    <s v="ZORA"/>
    <d v="2026-01-26T00:00:00"/>
    <s v="C"/>
    <s v="A"/>
    <s v="10062506"/>
    <s v="20062506"/>
    <x v="40"/>
    <s v="AGROSGN BRIE CHEVALR TC 650G"/>
    <n v="24"/>
    <n v="0"/>
    <n v="0"/>
    <n v="0"/>
    <m/>
    <m/>
    <n v="0"/>
    <n v="0"/>
    <n v="0"/>
    <n v="413.09"/>
    <n v="0"/>
    <n v="24"/>
    <n v="62.4"/>
    <n v="0"/>
    <x v="2"/>
    <s v="LO-BOY MARKET          CLEARANCE"/>
    <m/>
    <n v="1717.25"/>
    <d v="2026-01-28T00:00:00"/>
    <m/>
  </r>
  <r>
    <s v="3053717"/>
    <n v="40"/>
    <s v="BCIND"/>
    <s v="ZORA"/>
    <d v="2026-01-26T00:00:00"/>
    <s v="C"/>
    <s v="A"/>
    <s v="10062506"/>
    <s v="20062506"/>
    <x v="41"/>
    <s v="OKA CHEESE ORIGINAL 1X2.5KG"/>
    <n v="5"/>
    <n v="0"/>
    <n v="0"/>
    <n v="0"/>
    <m/>
    <m/>
    <n v="0"/>
    <n v="0"/>
    <n v="0"/>
    <n v="83.13"/>
    <n v="0"/>
    <n v="5"/>
    <n v="12.5"/>
    <n v="0"/>
    <x v="2"/>
    <s v="LO-BOY MARKET          CLEARANCE"/>
    <m/>
    <n v="352.5"/>
    <d v="2026-01-28T00:00:00"/>
    <m/>
  </r>
  <r>
    <s v="3053717"/>
    <n v="80"/>
    <s v="BCIND"/>
    <s v="ZORA"/>
    <d v="2026-01-26T00:00:00"/>
    <s v="C"/>
    <s v="A"/>
    <s v="10062506"/>
    <s v="20062506"/>
    <x v="42"/>
    <s v="SABANA QUESO FRESCO"/>
    <n v="10"/>
    <n v="0"/>
    <n v="0"/>
    <n v="0"/>
    <m/>
    <m/>
    <n v="0"/>
    <n v="0"/>
    <n v="0"/>
    <n v="129.19999999999999"/>
    <n v="0"/>
    <n v="10"/>
    <n v="0"/>
    <n v="0"/>
    <x v="2"/>
    <s v="LO-BOY MARKET          CLEARANCE"/>
    <m/>
    <n v="393"/>
    <d v="2026-01-28T00:00:00"/>
    <m/>
  </r>
  <r>
    <s v="3053717"/>
    <n v="170"/>
    <s v="BCIND"/>
    <s v="ZORA"/>
    <d v="2026-01-26T00:00:00"/>
    <s v="C"/>
    <s v="A"/>
    <s v="10062506"/>
    <s v="20062506"/>
    <x v="2"/>
    <s v="SOH PRETZELS MINI"/>
    <n v="8"/>
    <n v="0"/>
    <n v="0"/>
    <n v="0"/>
    <m/>
    <m/>
    <n v="0"/>
    <n v="0"/>
    <n v="0"/>
    <n v="56"/>
    <n v="0"/>
    <n v="8"/>
    <n v="0"/>
    <n v="0"/>
    <x v="2"/>
    <s v="LO-BOY MARKET          CLEARANCE"/>
    <m/>
    <n v="207.2"/>
    <d v="2026-01-28T00:00:00"/>
    <m/>
  </r>
  <r>
    <s v="3053717"/>
    <n v="190"/>
    <s v="BCIND"/>
    <s v="ZORA"/>
    <d v="2026-01-26T00:00:00"/>
    <s v="C"/>
    <s v="A"/>
    <s v="10062506"/>
    <s v="20062506"/>
    <x v="18"/>
    <s v="LBS POSH PRALINE ALMD 45G"/>
    <n v="2"/>
    <n v="0"/>
    <n v="0"/>
    <n v="0"/>
    <m/>
    <m/>
    <n v="0"/>
    <n v="0"/>
    <n v="0"/>
    <n v="10"/>
    <n v="0"/>
    <n v="2"/>
    <n v="0"/>
    <n v="0"/>
    <x v="2"/>
    <s v="LO-BOY MARKET          CLEARANCE"/>
    <m/>
    <n v="65.66"/>
    <d v="2026-01-28T00:00:00"/>
    <m/>
  </r>
  <r>
    <s v="3053745"/>
    <n v="130"/>
    <s v="ONIND"/>
    <s v="ZORA"/>
    <d v="2026-01-27T00:00:00"/>
    <s v="C"/>
    <s v="A"/>
    <s v="10125105"/>
    <s v="20125105"/>
    <x v="38"/>
    <s v="OKA CHEESE SWIS SMKD 1X4.5KG"/>
    <n v="6"/>
    <n v="0"/>
    <n v="0"/>
    <n v="0"/>
    <m/>
    <m/>
    <n v="0"/>
    <n v="0"/>
    <n v="0"/>
    <n v="195.48"/>
    <n v="0"/>
    <n v="6"/>
    <n v="27"/>
    <n v="0"/>
    <x v="0"/>
    <s v="ELLIOT LAKE MEATS AND DELI"/>
    <m/>
    <n v="788.13"/>
    <d v="2026-02-02T00:00:00"/>
    <m/>
  </r>
  <r>
    <s v="3054147"/>
    <n v="90"/>
    <s v="BCIND"/>
    <s v="ZORA"/>
    <d v="2026-01-28T00:00:00"/>
    <s v="C"/>
    <s v="A"/>
    <s v="10062506"/>
    <s v="20062506"/>
    <x v="43"/>
    <s v="SOH PRETZEL PIECE BUFFALO"/>
    <n v="21"/>
    <n v="0"/>
    <n v="0"/>
    <n v="0"/>
    <m/>
    <m/>
    <n v="0"/>
    <n v="0"/>
    <n v="0"/>
    <n v="126"/>
    <n v="0"/>
    <n v="21"/>
    <n v="0"/>
    <n v="0"/>
    <x v="2"/>
    <s v="LO-BOY MARKET          CLEARANCE"/>
    <m/>
    <n v="541.16999999999996"/>
    <d v="2026-01-30T00:00:00"/>
    <m/>
  </r>
  <r>
    <s v="3054785"/>
    <n v="60"/>
    <s v="ONIND"/>
    <s v="ZORA"/>
    <d v="2026-02-02T00:00:00"/>
    <s v="C"/>
    <s v="A"/>
    <s v="10159306"/>
    <s v="20159306"/>
    <x v="29"/>
    <s v="AGROSGN BRIE DBL CREAM 170G"/>
    <n v="9"/>
    <n v="0"/>
    <n v="0"/>
    <n v="0"/>
    <m/>
    <m/>
    <n v="0"/>
    <n v="0"/>
    <n v="0"/>
    <n v="90"/>
    <n v="0"/>
    <n v="9"/>
    <n v="0"/>
    <n v="0"/>
    <x v="0"/>
    <s v="ZARKY'S FINE FOODS"/>
    <m/>
    <n v="355.59"/>
    <d v="2026-02-03T00:00:00"/>
    <m/>
  </r>
  <r>
    <s v="3054962"/>
    <n v="30"/>
    <s v="ONIND"/>
    <s v="ZORA"/>
    <d v="2026-02-02T00:00:00"/>
    <s v="C"/>
    <s v="A"/>
    <s v="10117854"/>
    <s v="20117854"/>
    <x v="29"/>
    <s v="AGROSGN BRIE DBL CREAM 170G"/>
    <n v="9"/>
    <n v="0"/>
    <n v="0"/>
    <n v="0"/>
    <m/>
    <m/>
    <n v="0"/>
    <n v="0"/>
    <n v="0"/>
    <n v="90"/>
    <n v="0"/>
    <n v="9"/>
    <n v="0"/>
    <n v="0"/>
    <x v="0"/>
    <s v="MENDEL'S GLOBAL CHEESE (ONLY)"/>
    <m/>
    <n v="355.59"/>
    <d v="2026-02-04T00:00:00"/>
    <m/>
  </r>
  <r>
    <s v="3054982"/>
    <n v="100"/>
    <s v="ATIND"/>
    <s v="ZORA"/>
    <d v="2026-02-02T00:00:00"/>
    <s v="C"/>
    <s v="A"/>
    <s v="10780161"/>
    <s v="20780161"/>
    <x v="29"/>
    <s v="AGROSGN BRIE DBL CREAM 170G"/>
    <n v="8"/>
    <n v="0"/>
    <n v="0"/>
    <n v="0"/>
    <m/>
    <m/>
    <n v="0"/>
    <n v="0"/>
    <n v="0"/>
    <n v="80"/>
    <n v="0"/>
    <n v="8"/>
    <n v="0"/>
    <n v="0"/>
    <x v="0"/>
    <s v="CANNING &amp; CORNWALLIS VALUFOODS"/>
    <m/>
    <n v="316.08"/>
    <d v="2026-02-06T00:00:00"/>
    <m/>
  </r>
  <r>
    <s v="3055442"/>
    <n v="40"/>
    <s v="LIQID"/>
    <s v="ZORA"/>
    <d v="2026-02-04T00:00:00"/>
    <s v="C"/>
    <s v="A"/>
    <s v="10123006"/>
    <s v="21000245"/>
    <x v="29"/>
    <s v="AGROSGN BRIE DBL CREAM 170G"/>
    <n v="9"/>
    <n v="0"/>
    <n v="0"/>
    <n v="0"/>
    <m/>
    <m/>
    <n v="0"/>
    <n v="0"/>
    <n v="0"/>
    <n v="90"/>
    <n v="0"/>
    <n v="9"/>
    <n v="0"/>
    <n v="0"/>
    <x v="0"/>
    <s v="NUTRI-GLOBE MARKETING"/>
    <m/>
    <n v="355.59"/>
    <d v="2026-02-06T00:00:00"/>
    <m/>
  </r>
  <r>
    <s v="3055442"/>
    <n v="100"/>
    <s v="LIQID"/>
    <s v="ZORA"/>
    <d v="2026-02-04T00:00:00"/>
    <s v="C"/>
    <s v="A"/>
    <s v="10123006"/>
    <s v="21000245"/>
    <x v="29"/>
    <s v="AGROSGN BRIE DBL CREAM 170G"/>
    <n v="9"/>
    <n v="0"/>
    <n v="0"/>
    <n v="0"/>
    <m/>
    <m/>
    <n v="0"/>
    <n v="0"/>
    <n v="0"/>
    <n v="90"/>
    <n v="0"/>
    <n v="9"/>
    <n v="0"/>
    <n v="0"/>
    <x v="0"/>
    <s v="NUTRI-GLOBE MARKETING"/>
    <m/>
    <n v="355.59"/>
    <d v="2026-02-06T00:00:00"/>
    <m/>
  </r>
  <r>
    <s v="3056334"/>
    <n v="50"/>
    <s v="ONIND"/>
    <s v="ZORA"/>
    <d v="2026-02-09T00:00:00"/>
    <s v="C"/>
    <s v="A"/>
    <s v="10159306"/>
    <s v="20159306"/>
    <x v="5"/>
    <s v="BEL BOUR 150G GARLIC &amp; HERB"/>
    <n v="116"/>
    <n v="0"/>
    <n v="0"/>
    <n v="0"/>
    <m/>
    <m/>
    <n v="0"/>
    <n v="0"/>
    <n v="0"/>
    <n v="2061.3200000000002"/>
    <n v="0"/>
    <n v="116"/>
    <n v="0"/>
    <n v="0"/>
    <x v="0"/>
    <s v="ZARKY'S FINE FOODS"/>
    <m/>
    <n v="5809.28"/>
    <d v="2026-02-11T00:00:00"/>
    <m/>
  </r>
  <r>
    <s v="3056403"/>
    <n v="30"/>
    <s v="ONIND"/>
    <s v="ZORA"/>
    <d v="2026-02-09T00:00:00"/>
    <m/>
    <s v="A"/>
    <s v="10117854"/>
    <s v="20117854"/>
    <x v="6"/>
    <s v="CLAWSON HUNTSMN 5 LAY BULK 2X2KG"/>
    <n v="28"/>
    <n v="0"/>
    <n v="0"/>
    <n v="0"/>
    <m/>
    <m/>
    <n v="0"/>
    <n v="0"/>
    <n v="0"/>
    <n v="1237.5999999999999"/>
    <n v="0"/>
    <n v="28"/>
    <n v="112"/>
    <n v="0"/>
    <x v="0"/>
    <s v="MENDEL'S GLOBAL CHEESE (ONLY)"/>
    <m/>
    <n v="2736.16"/>
    <d v="2026-02-11T00:00:00"/>
    <m/>
  </r>
  <r>
    <s v="3056411"/>
    <n v="70"/>
    <s v="ATIND"/>
    <s v="ZORA"/>
    <d v="2026-02-09T00:00:00"/>
    <s v="C"/>
    <s v="A"/>
    <s v="10780161"/>
    <s v="20780161"/>
    <x v="5"/>
    <s v="BEL BOUR 150G GARLIC &amp; HERB"/>
    <n v="50"/>
    <n v="0"/>
    <n v="0"/>
    <n v="0"/>
    <m/>
    <m/>
    <n v="0"/>
    <n v="0"/>
    <n v="0"/>
    <n v="888.5"/>
    <n v="0"/>
    <n v="50"/>
    <n v="0"/>
    <n v="0"/>
    <x v="0"/>
    <s v="CANNING &amp; CORNWALLIS VALUFOODS"/>
    <m/>
    <n v="2504"/>
    <d v="2026-02-17T00:00:00"/>
    <m/>
  </r>
  <r>
    <s v="3056435"/>
    <n v="20"/>
    <s v="LIQID"/>
    <s v="ZORA"/>
    <d v="2026-02-09T00:00:00"/>
    <s v="C"/>
    <s v="A"/>
    <s v="10123006"/>
    <s v="21000245"/>
    <x v="5"/>
    <s v="BEL BOUR 150G GARLIC &amp; HERB"/>
    <n v="50"/>
    <n v="0"/>
    <n v="0"/>
    <n v="0"/>
    <m/>
    <m/>
    <n v="0"/>
    <n v="0"/>
    <n v="0"/>
    <n v="888.5"/>
    <n v="0"/>
    <n v="50"/>
    <n v="0"/>
    <n v="0"/>
    <x v="0"/>
    <s v="NUTRI-GLOBE MARKETING"/>
    <m/>
    <n v="2504"/>
    <d v="2026-02-12T00:00:00"/>
    <m/>
  </r>
  <r>
    <s v="3056492"/>
    <n v="30"/>
    <s v="ONIND"/>
    <s v="ZORA"/>
    <d v="2026-02-10T00:00:00"/>
    <m/>
    <s v="A"/>
    <s v="10110520"/>
    <s v="20110520"/>
    <x v="38"/>
    <s v="OKA CHEESE SWIS SMKD 1X4.5KG"/>
    <n v="5"/>
    <n v="0"/>
    <n v="0"/>
    <n v="0"/>
    <m/>
    <m/>
    <n v="0"/>
    <n v="0"/>
    <n v="0"/>
    <n v="167.18"/>
    <n v="0"/>
    <n v="5"/>
    <n v="22.5"/>
    <n v="0"/>
    <x v="0"/>
    <s v="LADY YORK"/>
    <m/>
    <n v="486.68"/>
    <d v="2026-02-12T00:00:00"/>
    <m/>
  </r>
  <r>
    <s v="3056492"/>
    <n v="40"/>
    <s v="ONIND"/>
    <s v="ZORA"/>
    <d v="2026-02-10T00:00:00"/>
    <m/>
    <s v="A"/>
    <s v="10110520"/>
    <s v="20110520"/>
    <x v="6"/>
    <s v="CLAWSON HUNTSMN 5 LAY BULK 2X2KG"/>
    <n v="28"/>
    <n v="0"/>
    <n v="0"/>
    <n v="0"/>
    <m/>
    <m/>
    <n v="0"/>
    <n v="0"/>
    <n v="0"/>
    <n v="1237.5999999999999"/>
    <n v="0"/>
    <n v="28"/>
    <n v="112"/>
    <n v="0"/>
    <x v="0"/>
    <s v="LADY YORK"/>
    <m/>
    <n v="2736.16"/>
    <d v="2026-02-12T00:00:00"/>
    <m/>
  </r>
  <r>
    <s v="3056507"/>
    <n v="20"/>
    <s v="ATIND"/>
    <s v="ZORA"/>
    <d v="2026-02-10T00:00:00"/>
    <s v="C"/>
    <s v="A"/>
    <s v="10125620"/>
    <s v="20125620"/>
    <x v="6"/>
    <s v="CLAWSON HUNTSMN 5 LAY BULK 2X2KG"/>
    <n v="2"/>
    <n v="0"/>
    <n v="0"/>
    <n v="0"/>
    <m/>
    <m/>
    <n v="0"/>
    <n v="0"/>
    <n v="0"/>
    <n v="88.4"/>
    <n v="0"/>
    <n v="2"/>
    <n v="8"/>
    <n v="0"/>
    <x v="0"/>
    <s v="MASSTOWN CREAMERY LTD"/>
    <m/>
    <n v="195.44"/>
    <d v="2026-02-17T00:00:00"/>
    <m/>
  </r>
  <r>
    <s v="3056525"/>
    <n v="170"/>
    <s v="ONIND"/>
    <s v="ZORA"/>
    <d v="2026-02-10T00:00:00"/>
    <s v="C"/>
    <s v="A"/>
    <s v="10125105"/>
    <s v="20125105"/>
    <x v="5"/>
    <s v="BEL BOUR 150G GARLIC &amp; HERB"/>
    <n v="116"/>
    <n v="0"/>
    <n v="0"/>
    <n v="0"/>
    <m/>
    <m/>
    <n v="0"/>
    <n v="0"/>
    <n v="0"/>
    <n v="2061.3200000000002"/>
    <n v="0"/>
    <n v="116"/>
    <n v="0"/>
    <n v="0"/>
    <x v="0"/>
    <s v="ELLIOT LAKE MEATS AND DELI"/>
    <m/>
    <n v="5809.28"/>
    <d v="2026-02-17T00:00:00"/>
    <m/>
  </r>
  <r>
    <s v="3056729"/>
    <n v="100"/>
    <s v="BCIND"/>
    <s v="ZORA"/>
    <d v="2026-02-10T00:00:00"/>
    <s v="C"/>
    <s v="A"/>
    <s v="10001663"/>
    <s v="20001663"/>
    <x v="44"/>
    <s v="KC HONEY DIJON 56G GF"/>
    <n v="8"/>
    <n v="0"/>
    <n v="0"/>
    <n v="0"/>
    <m/>
    <m/>
    <n v="0"/>
    <n v="0"/>
    <n v="0"/>
    <n v="53.28"/>
    <n v="0"/>
    <n v="8"/>
    <n v="0"/>
    <n v="0"/>
    <x v="1"/>
    <s v="FALCON ESSENTIALS"/>
    <m/>
    <n v="197.84"/>
    <d v="2026-02-13T00:00:00"/>
    <m/>
  </r>
  <r>
    <s v="3058318"/>
    <n v="160"/>
    <s v="LIQID"/>
    <s v="ZORA"/>
    <d v="2026-02-18T00:00:00"/>
    <s v="C"/>
    <s v="A"/>
    <s v="10123006"/>
    <s v="21000245"/>
    <x v="45"/>
    <s v="BEL BOUR 150G CRACKD BLK PEP"/>
    <n v="28"/>
    <n v="0"/>
    <n v="0"/>
    <n v="0"/>
    <m/>
    <m/>
    <n v="0"/>
    <n v="0"/>
    <n v="0"/>
    <n v="248.92"/>
    <n v="0"/>
    <n v="28"/>
    <n v="0"/>
    <n v="0"/>
    <x v="0"/>
    <s v="NUTRI-GLOBE MARKETING"/>
    <m/>
    <n v="704.76"/>
    <d v="2026-02-20T00:00:00"/>
    <m/>
  </r>
  <r>
    <s v="3058545"/>
    <n v="40"/>
    <s v="ATIND"/>
    <s v="ZORA"/>
    <d v="2026-02-19T00:00:00"/>
    <s v="C"/>
    <s v="A"/>
    <s v="10125176"/>
    <s v="20125176"/>
    <x v="40"/>
    <s v="AGROSGN BRIE CHEVALR TC 650G"/>
    <n v="2"/>
    <n v="0"/>
    <n v="0"/>
    <n v="0"/>
    <m/>
    <m/>
    <n v="0"/>
    <n v="0"/>
    <n v="0"/>
    <n v="35.409999999999997"/>
    <n v="0"/>
    <n v="2"/>
    <n v="5.2"/>
    <n v="0"/>
    <x v="0"/>
    <s v="G&amp;J GROCERY LTD"/>
    <m/>
    <n v="142.58000000000001"/>
    <d v="2026-02-24T00:00:00"/>
    <m/>
  </r>
  <r>
    <s v="3058752"/>
    <n v="200"/>
    <s v="BCIND"/>
    <s v="ZORA"/>
    <d v="2026-02-20T00:00:00"/>
    <s v="C"/>
    <s v="A"/>
    <s v="10062506"/>
    <s v="20062506"/>
    <x v="46"/>
    <s v="BC 540G OLD CHEDDAR CHEESE"/>
    <n v="8"/>
    <n v="0"/>
    <n v="0"/>
    <n v="0"/>
    <m/>
    <m/>
    <n v="0"/>
    <n v="0"/>
    <n v="0"/>
    <n v="160"/>
    <n v="0"/>
    <n v="8"/>
    <n v="0"/>
    <n v="0"/>
    <x v="2"/>
    <s v="LO-BOY MARKET          CLEARANCE"/>
    <m/>
    <n v="938.88"/>
    <d v="2026-02-24T00:00:00"/>
    <m/>
  </r>
  <r>
    <s v="3059050"/>
    <n v="10"/>
    <s v="PRIND"/>
    <s v="ZORA"/>
    <d v="2026-02-23T00:00:00"/>
    <s v="C"/>
    <s v="A"/>
    <s v="13000090"/>
    <s v="21000165"/>
    <x v="47"/>
    <s v="G.H. POPCORN CARAMEL 227G"/>
    <n v="20"/>
    <n v="0"/>
    <n v="0"/>
    <n v="0"/>
    <m/>
    <m/>
    <n v="0"/>
    <n v="0"/>
    <n v="0"/>
    <n v="259.60000000000002"/>
    <n v="0"/>
    <n v="20"/>
    <n v="0"/>
    <n v="0"/>
    <x v="2"/>
    <s v="Liquidation Warehouse"/>
    <m/>
    <n v="819"/>
    <d v="2026-02-26T00:00:00"/>
    <m/>
  </r>
  <r>
    <s v="3059246"/>
    <n v="10"/>
    <s v="ATIND"/>
    <s v="ZORA"/>
    <d v="2026-02-24T00:00:00"/>
    <s v="C"/>
    <s v="A"/>
    <s v="13000158"/>
    <s v="21000254"/>
    <x v="38"/>
    <s v="OKA CHEESE SWIS SMKD 1X4.5KG"/>
    <n v="20"/>
    <n v="0"/>
    <n v="0"/>
    <n v="0"/>
    <m/>
    <m/>
    <n v="0"/>
    <n v="0"/>
    <n v="0"/>
    <n v="668.7"/>
    <n v="0"/>
    <n v="20"/>
    <n v="90"/>
    <n v="0"/>
    <x v="0"/>
    <s v="MULHOUSE FINE FOODS"/>
    <m/>
    <n v="2009.7"/>
    <d v="2026-03-02T00:00:00"/>
    <m/>
  </r>
  <r>
    <s v="3059261"/>
    <n v="10"/>
    <s v="ONIND"/>
    <s v="ZORA"/>
    <d v="2026-02-24T00:00:00"/>
    <s v="C"/>
    <s v="A"/>
    <s v="10125105"/>
    <s v="20125105"/>
    <x v="38"/>
    <s v="OKA CHEESE SWIS SMKD 1X4.5KG"/>
    <n v="20"/>
    <n v="0"/>
    <n v="0"/>
    <n v="0"/>
    <m/>
    <m/>
    <n v="0"/>
    <n v="0"/>
    <n v="0"/>
    <n v="668.7"/>
    <n v="0"/>
    <n v="20"/>
    <n v="90"/>
    <n v="0"/>
    <x v="0"/>
    <s v="ELLIOT LAKE MEATS AND DELI"/>
    <m/>
    <n v="2009.7"/>
    <d v="2026-03-02T00:00:00"/>
    <m/>
  </r>
  <r>
    <s v="3059261"/>
    <n v="130"/>
    <s v="ONIND"/>
    <s v="ZORA"/>
    <d v="2026-02-24T00:00:00"/>
    <s v="C"/>
    <s v="A"/>
    <s v="10125105"/>
    <s v="20125105"/>
    <x v="48"/>
    <s v="KC AIR FRIED TEXAS BBQ GF"/>
    <n v="2"/>
    <n v="0"/>
    <n v="0"/>
    <n v="0"/>
    <m/>
    <m/>
    <n v="0"/>
    <n v="0"/>
    <n v="0"/>
    <n v="16"/>
    <n v="0"/>
    <n v="2"/>
    <n v="0"/>
    <n v="0"/>
    <x v="0"/>
    <s v="ELLIOT LAKE MEATS AND DELI"/>
    <m/>
    <n v="56.38"/>
    <d v="2026-03-02T00:00:00"/>
    <m/>
  </r>
  <r>
    <s v="3059261"/>
    <n v="170"/>
    <s v="ONIND"/>
    <s v="ZORA"/>
    <d v="2026-02-24T00:00:00"/>
    <s v="C"/>
    <s v="A"/>
    <s v="10125105"/>
    <s v="20125105"/>
    <x v="49"/>
    <s v="SOH PRETZEL PIECE CHEDDAR"/>
    <n v="25"/>
    <n v="0"/>
    <n v="0"/>
    <n v="0"/>
    <m/>
    <m/>
    <n v="0"/>
    <n v="0"/>
    <n v="0"/>
    <n v="200"/>
    <n v="0"/>
    <n v="25"/>
    <n v="0"/>
    <n v="0"/>
    <x v="0"/>
    <s v="ELLIOT LAKE MEATS AND DELI"/>
    <m/>
    <n v="666.25"/>
    <d v="2026-03-02T00:00:00"/>
    <m/>
  </r>
  <r>
    <s v="3059261"/>
    <n v="210"/>
    <s v="ONIND"/>
    <s v="ZORA"/>
    <d v="2026-02-24T00:00:00"/>
    <s v="C"/>
    <s v="A"/>
    <s v="10125105"/>
    <s v="20125105"/>
    <x v="50"/>
    <s v="BEL BOUR 150GR SHAL &amp; CHIVES"/>
    <n v="39"/>
    <n v="0"/>
    <n v="0"/>
    <n v="0"/>
    <m/>
    <m/>
    <n v="0"/>
    <n v="0"/>
    <n v="0"/>
    <n v="346.71"/>
    <n v="0"/>
    <n v="39"/>
    <n v="0"/>
    <n v="0"/>
    <x v="0"/>
    <s v="ELLIOT LAKE MEATS AND DELI"/>
    <m/>
    <n v="959.79"/>
    <d v="2026-03-02T00:00:00"/>
    <m/>
  </r>
  <r>
    <s v="3059269"/>
    <n v="10"/>
    <s v="ONIND"/>
    <s v="ZORA"/>
    <d v="2026-02-24T00:00:00"/>
    <s v="C"/>
    <s v="A"/>
    <s v="10300060"/>
    <s v="20300060"/>
    <x v="38"/>
    <s v="OKA CHEESE SWIS SMKD 1X4.5KG"/>
    <n v="20"/>
    <n v="0"/>
    <n v="0"/>
    <n v="0"/>
    <m/>
    <m/>
    <n v="0"/>
    <n v="0"/>
    <n v="0"/>
    <n v="270"/>
    <n v="0"/>
    <n v="20"/>
    <n v="90"/>
    <n v="0"/>
    <x v="0"/>
    <s v="JOE'S FOOD DISTRIBUTORS"/>
    <m/>
    <n v="2009.7"/>
    <d v="2026-02-25T00:00:00"/>
    <m/>
  </r>
  <r>
    <s v="3059269"/>
    <n v="90"/>
    <s v="ONIND"/>
    <s v="ZORA"/>
    <d v="2026-02-24T00:00:00"/>
    <s v="C"/>
    <s v="A"/>
    <s v="10300060"/>
    <s v="20300060"/>
    <x v="51"/>
    <s v="RUS GENOA SALAMI HOT"/>
    <n v="127"/>
    <n v="0"/>
    <n v="0"/>
    <n v="0"/>
    <m/>
    <m/>
    <n v="0"/>
    <n v="0"/>
    <n v="0"/>
    <n v="4579.62"/>
    <n v="0"/>
    <n v="127"/>
    <n v="762"/>
    <n v="0"/>
    <x v="0"/>
    <s v="JOE'S FOOD DISTRIBUTORS"/>
    <m/>
    <n v="10721.34"/>
    <d v="2026-02-25T00:00:00"/>
    <m/>
  </r>
  <r>
    <s v="3059272"/>
    <n v="40"/>
    <s v="ONIND"/>
    <s v="ZORA"/>
    <d v="2026-02-24T00:00:00"/>
    <s v="C"/>
    <s v="A"/>
    <s v="10130665"/>
    <s v="20130665"/>
    <x v="51"/>
    <s v="RUS GENOA SALAMI HOT"/>
    <n v="10"/>
    <n v="0"/>
    <n v="0"/>
    <n v="0"/>
    <m/>
    <m/>
    <n v="0"/>
    <n v="0"/>
    <n v="0"/>
    <n v="360.6"/>
    <n v="0"/>
    <n v="10"/>
    <n v="60"/>
    <n v="0"/>
    <x v="0"/>
    <s v="SCHEFFLERS MEAT (CHEESE)"/>
    <m/>
    <n v="844.2"/>
    <d v="2026-02-25T00:00:00"/>
    <m/>
  </r>
  <r>
    <s v="3059353"/>
    <n v="10"/>
    <s v="ATIND"/>
    <s v="ZORA"/>
    <d v="2026-02-24T00:00:00"/>
    <s v="C"/>
    <s v="A"/>
    <s v="10780161"/>
    <s v="20780161"/>
    <x v="38"/>
    <s v="OKA CHEESE SWIS SMKD 1X4.5KG"/>
    <n v="20"/>
    <n v="0"/>
    <n v="0"/>
    <n v="0"/>
    <m/>
    <m/>
    <n v="0"/>
    <n v="0"/>
    <n v="0"/>
    <n v="668.7"/>
    <n v="0"/>
    <n v="20"/>
    <n v="90"/>
    <n v="0"/>
    <x v="0"/>
    <s v="CANNING &amp; CORNWALLIS VALUFOODS"/>
    <m/>
    <n v="2009.7"/>
    <d v="2026-03-03T00:00:00"/>
    <m/>
  </r>
  <r>
    <s v="3059353"/>
    <n v="170"/>
    <s v="ATIND"/>
    <s v="ZORA"/>
    <d v="2026-02-24T00:00:00"/>
    <s v="C"/>
    <s v="A"/>
    <s v="10780161"/>
    <s v="20780161"/>
    <x v="40"/>
    <s v="AGROSGN BRIE CHEVALR TC 650G"/>
    <n v="2"/>
    <n v="0"/>
    <n v="0"/>
    <n v="0"/>
    <m/>
    <m/>
    <n v="0"/>
    <n v="0"/>
    <n v="0"/>
    <n v="35.409999999999997"/>
    <n v="0"/>
    <n v="2"/>
    <n v="5.2"/>
    <n v="0"/>
    <x v="0"/>
    <s v="CANNING &amp; CORNWALLIS VALUFOODS"/>
    <m/>
    <n v="142.58000000000001"/>
    <d v="2026-03-03T00:00:00"/>
    <m/>
  </r>
  <r>
    <s v="3059353"/>
    <n v="200"/>
    <s v="ATIND"/>
    <s v="ZORA"/>
    <d v="2026-02-24T00:00:00"/>
    <s v="C"/>
    <s v="A"/>
    <s v="10780161"/>
    <s v="20780161"/>
    <x v="33"/>
    <s v="BCC  CHEESE BUFFALO MOZZARELLA"/>
    <n v="10"/>
    <n v="0"/>
    <n v="0"/>
    <n v="0"/>
    <m/>
    <m/>
    <n v="0"/>
    <n v="0"/>
    <n v="0"/>
    <n v="102.4"/>
    <n v="0"/>
    <n v="10"/>
    <n v="0"/>
    <n v="0"/>
    <x v="0"/>
    <s v="CANNING &amp; CORNWALLIS VALUFOODS"/>
    <m/>
    <n v="331"/>
    <d v="2026-03-03T00:00:00"/>
    <m/>
  </r>
  <r>
    <s v="3059353"/>
    <n v="350"/>
    <s v="ATIND"/>
    <s v="ZORA"/>
    <d v="2026-02-24T00:00:00"/>
    <s v="C"/>
    <s v="A"/>
    <s v="10780161"/>
    <s v="20780161"/>
    <x v="50"/>
    <s v="BEL BOUR 150GR SHAL &amp; CHIVES"/>
    <n v="20"/>
    <n v="0"/>
    <n v="0"/>
    <n v="0"/>
    <m/>
    <m/>
    <n v="0"/>
    <n v="0"/>
    <n v="0"/>
    <n v="177.8"/>
    <n v="0"/>
    <n v="20"/>
    <n v="0"/>
    <n v="0"/>
    <x v="0"/>
    <s v="CANNING &amp; CORNWALLIS VALUFOODS"/>
    <m/>
    <n v="492.2"/>
    <d v="2026-03-03T00:00:00"/>
    <m/>
  </r>
  <r>
    <s v="3059864"/>
    <n v="40"/>
    <s v="LIQID"/>
    <s v="ZORA"/>
    <d v="2026-02-26T00:00:00"/>
    <s v="C"/>
    <s v="A"/>
    <s v="10123006"/>
    <s v="20000913"/>
    <x v="52"/>
    <s v="SHARWOODS CHUTNEY MANGO FS"/>
    <n v="29"/>
    <n v="0"/>
    <n v="0"/>
    <n v="0"/>
    <m/>
    <m/>
    <n v="0"/>
    <n v="0"/>
    <n v="0"/>
    <n v="58"/>
    <n v="0"/>
    <n v="29"/>
    <n v="0"/>
    <n v="0"/>
    <x v="1"/>
    <s v="NUTRI-GLOBE-P/U FR SURREY BRANCH"/>
    <m/>
    <n v="1121.1400000000001"/>
    <d v="2026-03-02T00:00:00"/>
    <m/>
  </r>
  <r>
    <s v="3060416"/>
    <n v="50"/>
    <s v="ATIND"/>
    <s v="ZORA"/>
    <d v="2026-03-02T00:00:00"/>
    <s v="C"/>
    <s v="A"/>
    <s v="10780161"/>
    <s v="20780161"/>
    <x v="38"/>
    <s v="OKA CHEESE SWIS SMKD 1X4.5KG"/>
    <n v="20"/>
    <n v="0"/>
    <n v="0"/>
    <n v="0"/>
    <m/>
    <m/>
    <n v="0"/>
    <n v="0"/>
    <n v="0"/>
    <n v="668.7"/>
    <n v="0"/>
    <n v="20"/>
    <n v="90"/>
    <n v="0"/>
    <x v="0"/>
    <s v="CANNING &amp; CORNWALLIS VALUFOODS"/>
    <m/>
    <n v="2069.1"/>
    <d v="2026-03-06T00:00:00"/>
    <m/>
  </r>
  <r>
    <s v="3060416"/>
    <n v="120"/>
    <s v="ATIND"/>
    <s v="ZORA"/>
    <d v="2026-03-02T00:00:00"/>
    <s v="C"/>
    <s v="A"/>
    <s v="10780161"/>
    <s v="20780161"/>
    <x v="5"/>
    <s v="BEL BOUR 150G GARLIC &amp; HERB"/>
    <n v="20"/>
    <n v="0"/>
    <n v="0"/>
    <n v="0"/>
    <m/>
    <m/>
    <n v="0"/>
    <n v="0"/>
    <n v="0"/>
    <n v="355.4"/>
    <n v="0"/>
    <n v="20"/>
    <n v="0"/>
    <n v="0"/>
    <x v="0"/>
    <s v="CANNING &amp; CORNWALLIS VALUFOODS"/>
    <m/>
    <n v="1021.8"/>
    <d v="2026-03-06T00:00:00"/>
    <m/>
  </r>
  <r>
    <s v="3060416"/>
    <n v="170"/>
    <s v="ATIND"/>
    <s v="ZORA"/>
    <d v="2026-03-02T00:00:00"/>
    <s v="C"/>
    <s v="A"/>
    <s v="10780161"/>
    <s v="20780161"/>
    <x v="36"/>
    <s v="BCC CHEESE MINI BUFFALO BOCCONCINI"/>
    <n v="5"/>
    <n v="0"/>
    <n v="0"/>
    <n v="0"/>
    <m/>
    <m/>
    <n v="0"/>
    <n v="0"/>
    <n v="0"/>
    <n v="53.8"/>
    <n v="0"/>
    <n v="5"/>
    <n v="0"/>
    <n v="0"/>
    <x v="0"/>
    <s v="CANNING &amp; CORNWALLIS VALUFOODS"/>
    <m/>
    <n v="174.9"/>
    <d v="2026-03-06T00:00:00"/>
    <m/>
  </r>
  <r>
    <s v="3060482"/>
    <n v="10"/>
    <s v="ATIND"/>
    <s v="ZORA"/>
    <d v="2026-03-02T00:00:00"/>
    <s v="C"/>
    <s v="A"/>
    <s v="10000813"/>
    <s v="20000813"/>
    <x v="38"/>
    <s v="OKA CHEESE SWIS SMKD 1X4.5KG"/>
    <n v="1"/>
    <n v="0"/>
    <n v="0"/>
    <n v="0"/>
    <m/>
    <m/>
    <n v="0"/>
    <n v="0"/>
    <n v="0"/>
    <n v="133.65"/>
    <n v="0"/>
    <n v="1"/>
    <n v="4.5"/>
    <n v="0"/>
    <x v="0"/>
    <s v="DOLMA FOOD"/>
    <m/>
    <n v="103.46"/>
    <d v="2026-03-06T00:00:00"/>
    <m/>
  </r>
  <r>
    <s v="3060501"/>
    <n v="30"/>
    <s v="LIQID"/>
    <s v="ZORA"/>
    <d v="2026-03-02T00:00:00"/>
    <s v="C"/>
    <s v="A"/>
    <s v="10123006"/>
    <s v="21000245"/>
    <x v="5"/>
    <s v="BEL BOUR 150G GARLIC &amp; HERB"/>
    <n v="86"/>
    <n v="0"/>
    <n v="0"/>
    <n v="0"/>
    <m/>
    <m/>
    <n v="0"/>
    <n v="0"/>
    <n v="0"/>
    <n v="1528.22"/>
    <n v="0"/>
    <n v="86"/>
    <n v="0"/>
    <n v="0"/>
    <x v="0"/>
    <s v="NUTRI-GLOBE MARKETING"/>
    <m/>
    <n v="4393.74"/>
    <d v="2026-03-05T00:00:00"/>
    <m/>
  </r>
  <r>
    <s v="3060501"/>
    <n v="90"/>
    <s v="LIQID"/>
    <s v="ZORA"/>
    <d v="2026-03-02T00:00:00"/>
    <s v="C"/>
    <s v="A"/>
    <s v="10123006"/>
    <s v="21000245"/>
    <x v="53"/>
    <s v="PC SHREDDED FIERY JACK STYLE"/>
    <n v="5"/>
    <n v="0"/>
    <n v="0"/>
    <n v="0"/>
    <m/>
    <m/>
    <n v="0"/>
    <n v="0"/>
    <n v="0"/>
    <n v="51.8"/>
    <n v="0"/>
    <n v="5"/>
    <n v="0"/>
    <n v="0"/>
    <x v="0"/>
    <s v="NUTRI-GLOBE MARKETING"/>
    <m/>
    <n v="150.4"/>
    <d v="2026-03-05T00:00:00"/>
    <m/>
  </r>
  <r>
    <s v="3060501"/>
    <n v="100"/>
    <s v="LIQID"/>
    <s v="ZORA"/>
    <d v="2026-03-02T00:00:00"/>
    <s v="C"/>
    <s v="A"/>
    <s v="10123006"/>
    <s v="21000245"/>
    <x v="53"/>
    <s v="PC SHREDDED FIERY JACK STYLE"/>
    <n v="17"/>
    <n v="0"/>
    <n v="0"/>
    <n v="0"/>
    <m/>
    <m/>
    <n v="0"/>
    <n v="0"/>
    <n v="0"/>
    <n v="176.12"/>
    <n v="0"/>
    <n v="17"/>
    <n v="0"/>
    <n v="0"/>
    <x v="0"/>
    <s v="NUTRI-GLOBE MARKETING"/>
    <m/>
    <n v="511.36"/>
    <d v="2026-03-05T00:00:00"/>
    <m/>
  </r>
  <r>
    <s v="3060691"/>
    <n v="120"/>
    <s v="LIQID"/>
    <s v="ZORA"/>
    <d v="2026-03-03T00:00:00"/>
    <s v="C"/>
    <s v="A"/>
    <s v="10150032"/>
    <s v="20150032"/>
    <x v="53"/>
    <s v="PC SHREDDED FIERY JACK STYLE"/>
    <n v="5"/>
    <n v="0"/>
    <n v="0"/>
    <n v="0"/>
    <m/>
    <m/>
    <n v="0"/>
    <n v="0"/>
    <n v="0"/>
    <n v="51.8"/>
    <n v="0"/>
    <n v="5"/>
    <n v="0"/>
    <n v="0"/>
    <x v="0"/>
    <s v="COUNTRY TRADITIONS FROZEN FOODS"/>
    <m/>
    <n v="150.4"/>
    <d v="2026-03-05T00:00:00"/>
    <m/>
  </r>
  <r>
    <s v="3061198"/>
    <n v="10"/>
    <s v="ATIND"/>
    <s v="ZORA"/>
    <d v="2026-03-05T00:00:00"/>
    <s v="C"/>
    <s v="A"/>
    <s v="10125176"/>
    <s v="20125176"/>
    <x v="38"/>
    <s v="OKA CHEESE SWIS SMKD 1X4.5KG"/>
    <n v="1"/>
    <n v="0"/>
    <n v="0"/>
    <n v="0"/>
    <m/>
    <m/>
    <n v="0"/>
    <n v="0"/>
    <n v="0"/>
    <n v="33.44"/>
    <n v="0"/>
    <n v="1"/>
    <n v="4.5"/>
    <n v="0"/>
    <x v="0"/>
    <s v="G&amp;J GROCERY LTD"/>
    <m/>
    <n v="103.46"/>
    <d v="2026-03-10T00:00:00"/>
    <m/>
  </r>
  <r>
    <s v="3061198"/>
    <n v="90"/>
    <s v="ATIND"/>
    <s v="ZORA"/>
    <d v="2026-03-05T00:00:00"/>
    <s v="C"/>
    <s v="A"/>
    <s v="10125176"/>
    <s v="20125176"/>
    <x v="54"/>
    <s v="KC CHEDDAR 56G GF"/>
    <n v="1"/>
    <n v="0"/>
    <n v="0"/>
    <n v="0"/>
    <m/>
    <m/>
    <n v="0"/>
    <n v="0"/>
    <n v="0"/>
    <n v="6.66"/>
    <n v="0"/>
    <n v="1"/>
    <n v="0"/>
    <n v="0"/>
    <x v="0"/>
    <s v="G&amp;J GROCERY LTD"/>
    <m/>
    <n v="23.14"/>
    <d v="2026-03-10T00:00:00"/>
    <m/>
  </r>
  <r>
    <s v="3061198"/>
    <n v="150"/>
    <s v="ATIND"/>
    <s v="ZORA"/>
    <d v="2026-03-05T00:00:00"/>
    <s v="C"/>
    <s v="A"/>
    <s v="10125176"/>
    <s v="20125176"/>
    <x v="40"/>
    <s v="AGROSGN BRIE CHEVALR TC 650G"/>
    <n v="2"/>
    <n v="0"/>
    <n v="0"/>
    <n v="0"/>
    <m/>
    <m/>
    <n v="0"/>
    <n v="0"/>
    <n v="0"/>
    <n v="35.409999999999997"/>
    <n v="0"/>
    <n v="2"/>
    <n v="5.2"/>
    <n v="0"/>
    <x v="0"/>
    <s v="G&amp;J GROCERY LTD"/>
    <m/>
    <n v="142.74"/>
    <d v="2026-03-10T00:00:00"/>
    <m/>
  </r>
  <r>
    <s v="3061198"/>
    <n v="230"/>
    <s v="ATIND"/>
    <s v="ZORA"/>
    <d v="2026-03-05T00:00:00"/>
    <s v="C"/>
    <s v="A"/>
    <s v="10125176"/>
    <s v="20125176"/>
    <x v="48"/>
    <s v="KC AIR FRIED TEXAS BBQ GF"/>
    <n v="1"/>
    <n v="0"/>
    <n v="0"/>
    <n v="0"/>
    <m/>
    <m/>
    <n v="0"/>
    <n v="0"/>
    <n v="0"/>
    <n v="10.050000000000001"/>
    <n v="0"/>
    <n v="1"/>
    <n v="0"/>
    <n v="0"/>
    <x v="0"/>
    <s v="G&amp;J GROCERY LTD"/>
    <m/>
    <n v="28.19"/>
    <d v="2026-03-10T00:00:00"/>
    <m/>
  </r>
  <r>
    <s v="3061198"/>
    <n v="300"/>
    <s v="ATIND"/>
    <s v="ZORA"/>
    <d v="2026-03-05T00:00:00"/>
    <s v="C"/>
    <s v="A"/>
    <s v="10125176"/>
    <s v="20125176"/>
    <x v="37"/>
    <s v="SGN SM CHEESE GOAT 180GR"/>
    <n v="3"/>
    <n v="0"/>
    <n v="0"/>
    <n v="0"/>
    <m/>
    <m/>
    <n v="0"/>
    <n v="0"/>
    <n v="0"/>
    <n v="22.56"/>
    <n v="0"/>
    <n v="3"/>
    <n v="0"/>
    <n v="0"/>
    <x v="0"/>
    <s v="G&amp;J GROCERY LTD"/>
    <m/>
    <n v="91.11"/>
    <d v="2026-03-10T00:00:00"/>
    <m/>
  </r>
  <r>
    <s v="3061198"/>
    <n v="350"/>
    <s v="ATIND"/>
    <s v="ZORA"/>
    <d v="2026-03-05T00:00:00"/>
    <s v="C"/>
    <s v="A"/>
    <s v="10125176"/>
    <s v="20125176"/>
    <x v="55"/>
    <s v="SOH PRETZEL PIECE JALAPENO"/>
    <n v="1"/>
    <n v="0"/>
    <n v="0"/>
    <n v="0"/>
    <m/>
    <m/>
    <n v="0"/>
    <n v="0"/>
    <n v="0"/>
    <n v="9.4499999999999993"/>
    <n v="0"/>
    <n v="1"/>
    <n v="0"/>
    <n v="0"/>
    <x v="0"/>
    <s v="G&amp;J GROCERY LTD"/>
    <m/>
    <n v="25.76"/>
    <d v="2026-03-10T00:00:00"/>
    <m/>
  </r>
  <r>
    <s v="3061198"/>
    <n v="370"/>
    <s v="ATIND"/>
    <s v="ZORA"/>
    <d v="2026-03-05T00:00:00"/>
    <s v="C"/>
    <s v="A"/>
    <s v="10125176"/>
    <s v="20125176"/>
    <x v="50"/>
    <s v="BEL BOUR 150GR SHAL &amp; CHIVES"/>
    <n v="6"/>
    <n v="0"/>
    <n v="0"/>
    <n v="0"/>
    <m/>
    <m/>
    <n v="0"/>
    <n v="0"/>
    <n v="0"/>
    <n v="53.34"/>
    <n v="0"/>
    <n v="6"/>
    <n v="0"/>
    <n v="0"/>
    <x v="0"/>
    <s v="G&amp;J GROCERY LTD"/>
    <m/>
    <n v="152.16"/>
    <d v="2026-03-10T00:00:00"/>
    <m/>
  </r>
  <r>
    <s v="3061198"/>
    <n v="440"/>
    <s v="ATIND"/>
    <s v="ZORA"/>
    <d v="2026-03-05T00:00:00"/>
    <s v="C"/>
    <s v="A"/>
    <s v="10125176"/>
    <s v="20125176"/>
    <x v="51"/>
    <s v="RUS GENOA SALAMI HOT"/>
    <n v="1"/>
    <n v="0"/>
    <n v="0"/>
    <n v="0"/>
    <m/>
    <m/>
    <n v="0"/>
    <n v="0"/>
    <n v="0"/>
    <n v="36.06"/>
    <n v="0"/>
    <n v="1"/>
    <n v="6"/>
    <n v="0"/>
    <x v="0"/>
    <s v="G&amp;J GROCERY LTD"/>
    <m/>
    <n v="84.42"/>
    <d v="2026-03-10T00:00:00"/>
    <m/>
  </r>
  <r>
    <s v="3061198"/>
    <n v="500"/>
    <s v="ATIND"/>
    <s v="ZORA"/>
    <d v="2026-03-05T00:00:00"/>
    <s v="C"/>
    <s v="A"/>
    <s v="10125176"/>
    <s v="20125176"/>
    <x v="56"/>
    <s v="JRTS SOFT DRINK MANGO"/>
    <n v="1"/>
    <n v="0"/>
    <n v="0"/>
    <n v="0"/>
    <m/>
    <m/>
    <n v="0"/>
    <n v="0"/>
    <n v="0"/>
    <n v="19.440000000000001"/>
    <n v="0"/>
    <n v="1"/>
    <n v="0"/>
    <n v="0"/>
    <x v="0"/>
    <s v="G&amp;J GROCERY LTD"/>
    <m/>
    <n v="25.76"/>
    <d v="2026-03-10T00:00:00"/>
    <m/>
  </r>
  <r>
    <s v="3061198"/>
    <n v="560"/>
    <s v="ATIND"/>
    <s v="ZORA"/>
    <d v="2026-03-05T00:00:00"/>
    <s v="C"/>
    <s v="A"/>
    <s v="10125176"/>
    <s v="20125176"/>
    <x v="36"/>
    <s v="BCC CHEESE MINI BUFFALO BOCCONCINI"/>
    <n v="2"/>
    <n v="0"/>
    <n v="0"/>
    <n v="0"/>
    <m/>
    <m/>
    <n v="0"/>
    <n v="0"/>
    <n v="0"/>
    <n v="21.52"/>
    <n v="0"/>
    <n v="2"/>
    <n v="0"/>
    <n v="0"/>
    <x v="0"/>
    <s v="G&amp;J GROCERY LTD"/>
    <m/>
    <n v="69.959999999999994"/>
    <d v="2026-03-10T00:00:00"/>
    <m/>
  </r>
  <r>
    <s v="3061974"/>
    <n v="20"/>
    <s v="ATIND"/>
    <s v="ZORA"/>
    <d v="2026-03-10T00:00:00"/>
    <s v="C"/>
    <s v="A"/>
    <s v="10125176"/>
    <s v="20125176"/>
    <x v="35"/>
    <s v="BCC CHEESE BURRATA 6x250G"/>
    <n v="1"/>
    <n v="0"/>
    <n v="0"/>
    <n v="0"/>
    <m/>
    <m/>
    <n v="0"/>
    <n v="0"/>
    <n v="0"/>
    <n v="11.48"/>
    <n v="0"/>
    <n v="1"/>
    <n v="0"/>
    <n v="0"/>
    <x v="0"/>
    <s v="G&amp;J GROCERY LTD"/>
    <m/>
    <n v="37.4"/>
    <d v="2026-03-16T00:00:00"/>
    <m/>
  </r>
  <r>
    <s v="3061974"/>
    <n v="200"/>
    <s v="ATIND"/>
    <s v="ZORA"/>
    <d v="2026-03-10T00:00:00"/>
    <s v="C"/>
    <s v="A"/>
    <s v="10125176"/>
    <s v="20125176"/>
    <x v="57"/>
    <s v="MCB PIZZA ITALIAN PIZZA CRST"/>
    <n v="2"/>
    <n v="0"/>
    <n v="0"/>
    <n v="0"/>
    <m/>
    <m/>
    <n v="0"/>
    <n v="0"/>
    <n v="0"/>
    <n v="24.3"/>
    <n v="0"/>
    <n v="2"/>
    <n v="0"/>
    <n v="0"/>
    <x v="0"/>
    <s v="G&amp;J GROCERY LTD"/>
    <m/>
    <n v="64.819999999999993"/>
    <d v="2026-03-16T00:00:00"/>
    <m/>
  </r>
  <r>
    <s v="3061983"/>
    <n v="20"/>
    <s v="QCLIQ"/>
    <s v="ZORA"/>
    <d v="2026-03-10T00:00:00"/>
    <s v="C"/>
    <s v="A"/>
    <s v="13000253"/>
    <s v="21000442"/>
    <x v="58"/>
    <s v="BD ALM BREEZE BARISTA FS"/>
    <n v="6"/>
    <n v="0"/>
    <n v="0"/>
    <n v="0"/>
    <m/>
    <m/>
    <n v="0"/>
    <n v="0"/>
    <n v="0"/>
    <n v="58.62"/>
    <n v="0"/>
    <n v="6"/>
    <n v="0"/>
    <n v="0"/>
    <x v="0"/>
    <s v="Bouffe A Rabais"/>
    <m/>
    <n v="157.26"/>
    <d v="2026-03-11T00:00:00"/>
    <m/>
  </r>
  <r>
    <s v="3062049"/>
    <n v="30"/>
    <s v="ONIND"/>
    <s v="ZORA"/>
    <d v="2026-03-10T00:00:00"/>
    <s v="C"/>
    <s v="A"/>
    <s v="10125105"/>
    <s v="20125105"/>
    <x v="35"/>
    <s v="BCC CHEESE BURRATA 6x250G"/>
    <n v="7"/>
    <n v="0"/>
    <n v="0"/>
    <n v="0"/>
    <m/>
    <m/>
    <n v="0"/>
    <n v="0"/>
    <n v="0"/>
    <n v="42"/>
    <n v="0"/>
    <n v="7"/>
    <n v="0"/>
    <n v="0"/>
    <x v="0"/>
    <s v="ELLIOT LAKE MEATS AND DELI"/>
    <m/>
    <n v="261.8"/>
    <d v="2026-03-16T00:00:00"/>
    <m/>
  </r>
  <r>
    <s v="3062049"/>
    <n v="80"/>
    <s v="ONIND"/>
    <s v="ZORA"/>
    <d v="2026-03-10T00:00:00"/>
    <s v="C"/>
    <s v="A"/>
    <s v="10125105"/>
    <s v="20125105"/>
    <x v="33"/>
    <s v="BCC  CHEESE BUFFALO MOZZARELLA"/>
    <n v="3"/>
    <n v="0"/>
    <n v="0"/>
    <n v="0"/>
    <m/>
    <m/>
    <n v="0"/>
    <n v="0"/>
    <n v="0"/>
    <n v="30.72"/>
    <n v="0"/>
    <n v="3"/>
    <n v="0"/>
    <n v="0"/>
    <x v="0"/>
    <s v="ELLIOT LAKE MEATS AND DELI"/>
    <m/>
    <n v="99.3"/>
    <d v="2026-03-16T00:00:00"/>
    <m/>
  </r>
  <r>
    <s v="3062049"/>
    <n v="380"/>
    <s v="ONIND"/>
    <s v="ZORA"/>
    <d v="2026-03-10T00:00:00"/>
    <s v="C"/>
    <s v="A"/>
    <s v="10125105"/>
    <s v="20125105"/>
    <x v="57"/>
    <s v="MCB PIZZA ITALIAN PIZZA CRST"/>
    <n v="2"/>
    <n v="0"/>
    <n v="0"/>
    <n v="0"/>
    <m/>
    <m/>
    <n v="0"/>
    <n v="0"/>
    <n v="0"/>
    <n v="24.3"/>
    <n v="0"/>
    <n v="2"/>
    <n v="0"/>
    <n v="0"/>
    <x v="0"/>
    <s v="ELLIOT LAKE MEATS AND DELI"/>
    <m/>
    <n v="64.819999999999993"/>
    <d v="2026-03-16T00:00:00"/>
    <m/>
  </r>
  <r>
    <s v="3062049"/>
    <n v="470"/>
    <s v="ONIND"/>
    <s v="ZORA"/>
    <d v="2026-03-10T00:00:00"/>
    <s v="C"/>
    <s v="A"/>
    <s v="10125105"/>
    <s v="20125105"/>
    <x v="58"/>
    <s v="BD ALM BREEZE BARISTA FS"/>
    <n v="6"/>
    <n v="0"/>
    <n v="0"/>
    <n v="0"/>
    <m/>
    <m/>
    <n v="0"/>
    <n v="0"/>
    <n v="0"/>
    <n v="58.62"/>
    <n v="0"/>
    <n v="6"/>
    <n v="0"/>
    <n v="0"/>
    <x v="0"/>
    <s v="ELLIOT LAKE MEATS AND DELI"/>
    <m/>
    <n v="157.26"/>
    <d v="2026-03-16T00:00:00"/>
    <m/>
  </r>
  <r>
    <s v="3062121"/>
    <n v="230"/>
    <s v="ONIND"/>
    <s v="ZORA"/>
    <d v="2026-03-10T00:00:00"/>
    <s v="C"/>
    <s v="A"/>
    <s v="10201237"/>
    <s v="20201237"/>
    <x v="35"/>
    <s v="BCC CHEESE BURRATA 6x250G"/>
    <n v="1"/>
    <n v="0"/>
    <n v="0"/>
    <n v="0"/>
    <m/>
    <m/>
    <n v="0"/>
    <n v="0"/>
    <n v="0"/>
    <n v="11.48"/>
    <n v="0"/>
    <n v="1"/>
    <n v="0"/>
    <n v="0"/>
    <x v="0"/>
    <s v="ALICIA'S FINE FOOD"/>
    <m/>
    <n v="37.4"/>
    <d v="2026-03-12T00:00:00"/>
    <m/>
  </r>
  <r>
    <s v="3062755"/>
    <n v="90"/>
    <s v="FSIND"/>
    <s v="ZORA"/>
    <d v="2026-03-13T00:00:00"/>
    <s v="C"/>
    <s v="A"/>
    <s v="10000936"/>
    <s v="20000936"/>
    <x v="59"/>
    <s v="SOH PRETZEL STICKS"/>
    <n v="13"/>
    <n v="0"/>
    <n v="0"/>
    <n v="0"/>
    <m/>
    <m/>
    <n v="0"/>
    <n v="0"/>
    <n v="0"/>
    <n v="39"/>
    <n v="0"/>
    <n v="13"/>
    <n v="0"/>
    <n v="0"/>
    <x v="0"/>
    <s v="COUNTRY TRADITIONS FOODSERVICE"/>
    <m/>
    <n v="335.01"/>
    <d v="2026-03-16T00:00:00"/>
    <m/>
  </r>
  <r>
    <s v="3062755"/>
    <n v="120"/>
    <s v="FSIND"/>
    <s v="ZORA"/>
    <d v="2026-03-13T00:00:00"/>
    <s v="C"/>
    <s v="A"/>
    <s v="10000936"/>
    <s v="20000936"/>
    <x v="38"/>
    <s v="OKA CHEESE SWIS SMKD 1X4.5KG"/>
    <n v="20"/>
    <n v="0"/>
    <n v="0"/>
    <n v="0"/>
    <m/>
    <m/>
    <n v="0"/>
    <n v="0"/>
    <n v="0"/>
    <n v="270"/>
    <n v="0"/>
    <n v="20"/>
    <n v="90"/>
    <n v="0"/>
    <x v="0"/>
    <s v="COUNTRY TRADITIONS FOODSERVICE"/>
    <m/>
    <n v="2212.1999999999998"/>
    <d v="2026-03-16T00:00:00"/>
    <m/>
  </r>
  <r>
    <s v="3062755"/>
    <n v="170"/>
    <s v="FSIND"/>
    <s v="ZORA"/>
    <d v="2026-03-13T00:00:00"/>
    <s v="C"/>
    <s v="A"/>
    <s v="10000936"/>
    <s v="20000936"/>
    <x v="60"/>
    <s v="PMO-PA GNOCCHI SPINACH GF"/>
    <n v="78"/>
    <n v="0"/>
    <n v="0"/>
    <n v="0"/>
    <m/>
    <m/>
    <n v="0"/>
    <n v="0"/>
    <n v="0"/>
    <n v="234"/>
    <n v="0"/>
    <n v="78"/>
    <n v="0"/>
    <n v="0"/>
    <x v="0"/>
    <s v="COUNTRY TRADITIONS FOODSERVICE"/>
    <m/>
    <n v="1662.18"/>
    <d v="2026-03-16T00:00:00"/>
    <m/>
  </r>
  <r>
    <s v="3062808"/>
    <n v="40"/>
    <s v="LIQID"/>
    <s v="ZORA"/>
    <d v="2026-03-13T00:00:00"/>
    <s v="C"/>
    <s v="A"/>
    <s v="10123006"/>
    <s v="20000913"/>
    <x v="61"/>
    <s v="SCHAR BREAD DELI SEEDED GF"/>
    <n v="59"/>
    <n v="0"/>
    <n v="0"/>
    <n v="0"/>
    <m/>
    <m/>
    <n v="0"/>
    <n v="0"/>
    <n v="0"/>
    <n v="118"/>
    <n v="0"/>
    <n v="59"/>
    <n v="0"/>
    <n v="0"/>
    <x v="1"/>
    <s v="NUTRI-GLOBE-P/U FR SURREY BRANCH"/>
    <m/>
    <n v="1374.11"/>
    <d v="2026-03-17T00:00:00"/>
    <m/>
  </r>
  <r>
    <s v="3063362"/>
    <n v="30"/>
    <s v="ATIND"/>
    <s v="ZORA"/>
    <d v="2026-03-17T00:00:00"/>
    <s v="C"/>
    <s v="A"/>
    <s v="10780161"/>
    <s v="20780161"/>
    <x v="33"/>
    <s v="BCC  CHEESE BUFFALO MOZZARELLA"/>
    <n v="1"/>
    <n v="0"/>
    <n v="0"/>
    <n v="0"/>
    <m/>
    <m/>
    <n v="0"/>
    <n v="0"/>
    <n v="0"/>
    <n v="10.24"/>
    <n v="0"/>
    <n v="1"/>
    <n v="0"/>
    <n v="0"/>
    <x v="0"/>
    <s v="CANNING &amp; CORNWALLIS VALUFOODS"/>
    <m/>
    <n v="33.1"/>
    <d v="2026-03-24T00:00:00"/>
    <m/>
  </r>
  <r>
    <s v="3063362"/>
    <n v="130"/>
    <s v="ATIND"/>
    <s v="ZORA"/>
    <d v="2026-03-17T00:00:00"/>
    <s v="C"/>
    <s v="A"/>
    <s v="10780161"/>
    <s v="20780161"/>
    <x v="40"/>
    <s v="AGROSGN BRIE CHEVALR TC 650G"/>
    <n v="2"/>
    <n v="0"/>
    <n v="0"/>
    <n v="0"/>
    <m/>
    <m/>
    <n v="0"/>
    <n v="0"/>
    <n v="0"/>
    <n v="35.409999999999997"/>
    <n v="0"/>
    <n v="2"/>
    <n v="5.2"/>
    <n v="0"/>
    <x v="0"/>
    <s v="CANNING &amp; CORNWALLIS VALUFOODS"/>
    <m/>
    <n v="152.05000000000001"/>
    <d v="2026-03-24T00:00:00"/>
    <m/>
  </r>
  <r>
    <s v="3063362"/>
    <n v="180"/>
    <s v="ATIND"/>
    <s v="ZORA"/>
    <d v="2026-03-17T00:00:00"/>
    <s v="C"/>
    <s v="A"/>
    <s v="10780161"/>
    <s v="20780161"/>
    <x v="35"/>
    <s v="BCC CHEESE BURRATA 6x250G"/>
    <n v="1"/>
    <n v="0"/>
    <n v="0"/>
    <n v="0"/>
    <m/>
    <m/>
    <n v="0"/>
    <n v="0"/>
    <n v="0"/>
    <n v="11.48"/>
    <n v="0"/>
    <n v="1"/>
    <n v="0"/>
    <n v="0"/>
    <x v="0"/>
    <s v="CANNING &amp; CORNWALLIS VALUFOODS"/>
    <m/>
    <n v="37.4"/>
    <d v="2026-03-24T00:00:00"/>
    <m/>
  </r>
  <r>
    <s v="3063362"/>
    <n v="290"/>
    <s v="ATIND"/>
    <s v="ZORA"/>
    <d v="2026-03-17T00:00:00"/>
    <s v="C"/>
    <s v="A"/>
    <s v="10780161"/>
    <s v="20780161"/>
    <x v="62"/>
    <s v="BEL KIRI CHESSE 150G TUB"/>
    <n v="6"/>
    <n v="0"/>
    <n v="0"/>
    <n v="0"/>
    <m/>
    <m/>
    <n v="0"/>
    <n v="0"/>
    <n v="0"/>
    <n v="51.06"/>
    <n v="0"/>
    <n v="6"/>
    <n v="0"/>
    <n v="0"/>
    <x v="0"/>
    <s v="CANNING &amp; CORNWALLIS VALUFOODS"/>
    <m/>
    <n v="140.52000000000001"/>
    <d v="2026-03-24T00:00:00"/>
    <m/>
  </r>
  <r>
    <s v="3063673"/>
    <n v="30"/>
    <s v="ONIND"/>
    <s v="ZORA"/>
    <d v="2026-03-18T00:00:00"/>
    <s v="C"/>
    <s v="A"/>
    <s v="10300060"/>
    <s v="20300060"/>
    <x v="33"/>
    <s v="BCC  CHEESE BUFFALO MOZZARELLA"/>
    <n v="1"/>
    <n v="0"/>
    <n v="0"/>
    <n v="0"/>
    <m/>
    <m/>
    <n v="0"/>
    <n v="0"/>
    <n v="0"/>
    <n v="3"/>
    <n v="0"/>
    <n v="1"/>
    <n v="0"/>
    <n v="0"/>
    <x v="0"/>
    <s v="JOE'S FOOD DISTRIBUTORS"/>
    <m/>
    <n v="33.1"/>
    <d v="2026-03-20T00:00:00"/>
    <m/>
  </r>
  <r>
    <s v="3063673"/>
    <n v="100"/>
    <s v="ONIND"/>
    <s v="ZORA"/>
    <d v="2026-03-18T00:00:00"/>
    <s v="C"/>
    <s v="A"/>
    <s v="10300060"/>
    <s v="20300060"/>
    <x v="36"/>
    <s v="BCC CHEESE MINI BUFFALO BOCCONCINI"/>
    <n v="2"/>
    <n v="0"/>
    <n v="0"/>
    <n v="0"/>
    <m/>
    <m/>
    <n v="0"/>
    <n v="0"/>
    <n v="0"/>
    <n v="6"/>
    <n v="0"/>
    <n v="2"/>
    <n v="0"/>
    <n v="0"/>
    <x v="0"/>
    <s v="JOE'S FOOD DISTRIBUTORS"/>
    <m/>
    <n v="69.959999999999994"/>
    <d v="2026-03-20T00:00:00"/>
    <m/>
  </r>
  <r>
    <s v="3063673"/>
    <n v="120"/>
    <s v="ONIND"/>
    <s v="ZORA"/>
    <d v="2026-03-18T00:00:00"/>
    <s v="C"/>
    <s v="A"/>
    <s v="10300060"/>
    <s v="20300060"/>
    <x v="40"/>
    <s v="AGROSGN BRIE CHEVALR TC 650G"/>
    <n v="2"/>
    <n v="0"/>
    <n v="0"/>
    <n v="0"/>
    <m/>
    <m/>
    <n v="0"/>
    <n v="0"/>
    <n v="0"/>
    <n v="15.6"/>
    <n v="0"/>
    <n v="2"/>
    <n v="5.2"/>
    <n v="0"/>
    <x v="0"/>
    <s v="JOE'S FOOD DISTRIBUTORS"/>
    <m/>
    <n v="152.46"/>
    <d v="2026-03-20T00:00:00"/>
    <m/>
  </r>
  <r>
    <s v="3063673"/>
    <n v="170"/>
    <s v="ONIND"/>
    <s v="ZORA"/>
    <d v="2026-03-18T00:00:00"/>
    <s v="C"/>
    <s v="A"/>
    <s v="10300060"/>
    <s v="20300060"/>
    <x v="35"/>
    <s v="BCC CHEESE BURRATA 6x250G"/>
    <n v="1"/>
    <n v="0"/>
    <n v="0"/>
    <n v="0"/>
    <m/>
    <m/>
    <n v="0"/>
    <n v="0"/>
    <n v="0"/>
    <n v="3"/>
    <n v="0"/>
    <n v="1"/>
    <n v="0"/>
    <n v="0"/>
    <x v="0"/>
    <s v="JOE'S FOOD DISTRIBUTORS"/>
    <m/>
    <n v="37.4"/>
    <d v="2026-03-20T00:00:00"/>
    <m/>
  </r>
  <r>
    <s v="3063673"/>
    <n v="270"/>
    <s v="ONIND"/>
    <s v="ZORA"/>
    <d v="2026-03-18T00:00:00"/>
    <s v="C"/>
    <s v="A"/>
    <s v="10300060"/>
    <s v="20300060"/>
    <x v="62"/>
    <s v="BEL KIRI CHESSE 150G TUB"/>
    <n v="6"/>
    <n v="0"/>
    <n v="0"/>
    <n v="0"/>
    <m/>
    <m/>
    <n v="0"/>
    <n v="0"/>
    <n v="0"/>
    <n v="24"/>
    <n v="0"/>
    <n v="6"/>
    <n v="0"/>
    <n v="0"/>
    <x v="0"/>
    <s v="JOE'S FOOD DISTRIBUTORS"/>
    <m/>
    <n v="140.69999999999999"/>
    <d v="2026-03-20T00:00:00"/>
    <m/>
  </r>
  <r>
    <s v="3063673"/>
    <n v="390"/>
    <s v="ONIND"/>
    <s v="ZORA"/>
    <d v="2026-03-18T00:00:00"/>
    <s v="C"/>
    <s v="A"/>
    <s v="10300060"/>
    <s v="20300060"/>
    <x v="63"/>
    <s v="LR RICE JASMINE BROWN ORG"/>
    <n v="36"/>
    <n v="0"/>
    <n v="0"/>
    <n v="0"/>
    <m/>
    <m/>
    <n v="0"/>
    <n v="0"/>
    <n v="0"/>
    <n v="216"/>
    <n v="0"/>
    <n v="36"/>
    <n v="0"/>
    <n v="0"/>
    <x v="0"/>
    <s v="JOE'S FOOD DISTRIBUTORS"/>
    <m/>
    <n v="1673.28"/>
    <d v="2026-03-20T00:00:00"/>
    <m/>
  </r>
  <r>
    <s v="3063673"/>
    <n v="450"/>
    <s v="ONIND"/>
    <s v="ZORA"/>
    <d v="2026-03-18T00:00:00"/>
    <s v="C"/>
    <s v="A"/>
    <s v="10300060"/>
    <s v="20300060"/>
    <x v="64"/>
    <s v="CERES JUICE GUAVA"/>
    <n v="6"/>
    <n v="0"/>
    <n v="0"/>
    <n v="0"/>
    <m/>
    <m/>
    <n v="0"/>
    <n v="0"/>
    <n v="0"/>
    <n v="48"/>
    <n v="0"/>
    <n v="6"/>
    <n v="0"/>
    <n v="0"/>
    <x v="0"/>
    <s v="JOE'S FOOD DISTRIBUTORS"/>
    <m/>
    <n v="159"/>
    <d v="2026-03-20T00:00:00"/>
    <m/>
  </r>
  <r>
    <s v="3063673"/>
    <n v="520"/>
    <s v="ONIND"/>
    <s v="ZORA"/>
    <d v="2026-03-18T00:00:00"/>
    <s v="C"/>
    <s v="A"/>
    <s v="10300060"/>
    <s v="20300060"/>
    <x v="65"/>
    <s v="SB ICED TEA LEMON"/>
    <n v="126"/>
    <n v="0"/>
    <n v="0"/>
    <n v="0"/>
    <m/>
    <m/>
    <n v="0"/>
    <n v="0"/>
    <n v="0"/>
    <n v="630"/>
    <n v="0"/>
    <n v="126"/>
    <n v="0"/>
    <n v="0"/>
    <x v="0"/>
    <s v="JOE'S FOOD DISTRIBUTORS"/>
    <m/>
    <n v="1044.54"/>
    <d v="2026-03-20T00:00:00"/>
    <m/>
  </r>
  <r>
    <s v="3064361"/>
    <n v="10"/>
    <s v="ONIND"/>
    <s v="ZORA"/>
    <d v="2026-03-23T00:00:00"/>
    <s v="C"/>
    <s v="A"/>
    <s v="10182593"/>
    <s v="20182593"/>
    <x v="40"/>
    <s v="AGROSGN BRIE CHEVALR TC 650G"/>
    <n v="2"/>
    <n v="0"/>
    <n v="0"/>
    <n v="0"/>
    <m/>
    <m/>
    <n v="0"/>
    <n v="0"/>
    <n v="0"/>
    <n v="35.409999999999997"/>
    <n v="0"/>
    <n v="2"/>
    <n v="5.2"/>
    <n v="0"/>
    <x v="0"/>
    <s v="ZARKY'S FINE FOODS"/>
    <m/>
    <n v="149.44999999999999"/>
    <d v="2026-03-26T00:00:00"/>
    <m/>
  </r>
  <r>
    <s v="3064400"/>
    <n v="10"/>
    <s v="ATIND"/>
    <s v="ZORA"/>
    <d v="2026-03-23T00:00:00"/>
    <s v="C"/>
    <s v="A"/>
    <s v="10780161"/>
    <s v="20780161"/>
    <x v="40"/>
    <s v="AGROSGN BRIE CHEVALR TC 650G"/>
    <n v="2"/>
    <n v="0"/>
    <n v="0"/>
    <n v="0"/>
    <m/>
    <m/>
    <n v="0"/>
    <n v="0"/>
    <n v="0"/>
    <n v="35.409999999999997"/>
    <n v="0"/>
    <n v="2"/>
    <n v="5.2"/>
    <n v="0"/>
    <x v="0"/>
    <s v="CANNING &amp; CORNWALLIS VALUFOODS"/>
    <m/>
    <n v="149.44999999999999"/>
    <d v="2026-03-27T00:00:00"/>
    <m/>
  </r>
  <r>
    <s v="3064400"/>
    <n v="40"/>
    <s v="ATIND"/>
    <s v="ZORA"/>
    <d v="2026-03-23T00:00:00"/>
    <s v="C"/>
    <s v="A"/>
    <s v="10780161"/>
    <s v="20780161"/>
    <x v="35"/>
    <s v="BCC CHEESE BURRATA 6x250G"/>
    <n v="1"/>
    <n v="0"/>
    <n v="0"/>
    <n v="0"/>
    <m/>
    <m/>
    <n v="0"/>
    <n v="0"/>
    <n v="0"/>
    <n v="11.48"/>
    <n v="0"/>
    <n v="1"/>
    <n v="0"/>
    <n v="0"/>
    <x v="0"/>
    <s v="CANNING &amp; CORNWALLIS VALUFOODS"/>
    <m/>
    <n v="37.4"/>
    <d v="2026-03-27T00:00:00"/>
    <m/>
  </r>
  <r>
    <s v="3064400"/>
    <n v="190"/>
    <s v="ATIND"/>
    <s v="ZORA"/>
    <d v="2026-03-23T00:00:00"/>
    <s v="C"/>
    <s v="A"/>
    <s v="10780161"/>
    <s v="20780161"/>
    <x v="36"/>
    <s v="BCC CHEESE MINI BUFFALO BOCCONCINI"/>
    <n v="4"/>
    <n v="0"/>
    <n v="0"/>
    <n v="0"/>
    <m/>
    <m/>
    <n v="0"/>
    <n v="0"/>
    <n v="0"/>
    <n v="43.04"/>
    <n v="0"/>
    <n v="4"/>
    <n v="0"/>
    <n v="0"/>
    <x v="0"/>
    <s v="CANNING &amp; CORNWALLIS VALUFOODS"/>
    <m/>
    <n v="139.91999999999999"/>
    <d v="2026-03-27T00:00:00"/>
    <m/>
  </r>
  <r>
    <s v="3064400"/>
    <n v="250"/>
    <s v="ATIND"/>
    <s v="ZORA"/>
    <d v="2026-03-23T00:00:00"/>
    <s v="C"/>
    <s v="A"/>
    <s v="10780161"/>
    <s v="20780161"/>
    <x v="29"/>
    <s v="AGROSGN BRIE DBL CREAM 170G"/>
    <n v="8"/>
    <n v="0"/>
    <n v="0"/>
    <n v="0"/>
    <m/>
    <m/>
    <n v="0"/>
    <n v="0"/>
    <n v="0"/>
    <n v="80"/>
    <n v="0"/>
    <n v="8"/>
    <n v="0"/>
    <n v="0"/>
    <x v="0"/>
    <s v="CANNING &amp; CORNWALLIS VALUFOODS"/>
    <m/>
    <n v="329.68"/>
    <d v="2026-03-27T00:00:00"/>
    <m/>
  </r>
  <r>
    <s v="3064400"/>
    <n v="320"/>
    <s v="ATIND"/>
    <s v="ZORA"/>
    <d v="2026-03-23T00:00:00"/>
    <s v="C"/>
    <s v="A"/>
    <s v="10780161"/>
    <s v="20780161"/>
    <x v="45"/>
    <s v="BEL BOUR 150G CRACKD BLK PEP"/>
    <n v="6"/>
    <n v="0"/>
    <n v="0"/>
    <n v="0"/>
    <m/>
    <m/>
    <n v="0"/>
    <n v="0"/>
    <n v="0"/>
    <n v="53.34"/>
    <n v="0"/>
    <n v="6"/>
    <n v="0"/>
    <n v="0"/>
    <x v="0"/>
    <s v="CANNING &amp; CORNWALLIS VALUFOODS"/>
    <m/>
    <n v="148.68"/>
    <d v="2026-03-27T00:00:00"/>
    <m/>
  </r>
  <r>
    <s v="3064400"/>
    <n v="340"/>
    <s v="ATIND"/>
    <s v="ZORA"/>
    <d v="2026-03-23T00:00:00"/>
    <s v="C"/>
    <s v="A"/>
    <s v="10780161"/>
    <s v="20780161"/>
    <x v="3"/>
    <s v="STW 170G FIRM APPNZLR STYL"/>
    <n v="2"/>
    <n v="0"/>
    <n v="0"/>
    <n v="0"/>
    <m/>
    <m/>
    <n v="0"/>
    <n v="0"/>
    <n v="0"/>
    <n v="47.04"/>
    <n v="0"/>
    <n v="2"/>
    <n v="0"/>
    <n v="0"/>
    <x v="0"/>
    <s v="CANNING &amp; CORNWALLIS VALUFOODS"/>
    <m/>
    <n v="143.12"/>
    <d v="2026-03-27T00:00:00"/>
    <m/>
  </r>
  <r>
    <s v="3064400"/>
    <n v="460"/>
    <s v="ATIND"/>
    <s v="ZORA"/>
    <d v="2026-03-23T00:00:00"/>
    <s v="C"/>
    <s v="A"/>
    <s v="10780161"/>
    <s v="20780161"/>
    <x v="66"/>
    <s v="STW 170G FARMSTD GRUYERE"/>
    <n v="1"/>
    <n v="0"/>
    <n v="0"/>
    <n v="0"/>
    <m/>
    <m/>
    <n v="0"/>
    <n v="0"/>
    <n v="0"/>
    <n v="24.69"/>
    <n v="0"/>
    <n v="1"/>
    <n v="0"/>
    <n v="0"/>
    <x v="0"/>
    <s v="CANNING &amp; CORNWALLIS VALUFOODS"/>
    <m/>
    <n v="74.86"/>
    <d v="2026-03-27T00:00:00"/>
    <m/>
  </r>
  <r>
    <s v="3064405"/>
    <n v="130"/>
    <s v="ONIND"/>
    <s v="ZORA"/>
    <d v="2026-03-23T00:00:00"/>
    <s v="C"/>
    <s v="A"/>
    <s v="10149732"/>
    <s v="20149732"/>
    <x v="28"/>
    <s v="CC 1057 SCOTTISH CHED 12X200G"/>
    <n v="109"/>
    <n v="0"/>
    <n v="0"/>
    <n v="0"/>
    <m/>
    <m/>
    <n v="0"/>
    <n v="0"/>
    <n v="0"/>
    <n v="2739.17"/>
    <n v="0"/>
    <n v="109"/>
    <n v="0"/>
    <n v="0"/>
    <x v="0"/>
    <s v="SUPERIOR MEATS &amp; BAKERY LTD"/>
    <m/>
    <n v="4766.57"/>
    <d v="2026-03-26T00:00:00"/>
    <m/>
  </r>
  <r>
    <s v="3064405"/>
    <n v="160"/>
    <s v="ONIND"/>
    <s v="ZORA"/>
    <d v="2026-03-23T00:00:00"/>
    <s v="C"/>
    <s v="A"/>
    <s v="10149732"/>
    <s v="20149732"/>
    <x v="34"/>
    <s v="CC MOROCCAN SPICE BULK 2X1.6KG"/>
    <n v="37"/>
    <n v="0"/>
    <n v="0"/>
    <n v="0"/>
    <m/>
    <m/>
    <n v="0"/>
    <n v="0"/>
    <n v="0"/>
    <n v="1252.67"/>
    <n v="0"/>
    <n v="37"/>
    <n v="118.4"/>
    <n v="0"/>
    <x v="0"/>
    <s v="SUPERIOR MEATS &amp; BAKERY LTD"/>
    <m/>
    <n v="2448.5100000000002"/>
    <d v="2026-03-26T00:00:00"/>
    <m/>
  </r>
  <r>
    <s v="3064518"/>
    <n v="80"/>
    <s v="ONIND"/>
    <s v="ZORA"/>
    <d v="2026-03-23T00:00:00"/>
    <s v="C"/>
    <s v="A"/>
    <s v="10125105"/>
    <s v="20125105"/>
    <x v="36"/>
    <s v="BCC CHEESE MINI BUFFALO BOCCONCINI"/>
    <n v="4"/>
    <n v="0"/>
    <n v="0"/>
    <n v="0"/>
    <m/>
    <m/>
    <n v="0"/>
    <n v="0"/>
    <n v="0"/>
    <n v="36"/>
    <n v="0"/>
    <n v="4"/>
    <n v="0"/>
    <n v="0"/>
    <x v="0"/>
    <s v="ELLIOT LAKE MEATS AND DELI"/>
    <m/>
    <n v="139.91999999999999"/>
    <d v="2026-03-30T00:00:00"/>
    <m/>
  </r>
  <r>
    <s v="3064518"/>
    <n v="110"/>
    <s v="ONIND"/>
    <s v="ZORA"/>
    <d v="2026-03-23T00:00:00"/>
    <s v="C"/>
    <s v="A"/>
    <s v="10125105"/>
    <s v="20125105"/>
    <x v="29"/>
    <s v="AGROSGN BRIE DBL CREAM 170G"/>
    <n v="1"/>
    <n v="0"/>
    <n v="0"/>
    <n v="0"/>
    <m/>
    <m/>
    <n v="0"/>
    <n v="0"/>
    <n v="0"/>
    <n v="10"/>
    <n v="0"/>
    <n v="1"/>
    <n v="0"/>
    <n v="0"/>
    <x v="0"/>
    <s v="ELLIOT LAKE MEATS AND DELI"/>
    <m/>
    <n v="41.21"/>
    <d v="2026-03-30T00:00:00"/>
    <m/>
  </r>
  <r>
    <s v="3064518"/>
    <n v="170"/>
    <s v="ONIND"/>
    <s v="ZORA"/>
    <d v="2026-03-23T00:00:00"/>
    <s v="C"/>
    <s v="A"/>
    <s v="10125105"/>
    <s v="20125105"/>
    <x v="45"/>
    <s v="BEL BOUR 150G CRACKD BLK PEP"/>
    <n v="6"/>
    <n v="0"/>
    <n v="0"/>
    <n v="0"/>
    <m/>
    <m/>
    <n v="0"/>
    <n v="0"/>
    <n v="0"/>
    <n v="53.34"/>
    <n v="0"/>
    <n v="6"/>
    <n v="0"/>
    <n v="0"/>
    <x v="0"/>
    <s v="ELLIOT LAKE MEATS AND DELI"/>
    <m/>
    <n v="148.68"/>
    <d v="2026-03-30T00:00:00"/>
    <m/>
  </r>
  <r>
    <s v="3064518"/>
    <n v="260"/>
    <s v="ONIND"/>
    <s v="ZORA"/>
    <d v="2026-03-23T00:00:00"/>
    <s v="C"/>
    <s v="A"/>
    <s v="10125105"/>
    <s v="20125105"/>
    <x v="65"/>
    <s v="SB ICED TEA LEMON"/>
    <n v="126"/>
    <n v="0"/>
    <n v="0"/>
    <n v="0"/>
    <m/>
    <m/>
    <n v="0"/>
    <n v="0"/>
    <n v="0"/>
    <n v="378"/>
    <n v="0"/>
    <n v="126"/>
    <n v="0"/>
    <n v="0"/>
    <x v="0"/>
    <s v="ELLIOT LAKE MEATS AND DELI"/>
    <m/>
    <n v="1044.54"/>
    <d v="2026-03-30T00:00:00"/>
    <m/>
  </r>
  <r>
    <s v="3064989"/>
    <n v="60"/>
    <s v="ATIND"/>
    <s v="ZORA"/>
    <d v="2026-03-25T00:00:00"/>
    <s v="C"/>
    <s v="A"/>
    <s v="10780161"/>
    <s v="20780161"/>
    <x v="67"/>
    <s v="FT REFRESH LIGHT TONIC 4X200"/>
    <n v="10"/>
    <n v="0"/>
    <n v="0"/>
    <n v="0"/>
    <m/>
    <m/>
    <n v="0"/>
    <n v="0"/>
    <n v="0"/>
    <n v="93.2"/>
    <n v="0"/>
    <n v="10"/>
    <n v="0"/>
    <n v="0"/>
    <x v="0"/>
    <s v="CANNING &amp; CORNWALLIS VALUFOODS"/>
    <m/>
    <n v="184.2"/>
    <d v="2026-03-30T00:00:00"/>
    <m/>
  </r>
  <r>
    <s v="3064989"/>
    <n v="70"/>
    <s v="ATIND"/>
    <s v="ZORA"/>
    <d v="2026-03-25T00:00:00"/>
    <s v="C"/>
    <s v="A"/>
    <s v="10780161"/>
    <s v="20780161"/>
    <x v="63"/>
    <s v="LR RICE JASMINE BROWN ORG"/>
    <n v="5"/>
    <n v="0"/>
    <n v="0"/>
    <n v="0"/>
    <m/>
    <m/>
    <n v="0"/>
    <n v="0"/>
    <n v="0"/>
    <n v="79.599999999999994"/>
    <n v="0"/>
    <n v="5"/>
    <n v="0"/>
    <n v="0"/>
    <x v="0"/>
    <s v="CANNING &amp; CORNWALLIS VALUFOODS"/>
    <m/>
    <n v="232.4"/>
    <d v="2026-03-30T00:00:00"/>
    <m/>
  </r>
  <r>
    <s v="3064989"/>
    <n v="100"/>
    <s v="ATIND"/>
    <s v="ZORA"/>
    <d v="2026-03-25T00:00:00"/>
    <s v="C"/>
    <s v="A"/>
    <s v="10780161"/>
    <s v="20780161"/>
    <x v="9"/>
    <s v="CB CRUNCHY PEANUT BUTTER"/>
    <n v="4"/>
    <n v="0"/>
    <n v="0"/>
    <n v="0"/>
    <m/>
    <m/>
    <n v="0"/>
    <n v="0"/>
    <n v="0"/>
    <n v="47.28"/>
    <n v="0"/>
    <n v="4"/>
    <n v="0"/>
    <n v="0"/>
    <x v="0"/>
    <s v="CANNING &amp; CORNWALLIS VALUFOODS"/>
    <m/>
    <n v="64.48"/>
    <d v="2026-03-30T00:00:00"/>
    <m/>
  </r>
  <r>
    <s v="3065069"/>
    <n v="110"/>
    <s v="BCIND"/>
    <s v="ZORA"/>
    <d v="2026-03-25T00:00:00"/>
    <s v="C"/>
    <s v="A"/>
    <s v="10062506"/>
    <s v="20062506"/>
    <x v="68"/>
    <s v="CAPE CHIPS SALT VINEGR 220G"/>
    <n v="24"/>
    <n v="0"/>
    <n v="0"/>
    <n v="0"/>
    <m/>
    <m/>
    <n v="0"/>
    <n v="0"/>
    <n v="0"/>
    <n v="144"/>
    <n v="0"/>
    <n v="24"/>
    <n v="0"/>
    <n v="0"/>
    <x v="2"/>
    <s v="LO-BOY MARKET          CLEARANCE"/>
    <m/>
    <n v="906"/>
    <d v="2026-03-30T00:00:00"/>
    <m/>
  </r>
  <r>
    <s v="3065069"/>
    <n v="170"/>
    <s v="BCIND"/>
    <s v="ZORA"/>
    <d v="2026-03-25T00:00:00"/>
    <s v="C"/>
    <s v="A"/>
    <s v="10062506"/>
    <s v="20062506"/>
    <x v="15"/>
    <s v="IRS TORTO SWT ORNG OIL SEV"/>
    <n v="7"/>
    <n v="0"/>
    <n v="0"/>
    <n v="0"/>
    <m/>
    <m/>
    <n v="0"/>
    <n v="0"/>
    <n v="0"/>
    <n v="42"/>
    <n v="0"/>
    <n v="7"/>
    <n v="0"/>
    <n v="0"/>
    <x v="2"/>
    <s v="LO-BOY MARKET          CLEARANCE"/>
    <m/>
    <n v="243.81"/>
    <d v="2026-03-30T00:00:00"/>
    <m/>
  </r>
  <r>
    <s v="3065069"/>
    <n v="210"/>
    <s v="BCIND"/>
    <s v="ZORA"/>
    <d v="2026-03-25T00:00:00"/>
    <s v="C"/>
    <s v="A"/>
    <s v="10062506"/>
    <s v="20062506"/>
    <x v="69"/>
    <s v="CS TEA MORNING THUNDER BLK"/>
    <n v="4"/>
    <n v="0"/>
    <n v="0"/>
    <n v="0"/>
    <m/>
    <m/>
    <n v="0"/>
    <n v="0"/>
    <n v="0"/>
    <n v="20"/>
    <n v="0"/>
    <n v="4"/>
    <n v="0"/>
    <n v="0"/>
    <x v="2"/>
    <s v="LO-BOY MARKET          CLEARANCE"/>
    <m/>
    <n v="79.72"/>
    <d v="2026-03-30T00:00:00"/>
    <m/>
  </r>
  <r>
    <s v="3065069"/>
    <n v="230"/>
    <s v="BCIND"/>
    <s v="ZORA"/>
    <d v="2026-03-25T00:00:00"/>
    <s v="C"/>
    <s v="A"/>
    <s v="10062506"/>
    <s v="20062506"/>
    <x v="70"/>
    <s v="MCV DIGESTIVE MK CHOC 18591"/>
    <n v="9"/>
    <n v="0"/>
    <n v="0"/>
    <n v="0"/>
    <m/>
    <m/>
    <n v="0"/>
    <n v="0"/>
    <n v="0"/>
    <n v="54"/>
    <n v="0"/>
    <n v="9"/>
    <n v="0"/>
    <n v="0"/>
    <x v="2"/>
    <s v="LO-BOY MARKET          CLEARANCE"/>
    <m/>
    <n v="253.62"/>
    <d v="2026-03-30T00:00:00"/>
    <m/>
  </r>
  <r>
    <s v="3065236"/>
    <n v="20"/>
    <s v="LIQID"/>
    <s v="ZORA"/>
    <d v="2026-03-26T00:00:00"/>
    <s v="C"/>
    <s v="A"/>
    <s v="10150032"/>
    <s v="20150032"/>
    <x v="29"/>
    <s v="AGROSGN BRIE DBL CREAM 170G"/>
    <n v="1"/>
    <n v="0"/>
    <n v="0"/>
    <n v="0"/>
    <m/>
    <m/>
    <n v="0"/>
    <n v="0"/>
    <n v="0"/>
    <n v="8"/>
    <n v="0"/>
    <n v="1"/>
    <n v="0"/>
    <n v="0"/>
    <x v="0"/>
    <s v="COUNTRY TRADITIONS FROZEN FOODS"/>
    <m/>
    <n v="40.98"/>
    <d v="2026-03-30T00:00:00"/>
    <m/>
  </r>
  <r>
    <s v="3065236"/>
    <n v="30"/>
    <s v="LIQID"/>
    <s v="ZORA"/>
    <d v="2026-03-26T00:00:00"/>
    <s v="C"/>
    <s v="A"/>
    <s v="10150032"/>
    <s v="20150032"/>
    <x v="71"/>
    <s v="LR RICE CILANTRO LIME ORG"/>
    <n v="1"/>
    <n v="0"/>
    <n v="0"/>
    <n v="0"/>
    <m/>
    <m/>
    <n v="0"/>
    <n v="0"/>
    <n v="0"/>
    <n v="12"/>
    <n v="0"/>
    <n v="1"/>
    <n v="0"/>
    <n v="0"/>
    <x v="0"/>
    <s v="COUNTRY TRADITIONS FROZEN FOODS"/>
    <m/>
    <n v="22.28"/>
    <d v="2026-03-30T00:00:00"/>
    <m/>
  </r>
  <r>
    <s v="3065236"/>
    <n v="40"/>
    <s v="LIQID"/>
    <s v="ZORA"/>
    <d v="2026-03-26T00:00:00"/>
    <s v="C"/>
    <s v="A"/>
    <s v="10150032"/>
    <s v="20150032"/>
    <x v="40"/>
    <s v="AGROSGN BRIE CHEVALR TC 650G"/>
    <n v="2"/>
    <n v="0"/>
    <n v="0"/>
    <n v="0"/>
    <m/>
    <m/>
    <n v="0"/>
    <n v="0"/>
    <n v="0"/>
    <n v="31.2"/>
    <n v="0"/>
    <n v="2"/>
    <n v="5.2"/>
    <n v="0"/>
    <x v="0"/>
    <s v="COUNTRY TRADITIONS FROZEN FOODS"/>
    <m/>
    <n v="146.94999999999999"/>
    <d v="2026-03-30T00:00:00"/>
    <m/>
  </r>
  <r>
    <s v="3065236"/>
    <n v="80"/>
    <s v="LIQID"/>
    <s v="ZORA"/>
    <d v="2026-03-26T00:00:00"/>
    <s v="C"/>
    <s v="A"/>
    <s v="10150032"/>
    <s v="20150032"/>
    <x v="9"/>
    <s v="CB CRUNCHY PEANUT BUTTER"/>
    <n v="9"/>
    <n v="0"/>
    <n v="0"/>
    <n v="0"/>
    <m/>
    <m/>
    <n v="0"/>
    <n v="0"/>
    <n v="0"/>
    <n v="72"/>
    <n v="0"/>
    <n v="9"/>
    <n v="0"/>
    <n v="0"/>
    <x v="0"/>
    <s v="COUNTRY TRADITIONS FROZEN FOODS"/>
    <m/>
    <n v="145.08000000000001"/>
    <d v="2026-03-30T00:00:00"/>
    <m/>
  </r>
  <r>
    <s v="3066063"/>
    <n v="10"/>
    <s v="BCIND"/>
    <s v="ZORA"/>
    <d v="2026-03-30T00:00:00"/>
    <s v="C"/>
    <s v="A"/>
    <s v="10050006"/>
    <s v="20050006"/>
    <x v="13"/>
    <s v="CAPE CHIPS SALT LS FAT 220G"/>
    <n v="54"/>
    <n v="0"/>
    <n v="0"/>
    <n v="0"/>
    <m/>
    <m/>
    <n v="0"/>
    <n v="0"/>
    <n v="0"/>
    <n v="432"/>
    <n v="0"/>
    <n v="54"/>
    <n v="0"/>
    <n v="0"/>
    <x v="1"/>
    <s v="OLD COUNTRY MKT ALBERNI CLEAROUT"/>
    <m/>
    <n v="2248.02"/>
    <d v="2026-04-02T00:00:00"/>
    <m/>
  </r>
  <r>
    <s v="3066063"/>
    <n v="20"/>
    <s v="BCIND"/>
    <s v="ZORA"/>
    <d v="2026-03-30T00:00:00"/>
    <s v="C"/>
    <s v="A"/>
    <s v="10050006"/>
    <s v="20050006"/>
    <x v="68"/>
    <s v="CAPE CHIPS SALT VINEGR 220G"/>
    <n v="27"/>
    <n v="0"/>
    <n v="0"/>
    <n v="0"/>
    <m/>
    <m/>
    <n v="0"/>
    <n v="0"/>
    <n v="0"/>
    <n v="216"/>
    <n v="0"/>
    <n v="27"/>
    <n v="0"/>
    <n v="0"/>
    <x v="1"/>
    <s v="OLD COUNTRY MKT ALBERNI CLEAROUT"/>
    <m/>
    <n v="1116.18"/>
    <d v="2026-04-02T00:00:00"/>
    <m/>
  </r>
  <r>
    <s v="3066063"/>
    <n v="30"/>
    <s v="BCIND"/>
    <s v="ZORA"/>
    <d v="2026-03-30T00:00:00"/>
    <s v="C"/>
    <s v="A"/>
    <s v="10050006"/>
    <s v="20050006"/>
    <x v="15"/>
    <s v="IRS TORTO SWT ORNG OIL SEV"/>
    <n v="18"/>
    <n v="0"/>
    <n v="0"/>
    <n v="0"/>
    <m/>
    <m/>
    <n v="0"/>
    <n v="0"/>
    <n v="0"/>
    <n v="180"/>
    <n v="0"/>
    <n v="18"/>
    <n v="0"/>
    <n v="0"/>
    <x v="1"/>
    <s v="OLD COUNTRY MKT ALBERNI CLEAROUT"/>
    <m/>
    <n v="609.48"/>
    <d v="2026-04-02T00:00:00"/>
    <m/>
  </r>
  <r>
    <s v="3066231"/>
    <n v="10"/>
    <s v="PRIND"/>
    <s v="ZORA"/>
    <d v="2026-03-31T00:00:00"/>
    <s v="C"/>
    <s v="A"/>
    <s v="13000090"/>
    <s v="21000165"/>
    <x v="68"/>
    <s v="CAPE CHIPS SALT VINEGR 220G"/>
    <n v="10"/>
    <n v="0"/>
    <n v="0"/>
    <n v="0"/>
    <m/>
    <m/>
    <n v="0"/>
    <n v="0"/>
    <n v="0"/>
    <n v="112.5"/>
    <n v="0"/>
    <n v="10"/>
    <n v="0"/>
    <n v="0"/>
    <x v="2"/>
    <s v="Liquidation Warehouse"/>
    <m/>
    <n v="377.5"/>
    <d v="2026-04-02T00:00:00"/>
    <m/>
  </r>
  <r>
    <s v="3067157"/>
    <n v="40"/>
    <s v="ONIND"/>
    <s v="ZORA"/>
    <d v="2026-04-06T00:00:00"/>
    <s v="C"/>
    <s v="A"/>
    <s v="10182593"/>
    <s v="20182593"/>
    <x v="72"/>
    <s v="CAPE CHIPS JALAPENO 220G"/>
    <n v="1"/>
    <n v="0"/>
    <n v="0"/>
    <n v="0"/>
    <m/>
    <m/>
    <n v="0"/>
    <n v="0"/>
    <n v="0"/>
    <n v="45"/>
    <n v="0"/>
    <n v="1"/>
    <n v="0"/>
    <n v="0"/>
    <x v="0"/>
    <s v="ZARKY'S FINE FOODS"/>
    <m/>
    <n v="32.64"/>
    <d v="2026-04-08T00:00:00"/>
    <m/>
  </r>
  <r>
    <s v="3067157"/>
    <n v="50"/>
    <s v="ONIND"/>
    <s v="ZORA"/>
    <d v="2026-04-06T00:00:00"/>
    <s v="C"/>
    <s v="A"/>
    <s v="10182593"/>
    <s v="20182593"/>
    <x v="72"/>
    <s v="CAPE CHIPS JALAPENO 220G"/>
    <n v="18"/>
    <n v="0"/>
    <n v="0"/>
    <n v="0"/>
    <m/>
    <m/>
    <n v="0"/>
    <n v="0"/>
    <n v="0"/>
    <n v="810"/>
    <n v="0"/>
    <n v="18"/>
    <n v="0"/>
    <n v="0"/>
    <x v="0"/>
    <s v="ZARKY'S FINE FOODS"/>
    <m/>
    <n v="587.52"/>
    <d v="2026-04-08T00:00:00"/>
    <m/>
  </r>
  <r>
    <s v="3067206"/>
    <n v="30"/>
    <s v="ATIND"/>
    <s v="ZORA"/>
    <d v="2026-04-06T00:00:00"/>
    <s v="C"/>
    <s v="A"/>
    <s v="10780161"/>
    <s v="20780161"/>
    <x v="36"/>
    <s v="BCC CHEESE MINI BUFFALO BOCCONCINI"/>
    <n v="4"/>
    <n v="0"/>
    <n v="0"/>
    <n v="0"/>
    <m/>
    <m/>
    <n v="0"/>
    <n v="0"/>
    <n v="0"/>
    <n v="43.04"/>
    <n v="0"/>
    <n v="4"/>
    <n v="0"/>
    <n v="0"/>
    <x v="0"/>
    <s v="CANNING &amp; CORNWALLIS VALUFOODS"/>
    <m/>
    <n v="139.91999999999999"/>
    <d v="2026-04-13T00:00:00"/>
    <m/>
  </r>
  <r>
    <s v="3067206"/>
    <n v="100"/>
    <s v="ATIND"/>
    <s v="ZORA"/>
    <d v="2026-04-06T00:00:00"/>
    <s v="C"/>
    <s v="A"/>
    <s v="10780161"/>
    <s v="20780161"/>
    <x v="36"/>
    <s v="BCC CHEESE MINI BUFFALO BOCCONCINI"/>
    <n v="2"/>
    <n v="0"/>
    <n v="0"/>
    <n v="0"/>
    <m/>
    <m/>
    <n v="0"/>
    <n v="0"/>
    <n v="0"/>
    <n v="21.52"/>
    <n v="0"/>
    <n v="2"/>
    <n v="0"/>
    <n v="0"/>
    <x v="0"/>
    <s v="CANNING &amp; CORNWALLIS VALUFOODS"/>
    <m/>
    <n v="69.959999999999994"/>
    <d v="2026-04-13T00:00:00"/>
    <m/>
  </r>
  <r>
    <s v="3067218"/>
    <n v="60"/>
    <s v="ONIND"/>
    <s v="ZORA"/>
    <d v="2026-04-06T00:00:00"/>
    <s v="C"/>
    <s v="A"/>
    <s v="10125105"/>
    <s v="20125105"/>
    <x v="28"/>
    <s v="CC 1057 SCOTTISH CHED 12X200G"/>
    <n v="49"/>
    <n v="0"/>
    <n v="0"/>
    <n v="0"/>
    <m/>
    <m/>
    <n v="0"/>
    <n v="0"/>
    <n v="0"/>
    <n v="1026.06"/>
    <n v="0"/>
    <n v="49"/>
    <n v="0"/>
    <n v="0"/>
    <x v="0"/>
    <s v="ELLIOT LAKE MEATS AND DELI"/>
    <m/>
    <n v="2142.77"/>
    <d v="2026-04-13T00:00:00"/>
    <m/>
  </r>
  <r>
    <s v="3067251"/>
    <n v="60"/>
    <s v="ATIND"/>
    <s v="ZORA"/>
    <d v="2026-04-06T00:00:00"/>
    <s v="C"/>
    <s v="A"/>
    <s v="10621400"/>
    <s v="20621400"/>
    <x v="28"/>
    <s v="CC 1057 SCOTTISH CHED 12X200G"/>
    <n v="12"/>
    <n v="0"/>
    <n v="0"/>
    <n v="0"/>
    <m/>
    <m/>
    <n v="0"/>
    <n v="0"/>
    <n v="0"/>
    <n v="251.28"/>
    <n v="0"/>
    <n v="12"/>
    <n v="0"/>
    <n v="0"/>
    <x v="0"/>
    <s v="WARD FOODS LTD"/>
    <m/>
    <n v="524.76"/>
    <d v="2026-04-14T00:00:00"/>
    <m/>
  </r>
  <r>
    <s v="3067280"/>
    <n v="20"/>
    <s v="FSIND"/>
    <s v="ZORA"/>
    <d v="2026-04-06T00:00:00"/>
    <s v="C"/>
    <s v="A"/>
    <s v="10074880"/>
    <s v="20074880"/>
    <x v="70"/>
    <s v="MCV DIGESTIVE MK CHOC 18591"/>
    <n v="9"/>
    <n v="0"/>
    <n v="0"/>
    <n v="0"/>
    <m/>
    <m/>
    <n v="0"/>
    <n v="0"/>
    <n v="0"/>
    <n v="116.01"/>
    <n v="0"/>
    <n v="9"/>
    <n v="0"/>
    <n v="0"/>
    <x v="2"/>
    <s v="WORLDWIDE SPECIALTY FOODS LTD"/>
    <m/>
    <n v="253.62"/>
    <d v="2026-04-09T00:00:00"/>
    <m/>
  </r>
  <r>
    <s v="3067479"/>
    <n v="160"/>
    <s v="BCIND"/>
    <s v="ZORA"/>
    <d v="2026-04-07T00:00:00"/>
    <s v="C"/>
    <s v="A"/>
    <s v="10001663"/>
    <s v="20001663"/>
    <x v="64"/>
    <s v="CERES JUICE GUAVA"/>
    <n v="10"/>
    <n v="0"/>
    <n v="0"/>
    <n v="0"/>
    <m/>
    <m/>
    <n v="0"/>
    <n v="0"/>
    <n v="0"/>
    <n v="356.8"/>
    <n v="0"/>
    <n v="10"/>
    <n v="0"/>
    <n v="0"/>
    <x v="1"/>
    <s v="FALCON ESSENTIALS"/>
    <m/>
    <n v="269.8"/>
    <d v="2026-04-09T00:00:00"/>
    <m/>
  </r>
  <r>
    <s v="3067868"/>
    <n v="40"/>
    <s v="LIQID"/>
    <s v="ZORA"/>
    <d v="2026-04-09T00:00:00"/>
    <s v="C"/>
    <s v="A"/>
    <s v="10225936"/>
    <s v="20225936"/>
    <x v="49"/>
    <s v="SOH PRETZEL PIECE CHEDDAR"/>
    <n v="60"/>
    <n v="0"/>
    <n v="0"/>
    <n v="0"/>
    <m/>
    <m/>
    <n v="0"/>
    <n v="0"/>
    <n v="0"/>
    <n v="360"/>
    <n v="0"/>
    <n v="60"/>
    <n v="0"/>
    <n v="0"/>
    <x v="0"/>
    <s v="ALMOST PERFECT"/>
    <m/>
    <n v="1596.6"/>
    <d v="2026-04-13T00:00:00"/>
    <m/>
  </r>
  <r>
    <s v="3068156"/>
    <n v="10"/>
    <s v="FSIND"/>
    <s v="ZORA"/>
    <d v="2026-04-09T00:00:00"/>
    <s v="C"/>
    <s v="A"/>
    <s v="10000936"/>
    <s v="20000936"/>
    <x v="73"/>
    <s v="MCV DIGESTIVE WHITE VANILLA"/>
    <n v="100"/>
    <n v="0"/>
    <n v="0"/>
    <n v="0"/>
    <m/>
    <m/>
    <n v="0"/>
    <n v="0"/>
    <n v="0"/>
    <n v="200"/>
    <n v="0"/>
    <n v="100"/>
    <n v="0"/>
    <n v="0"/>
    <x v="0"/>
    <s v="COUNTRY TRADITIONS FOODSERVICE"/>
    <m/>
    <n v="2808"/>
    <d v="2026-04-13T00:00:00"/>
    <m/>
  </r>
  <r>
    <s v="3068456"/>
    <n v="70"/>
    <s v="LIQID"/>
    <s v="ZORA"/>
    <d v="2026-04-13T00:00:00"/>
    <s v="C"/>
    <s v="A"/>
    <s v="10123006"/>
    <s v="20000913"/>
    <x v="64"/>
    <s v="CERES JUICE GUAVA"/>
    <n v="64"/>
    <n v="0"/>
    <n v="0"/>
    <n v="0"/>
    <m/>
    <m/>
    <n v="0"/>
    <n v="0"/>
    <n v="0"/>
    <n v="224"/>
    <n v="0"/>
    <n v="64"/>
    <n v="0"/>
    <n v="0"/>
    <x v="1"/>
    <s v="NUTRI-GLOBE-P/U FR SURREY BRANCH"/>
    <m/>
    <n v="1726.72"/>
    <d v="2026-04-15T00:00:00"/>
    <m/>
  </r>
  <r>
    <s v="3068456"/>
    <n v="130"/>
    <s v="LIQID"/>
    <s v="ZORA"/>
    <d v="2026-04-13T00:00:00"/>
    <s v="C"/>
    <s v="A"/>
    <s v="10123006"/>
    <s v="20000913"/>
    <x v="74"/>
    <s v="TST PUNJAB CHICKPEA MASALA"/>
    <n v="55"/>
    <n v="0"/>
    <n v="0"/>
    <n v="0"/>
    <m/>
    <m/>
    <n v="0"/>
    <n v="0"/>
    <n v="0"/>
    <n v="110"/>
    <n v="0"/>
    <n v="55"/>
    <n v="0"/>
    <n v="0"/>
    <x v="1"/>
    <s v="NUTRI-GLOBE-P/U FR SURREY BRANCH"/>
    <m/>
    <n v="872.3"/>
    <d v="2026-04-15T00:00:00"/>
    <m/>
  </r>
  <r>
    <s v="3068492"/>
    <n v="40"/>
    <s v="ATIND"/>
    <s v="ZORA"/>
    <d v="2026-04-13T00:00:00"/>
    <s v="C"/>
    <s v="A"/>
    <s v="10780161"/>
    <s v="20780161"/>
    <x v="36"/>
    <s v="BCC CHEESE MINI BUFFALO BOCCONCINI"/>
    <n v="1"/>
    <n v="0"/>
    <n v="0"/>
    <n v="0"/>
    <m/>
    <m/>
    <n v="0"/>
    <n v="0"/>
    <n v="0"/>
    <n v="10.76"/>
    <n v="0"/>
    <n v="1"/>
    <n v="0"/>
    <n v="0"/>
    <x v="0"/>
    <s v="CANNING &amp; CORNWALLIS VALUFOODS"/>
    <m/>
    <n v="34.979999999999997"/>
    <d v="2026-04-15T00:00:00"/>
    <m/>
  </r>
  <r>
    <s v="3068492"/>
    <n v="120"/>
    <s v="ATIND"/>
    <s v="ZORA"/>
    <d v="2026-04-13T00:00:00"/>
    <s v="C"/>
    <s v="A"/>
    <s v="10780161"/>
    <s v="20780161"/>
    <x v="36"/>
    <s v="BCC CHEESE MINI BUFFALO BOCCONCINI"/>
    <n v="12"/>
    <n v="0"/>
    <n v="0"/>
    <n v="0"/>
    <m/>
    <m/>
    <n v="0"/>
    <n v="0"/>
    <n v="0"/>
    <n v="129.12"/>
    <n v="0"/>
    <n v="12"/>
    <n v="0"/>
    <n v="0"/>
    <x v="0"/>
    <s v="CANNING &amp; CORNWALLIS VALUFOODS"/>
    <m/>
    <n v="419.76"/>
    <d v="2026-04-15T00:00:00"/>
    <m/>
  </r>
  <r>
    <s v="3068492"/>
    <n v="130"/>
    <s v="ATIND"/>
    <s v="ZORA"/>
    <d v="2026-04-13T00:00:00"/>
    <s v="C"/>
    <s v="A"/>
    <s v="10780161"/>
    <s v="20780161"/>
    <x v="35"/>
    <s v="BCC CHEESE BURRATA 6x250G"/>
    <n v="6"/>
    <n v="0"/>
    <n v="0"/>
    <n v="0"/>
    <m/>
    <m/>
    <n v="0"/>
    <n v="0"/>
    <n v="0"/>
    <n v="68.88"/>
    <n v="0"/>
    <n v="6"/>
    <n v="0"/>
    <n v="0"/>
    <x v="0"/>
    <s v="CANNING &amp; CORNWALLIS VALUFOODS"/>
    <m/>
    <n v="224.4"/>
    <d v="2026-04-15T00:00:00"/>
    <m/>
  </r>
  <r>
    <s v="3068492"/>
    <n v="190"/>
    <s v="ATIND"/>
    <s v="ZORA"/>
    <d v="2026-04-13T00:00:00"/>
    <s v="C"/>
    <s v="A"/>
    <s v="10780161"/>
    <s v="20780161"/>
    <x v="37"/>
    <s v="SGN SM CHEESE GOAT 180GR"/>
    <n v="15"/>
    <n v="0"/>
    <n v="0"/>
    <n v="0"/>
    <m/>
    <m/>
    <n v="0"/>
    <n v="0"/>
    <n v="0"/>
    <n v="112.8"/>
    <n v="0"/>
    <n v="15"/>
    <n v="0"/>
    <n v="0"/>
    <x v="0"/>
    <s v="CANNING &amp; CORNWALLIS VALUFOODS"/>
    <m/>
    <n v="456.45"/>
    <d v="2026-04-15T00:00:00"/>
    <m/>
  </r>
  <r>
    <s v="3068520"/>
    <n v="20"/>
    <s v="ONIND"/>
    <s v="ZORA"/>
    <d v="2026-04-13T00:00:00"/>
    <s v="C"/>
    <s v="A"/>
    <s v="10117854"/>
    <s v="20117854"/>
    <x v="36"/>
    <s v="BCC CHEESE MINI BUFFALO BOCCONCINI"/>
    <n v="12"/>
    <n v="0"/>
    <n v="0"/>
    <n v="0"/>
    <m/>
    <m/>
    <n v="0"/>
    <n v="0"/>
    <n v="0"/>
    <n v="129.12"/>
    <n v="0"/>
    <n v="12"/>
    <n v="0"/>
    <n v="0"/>
    <x v="0"/>
    <s v="MENDEL'S GLOBAL CHEESE (ONLY)"/>
    <m/>
    <n v="419.76"/>
    <d v="2026-04-15T00:00:00"/>
    <m/>
  </r>
  <r>
    <s v="3068520"/>
    <n v="30"/>
    <s v="ONIND"/>
    <s v="ZORA"/>
    <d v="2026-04-13T00:00:00"/>
    <s v="C"/>
    <s v="A"/>
    <s v="10117854"/>
    <s v="20117854"/>
    <x v="8"/>
    <s v="SNO BLACK BOMBER 1X2KG"/>
    <n v="9"/>
    <n v="0"/>
    <n v="0"/>
    <n v="0"/>
    <m/>
    <m/>
    <n v="0"/>
    <n v="0"/>
    <n v="0"/>
    <n v="144"/>
    <n v="0"/>
    <n v="9"/>
    <n v="18"/>
    <n v="0"/>
    <x v="0"/>
    <s v="MENDEL'S GLOBAL CHEESE (ONLY)"/>
    <m/>
    <n v="580.5"/>
    <d v="2026-04-15T00:00:00"/>
    <m/>
  </r>
  <r>
    <s v="3068520"/>
    <n v="40"/>
    <s v="ONIND"/>
    <s v="ZORA"/>
    <d v="2026-04-13T00:00:00"/>
    <s v="C"/>
    <s v="A"/>
    <s v="10117854"/>
    <s v="20117854"/>
    <x v="41"/>
    <s v="OKA CHEESE ORIGINAL 1X2.5KG"/>
    <n v="16"/>
    <n v="0"/>
    <n v="0"/>
    <n v="0"/>
    <m/>
    <m/>
    <n v="0"/>
    <n v="0"/>
    <n v="0"/>
    <n v="273.60000000000002"/>
    <n v="0"/>
    <n v="16"/>
    <n v="40"/>
    <n v="0"/>
    <x v="0"/>
    <s v="MENDEL'S GLOBAL CHEESE (ONLY)"/>
    <m/>
    <n v="1104.8"/>
    <d v="2026-04-15T00:00:00"/>
    <m/>
  </r>
  <r>
    <s v="3068524"/>
    <n v="90"/>
    <s v="ONIND"/>
    <s v="ZORA"/>
    <d v="2026-04-13T00:00:00"/>
    <s v="C"/>
    <s v="A"/>
    <s v="10182593"/>
    <s v="20182593"/>
    <x v="41"/>
    <s v="OKA CHEESE ORIGINAL 1X2.5KG"/>
    <n v="16"/>
    <n v="0"/>
    <n v="0"/>
    <n v="0"/>
    <m/>
    <m/>
    <n v="0"/>
    <n v="0"/>
    <n v="0"/>
    <n v="273.60000000000002"/>
    <n v="0"/>
    <n v="16"/>
    <n v="40"/>
    <n v="0"/>
    <x v="0"/>
    <s v="ZARKY'S FINE FOODS"/>
    <m/>
    <n v="1104.8"/>
    <d v="2026-04-15T00:00:00"/>
    <m/>
  </r>
  <r>
    <s v="3068555"/>
    <n v="110"/>
    <s v="ONIND"/>
    <s v="ZORA"/>
    <d v="2026-04-13T00:00:00"/>
    <s v="C"/>
    <s v="A"/>
    <s v="10125105"/>
    <s v="20125105"/>
    <x v="35"/>
    <s v="BCC CHEESE BURRATA 6x250G"/>
    <n v="24"/>
    <n v="0"/>
    <n v="0"/>
    <n v="0"/>
    <m/>
    <m/>
    <n v="0"/>
    <n v="0"/>
    <n v="0"/>
    <n v="275.52"/>
    <n v="0"/>
    <n v="24"/>
    <n v="0"/>
    <n v="0"/>
    <x v="0"/>
    <s v="ELLIOT LAKE MEATS AND DELI"/>
    <m/>
    <n v="897.6"/>
    <d v="2026-04-20T00:00:00"/>
    <m/>
  </r>
  <r>
    <s v="3068555"/>
    <n v="190"/>
    <s v="ONIND"/>
    <s v="ZORA"/>
    <d v="2026-04-13T00:00:00"/>
    <s v="C"/>
    <s v="A"/>
    <s v="10125105"/>
    <s v="20125105"/>
    <x v="37"/>
    <s v="SGN SM CHEESE GOAT 180GR"/>
    <n v="15"/>
    <n v="0"/>
    <n v="0"/>
    <n v="0"/>
    <m/>
    <m/>
    <n v="0"/>
    <n v="0"/>
    <n v="0"/>
    <n v="112.8"/>
    <n v="0"/>
    <n v="15"/>
    <n v="0"/>
    <n v="0"/>
    <x v="0"/>
    <s v="ELLIOT LAKE MEATS AND DELI"/>
    <m/>
    <n v="456.45"/>
    <d v="2026-04-20T00:00:00"/>
    <m/>
  </r>
  <r>
    <s v="3068555"/>
    <n v="220"/>
    <s v="ONIND"/>
    <s v="ZORA"/>
    <d v="2026-04-13T00:00:00"/>
    <s v="C"/>
    <s v="A"/>
    <s v="10125105"/>
    <s v="20125105"/>
    <x v="35"/>
    <s v="BCC CHEESE BURRATA 6x250G"/>
    <n v="1"/>
    <n v="0"/>
    <n v="0"/>
    <n v="0"/>
    <m/>
    <m/>
    <n v="0"/>
    <n v="0"/>
    <n v="0"/>
    <n v="11.48"/>
    <n v="0"/>
    <n v="1"/>
    <n v="0"/>
    <n v="0"/>
    <x v="0"/>
    <s v="ELLIOT LAKE MEATS AND DELI"/>
    <m/>
    <n v="37.4"/>
    <d v="2026-04-20T00:00:00"/>
    <m/>
  </r>
  <r>
    <s v="3068555"/>
    <n v="290"/>
    <s v="ONIND"/>
    <s v="ZORA"/>
    <d v="2026-04-13T00:00:00"/>
    <s v="C"/>
    <s v="A"/>
    <s v="10125105"/>
    <s v="20125105"/>
    <x v="62"/>
    <s v="BEL KIRI CHESSE 150G TUB"/>
    <n v="7"/>
    <n v="0"/>
    <n v="0"/>
    <n v="0"/>
    <m/>
    <m/>
    <n v="0"/>
    <n v="0"/>
    <n v="0"/>
    <n v="59.57"/>
    <n v="0"/>
    <n v="7"/>
    <n v="0"/>
    <n v="0"/>
    <x v="0"/>
    <s v="ELLIOT LAKE MEATS AND DELI"/>
    <m/>
    <n v="165.9"/>
    <d v="2026-04-20T00:00:00"/>
    <m/>
  </r>
  <r>
    <s v="3068555"/>
    <n v="320"/>
    <s v="ONIND"/>
    <s v="ZORA"/>
    <d v="2026-04-13T00:00:00"/>
    <s v="C"/>
    <s v="A"/>
    <s v="10125105"/>
    <s v="20125105"/>
    <x v="75"/>
    <s v="BEL TLC CHEESE DIPPERS 1X"/>
    <n v="91"/>
    <n v="0"/>
    <n v="0"/>
    <n v="0"/>
    <m/>
    <m/>
    <n v="0"/>
    <n v="0"/>
    <n v="0"/>
    <n v="273"/>
    <n v="0"/>
    <n v="91"/>
    <n v="0"/>
    <n v="0"/>
    <x v="0"/>
    <s v="ELLIOT LAKE MEATS AND DELI"/>
    <m/>
    <n v="1399.58"/>
    <d v="2026-04-20T00:00:00"/>
    <m/>
  </r>
  <r>
    <s v="3068610"/>
    <n v="10"/>
    <s v="ATIND"/>
    <s v="ZORA"/>
    <d v="2026-04-13T00:00:00"/>
    <s v="C"/>
    <s v="A"/>
    <s v="10621400"/>
    <s v="20621400"/>
    <x v="75"/>
    <s v="BEL TLC CHEESE DIPPERS 1X"/>
    <n v="12"/>
    <n v="0"/>
    <n v="0"/>
    <n v="0"/>
    <m/>
    <m/>
    <n v="0"/>
    <n v="0"/>
    <n v="0"/>
    <n v="64.2"/>
    <n v="0"/>
    <n v="12"/>
    <n v="0"/>
    <n v="0"/>
    <x v="0"/>
    <s v="WARD FOODS LTD"/>
    <m/>
    <n v="184.56"/>
    <d v="2026-04-22T00:00:00"/>
    <m/>
  </r>
  <r>
    <s v="3068874"/>
    <n v="10"/>
    <s v="BCIND"/>
    <s v="ZORA"/>
    <d v="2026-04-14T00:00:00"/>
    <s v="C"/>
    <s v="A"/>
    <s v="10066089"/>
    <s v="20066089"/>
    <x v="31"/>
    <s v="OKA CHEESE CLASSIQ 1X2.5KG"/>
    <n v="1"/>
    <n v="0"/>
    <n v="0"/>
    <n v="0"/>
    <m/>
    <m/>
    <n v="0"/>
    <n v="0"/>
    <n v="0"/>
    <n v="18.579999999999998"/>
    <n v="0"/>
    <n v="1"/>
    <n v="2.5"/>
    <n v="0"/>
    <x v="1"/>
    <s v="SUNRISE MARKET  CLEAROUT"/>
    <m/>
    <n v="77.3"/>
    <d v="2026-04-17T00:00:00"/>
    <m/>
  </r>
  <r>
    <s v="3068874"/>
    <n v="70"/>
    <s v="BCIND"/>
    <s v="ZORA"/>
    <d v="2026-04-14T00:00:00"/>
    <s v="C"/>
    <s v="A"/>
    <s v="10066089"/>
    <s v="20066089"/>
    <x v="76"/>
    <s v="SCHAR CRACKERS MULTIGRAIN GF"/>
    <n v="2"/>
    <n v="0"/>
    <n v="0"/>
    <n v="0"/>
    <m/>
    <m/>
    <n v="0"/>
    <n v="0"/>
    <n v="0"/>
    <n v="17.04"/>
    <n v="0"/>
    <n v="2"/>
    <n v="0"/>
    <n v="0"/>
    <x v="1"/>
    <s v="SUNRISE MARKET  CLEAROUT"/>
    <m/>
    <n v="46.14"/>
    <d v="2026-04-17T00:00:00"/>
    <m/>
  </r>
  <r>
    <s v="3068874"/>
    <n v="120"/>
    <s v="BCIND"/>
    <s v="ZORA"/>
    <d v="2026-04-14T00:00:00"/>
    <s v="C"/>
    <s v="A"/>
    <s v="10066089"/>
    <s v="20066089"/>
    <x v="77"/>
    <s v="SCHAR MUFFIN CLASSIC GF"/>
    <n v="2"/>
    <n v="0"/>
    <n v="0"/>
    <n v="0"/>
    <m/>
    <m/>
    <n v="0"/>
    <n v="0"/>
    <n v="0"/>
    <n v="13.82"/>
    <n v="0"/>
    <n v="2"/>
    <n v="0"/>
    <n v="0"/>
    <x v="1"/>
    <s v="SUNRISE MARKET  CLEAROUT"/>
    <m/>
    <n v="36.76"/>
    <d v="2026-04-17T00:00:00"/>
    <m/>
  </r>
  <r>
    <s v="3068874"/>
    <n v="150"/>
    <s v="BCIND"/>
    <s v="ZORA"/>
    <d v="2026-04-14T00:00:00"/>
    <s v="C"/>
    <s v="A"/>
    <s v="10066089"/>
    <s v="20066089"/>
    <x v="18"/>
    <s v="LBS POSH PRALINE ALMD 45G"/>
    <n v="1"/>
    <n v="0"/>
    <n v="0"/>
    <n v="0"/>
    <m/>
    <m/>
    <n v="0"/>
    <n v="0"/>
    <n v="0"/>
    <n v="11.75"/>
    <n v="0"/>
    <n v="1"/>
    <n v="0"/>
    <n v="0"/>
    <x v="1"/>
    <s v="SUNRISE MARKET  CLEAROUT"/>
    <m/>
    <n v="32.61"/>
    <d v="2026-04-17T00:00:00"/>
    <m/>
  </r>
  <r>
    <s v="3068874"/>
    <n v="170"/>
    <s v="BCIND"/>
    <s v="ZORA"/>
    <d v="2026-04-14T00:00:00"/>
    <s v="C"/>
    <s v="A"/>
    <s v="10066089"/>
    <s v="20066089"/>
    <x v="78"/>
    <s v="LBS HEARTY TAMARI 45G PP"/>
    <n v="1"/>
    <n v="0"/>
    <n v="0"/>
    <n v="0"/>
    <m/>
    <m/>
    <n v="0"/>
    <n v="0"/>
    <n v="0"/>
    <n v="11.75"/>
    <n v="0"/>
    <n v="1"/>
    <n v="0"/>
    <n v="0"/>
    <x v="1"/>
    <s v="SUNRISE MARKET  CLEAROUT"/>
    <m/>
    <n v="32.950000000000003"/>
    <d v="2026-04-17T00:00:00"/>
    <m/>
  </r>
  <r>
    <s v="3068874"/>
    <n v="180"/>
    <s v="BCIND"/>
    <s v="ZORA"/>
    <d v="2026-04-14T00:00:00"/>
    <s v="C"/>
    <s v="A"/>
    <s v="10066089"/>
    <s v="20066089"/>
    <x v="79"/>
    <s v="SCHAR BREAD A B 10GRN 8PK GF"/>
    <n v="2"/>
    <n v="0"/>
    <n v="0"/>
    <n v="0"/>
    <m/>
    <m/>
    <n v="0"/>
    <n v="0"/>
    <n v="0"/>
    <n v="28.2"/>
    <n v="0"/>
    <n v="2"/>
    <n v="0"/>
    <n v="0"/>
    <x v="1"/>
    <s v="SUNRISE MARKET  CLEAROUT"/>
    <m/>
    <n v="82.32"/>
    <d v="2026-04-17T00:00:00"/>
    <m/>
  </r>
  <r>
    <s v="3068874"/>
    <n v="230"/>
    <s v="BCIND"/>
    <s v="ZORA"/>
    <d v="2026-04-14T00:00:00"/>
    <s v="C"/>
    <s v="A"/>
    <s v="10066089"/>
    <s v="20066089"/>
    <x v="71"/>
    <s v="LR RICE CILANTRO LIME ORG"/>
    <n v="2"/>
    <n v="0"/>
    <n v="0"/>
    <n v="0"/>
    <m/>
    <m/>
    <n v="0"/>
    <n v="0"/>
    <n v="0"/>
    <n v="15.52"/>
    <n v="0"/>
    <n v="2"/>
    <n v="0"/>
    <n v="0"/>
    <x v="1"/>
    <s v="SUNRISE MARKET  CLEAROUT"/>
    <m/>
    <n v="45.92"/>
    <d v="2026-04-17T00:00:00"/>
    <m/>
  </r>
  <r>
    <s v="3068906"/>
    <n v="30"/>
    <s v="ONIND"/>
    <s v="ZORA"/>
    <d v="2026-04-14T00:00:00"/>
    <s v="C"/>
    <s v="A"/>
    <s v="10130584"/>
    <s v="20130584"/>
    <x v="8"/>
    <s v="SNO BLACK BOMBER 1X2KG"/>
    <n v="9"/>
    <n v="0"/>
    <n v="0"/>
    <n v="0"/>
    <m/>
    <m/>
    <n v="0"/>
    <n v="0"/>
    <n v="0"/>
    <n v="144"/>
    <n v="0"/>
    <n v="9"/>
    <n v="18"/>
    <n v="0"/>
    <x v="0"/>
    <s v="OLYMPIC FOOD &amp; CHEESE MART CHSE"/>
    <m/>
    <n v="580.5"/>
    <d v="2026-04-16T00:00:00"/>
    <m/>
  </r>
  <r>
    <s v="3068906"/>
    <n v="40"/>
    <s v="ONIND"/>
    <s v="ZORA"/>
    <d v="2026-04-14T00:00:00"/>
    <s v="C"/>
    <s v="A"/>
    <s v="10130584"/>
    <s v="20130584"/>
    <x v="41"/>
    <s v="OKA CHEESE ORIGINAL 1X2.5KG"/>
    <n v="16"/>
    <n v="0"/>
    <n v="0"/>
    <n v="0"/>
    <m/>
    <m/>
    <n v="0"/>
    <n v="0"/>
    <n v="0"/>
    <n v="273.60000000000002"/>
    <n v="0"/>
    <n v="16"/>
    <n v="40"/>
    <n v="0"/>
    <x v="0"/>
    <s v="OLYMPIC FOOD &amp; CHEESE MART CHSE"/>
    <m/>
    <n v="1105.2"/>
    <d v="2026-04-16T00:00:00"/>
    <m/>
  </r>
  <r>
    <s v="3069321"/>
    <n v="20"/>
    <s v="FSIND"/>
    <s v="ZORA"/>
    <d v="2026-04-16T00:00:00"/>
    <s v="C"/>
    <s v="A"/>
    <s v="10000936"/>
    <s v="20000936"/>
    <x v="35"/>
    <s v="BCC CHEESE BURRATA 6x250G"/>
    <n v="24"/>
    <n v="0"/>
    <n v="0"/>
    <n v="0"/>
    <m/>
    <m/>
    <n v="0"/>
    <n v="0"/>
    <n v="0"/>
    <n v="72"/>
    <n v="0"/>
    <n v="24"/>
    <n v="0"/>
    <n v="0"/>
    <x v="0"/>
    <s v="COUNTRY TRADITIONS FOODSERVICE"/>
    <m/>
    <n v="897.6"/>
    <d v="2026-04-20T00:00:00"/>
    <m/>
  </r>
  <r>
    <s v="3069321"/>
    <n v="40"/>
    <s v="FSIND"/>
    <s v="ZORA"/>
    <d v="2026-04-16T00:00:00"/>
    <s v="C"/>
    <s v="A"/>
    <s v="10000936"/>
    <s v="20000936"/>
    <x v="36"/>
    <s v="BCC CHEESE MINI BUFFALO BOCCONCINI"/>
    <n v="12"/>
    <n v="0"/>
    <n v="0"/>
    <n v="0"/>
    <m/>
    <m/>
    <n v="0"/>
    <n v="0"/>
    <n v="0"/>
    <n v="48"/>
    <n v="0"/>
    <n v="12"/>
    <n v="0"/>
    <n v="0"/>
    <x v="0"/>
    <s v="COUNTRY TRADITIONS FOODSERVICE"/>
    <m/>
    <n v="419.76"/>
    <d v="2026-04-20T00:00:00"/>
    <m/>
  </r>
  <r>
    <s v="3069321"/>
    <n v="90"/>
    <s v="FSIND"/>
    <s v="ZORA"/>
    <d v="2026-04-16T00:00:00"/>
    <s v="C"/>
    <s v="A"/>
    <s v="10000936"/>
    <s v="20000936"/>
    <x v="6"/>
    <s v="CLAWSON HUNTSMN 5 LAY BULK 2X2KG"/>
    <n v="24"/>
    <n v="0"/>
    <n v="0"/>
    <n v="0"/>
    <m/>
    <m/>
    <n v="0"/>
    <n v="0"/>
    <n v="0"/>
    <n v="816"/>
    <n v="0"/>
    <n v="24"/>
    <n v="96"/>
    <n v="0"/>
    <x v="0"/>
    <s v="COUNTRY TRADITIONS FOODSERVICE"/>
    <m/>
    <n v="2352.96"/>
    <d v="2026-04-20T00:00:00"/>
    <m/>
  </r>
  <r>
    <s v="3069886"/>
    <n v="80"/>
    <s v="ONIND"/>
    <s v="ZORA"/>
    <d v="2026-04-20T00:00:00"/>
    <s v="C"/>
    <s v="A"/>
    <s v="10125105"/>
    <s v="20125105"/>
    <x v="35"/>
    <s v="BCC CHEESE BURRATA 6x250G"/>
    <n v="1"/>
    <n v="0"/>
    <n v="0"/>
    <n v="0"/>
    <m/>
    <m/>
    <n v="0"/>
    <n v="0"/>
    <n v="0"/>
    <n v="11.48"/>
    <n v="0"/>
    <n v="1"/>
    <n v="0"/>
    <n v="0"/>
    <x v="0"/>
    <s v="ELLIOT LAKE MEATS AND DELI"/>
    <m/>
    <n v="37.4"/>
    <d v="2026-04-27T00:00:00"/>
    <m/>
  </r>
  <r>
    <s v="3069886"/>
    <n v="160"/>
    <s v="ONIND"/>
    <s v="ZORA"/>
    <d v="2026-04-20T00:00:00"/>
    <s v="C"/>
    <s v="A"/>
    <s v="10125105"/>
    <s v="20125105"/>
    <x v="45"/>
    <s v="BEL BOUR 150G CRACKD BLK PEP"/>
    <n v="4"/>
    <n v="0"/>
    <n v="0"/>
    <n v="0"/>
    <m/>
    <m/>
    <n v="0"/>
    <n v="0"/>
    <n v="0"/>
    <n v="35.56"/>
    <n v="0"/>
    <n v="4"/>
    <n v="0"/>
    <n v="0"/>
    <x v="0"/>
    <s v="ELLIOT LAKE MEATS AND DELI"/>
    <m/>
    <n v="104.44"/>
    <d v="2026-04-27T00:00:00"/>
    <m/>
  </r>
  <r>
    <s v="3069942"/>
    <n v="90"/>
    <s v="ONIND"/>
    <s v="ZORA"/>
    <d v="2026-04-20T00:00:00"/>
    <s v="C"/>
    <s v="A"/>
    <s v="10110520"/>
    <s v="20110520"/>
    <x v="41"/>
    <s v="OKA CHEESE ORIGINAL 1X2.5KG"/>
    <n v="16"/>
    <n v="0"/>
    <n v="0"/>
    <n v="0"/>
    <m/>
    <m/>
    <n v="0"/>
    <n v="0"/>
    <n v="0"/>
    <n v="273.60000000000002"/>
    <n v="0"/>
    <n v="16"/>
    <n v="40"/>
    <n v="0"/>
    <x v="0"/>
    <s v="LADY YORK"/>
    <m/>
    <n v="1105.2"/>
    <d v="2026-04-23T00:00:00"/>
    <m/>
  </r>
  <r>
    <s v="3070140"/>
    <n v="210"/>
    <s v="ATIND"/>
    <s v="ZORA"/>
    <d v="2026-04-21T00:00:00"/>
    <s v="C"/>
    <s v="A"/>
    <s v="10780161"/>
    <s v="20780161"/>
    <x v="45"/>
    <s v="BEL BOUR 150G CRACKD BLK PEP"/>
    <n v="4"/>
    <n v="0"/>
    <n v="0"/>
    <n v="0"/>
    <m/>
    <m/>
    <n v="0"/>
    <n v="0"/>
    <n v="0"/>
    <n v="35.56"/>
    <n v="0"/>
    <n v="4"/>
    <n v="0"/>
    <n v="0"/>
    <x v="0"/>
    <s v="CANNING &amp; CORNWALLIS VALUFOODS"/>
    <m/>
    <n v="104.44"/>
    <d v="2026-04-29T00:00:00"/>
    <m/>
  </r>
  <r>
    <s v="3070811"/>
    <n v="50"/>
    <s v="LIQID"/>
    <s v="ZORA"/>
    <d v="2026-04-23T00:00:00"/>
    <s v="C"/>
    <s v="A"/>
    <s v="10150032"/>
    <s v="20150032"/>
    <x v="41"/>
    <s v="OKA CHEESE ORIGINAL 1X2.5KG"/>
    <n v="16"/>
    <n v="0"/>
    <n v="0"/>
    <n v="0"/>
    <m/>
    <m/>
    <n v="0"/>
    <n v="0"/>
    <n v="0"/>
    <n v="200"/>
    <n v="0"/>
    <n v="16"/>
    <n v="40"/>
    <n v="0"/>
    <x v="0"/>
    <s v="COUNTRY TRADITIONS FROZEN FOODS"/>
    <m/>
    <n v="1116.4000000000001"/>
    <d v="2026-04-27T00:00:00"/>
    <m/>
  </r>
  <r>
    <s v="3071269"/>
    <n v="90"/>
    <s v="ONIND"/>
    <s v="ZORA"/>
    <d v="2026-04-27T00:00:00"/>
    <s v="C"/>
    <s v="A"/>
    <s v="10182593"/>
    <s v="20182593"/>
    <x v="45"/>
    <s v="BEL BOUR 150G CRACKD BLK PEP"/>
    <n v="4"/>
    <n v="0"/>
    <n v="0"/>
    <n v="0"/>
    <m/>
    <m/>
    <n v="0"/>
    <n v="0"/>
    <n v="0"/>
    <n v="35.56"/>
    <n v="0"/>
    <n v="4"/>
    <n v="0"/>
    <n v="0"/>
    <x v="0"/>
    <s v="ZARKY'S FINE FOODS"/>
    <m/>
    <n v="102.16"/>
    <d v="2026-04-29T00:00:00"/>
    <m/>
  </r>
  <r>
    <s v="3071605"/>
    <n v="10"/>
    <s v="ATIND"/>
    <s v="ZORA"/>
    <d v="2026-04-28T00:00:00"/>
    <s v="C"/>
    <s v="A"/>
    <s v="10780161"/>
    <s v="20780161"/>
    <x v="41"/>
    <s v="OKA CHEESE ORIGINAL 1X2.5KG"/>
    <n v="5"/>
    <n v="0"/>
    <n v="0"/>
    <n v="0"/>
    <m/>
    <m/>
    <n v="0"/>
    <n v="0"/>
    <n v="0"/>
    <n v="85.5"/>
    <n v="0"/>
    <n v="5"/>
    <n v="12.5"/>
    <n v="0"/>
    <x v="0"/>
    <s v="CANNING &amp; CORNWALLIS VALUFOODS"/>
    <m/>
    <n v="348.13"/>
    <d v="2026-05-05T00:00:00"/>
    <m/>
  </r>
  <r>
    <s v="3071605"/>
    <n v="260"/>
    <s v="ATIND"/>
    <s v="ZORA"/>
    <d v="2026-04-28T00:00:00"/>
    <s v="C"/>
    <s v="A"/>
    <s v="10780161"/>
    <s v="20780161"/>
    <x v="80"/>
    <s v="TST ORIG TIKKA MASALA"/>
    <n v="5"/>
    <n v="0"/>
    <n v="0"/>
    <n v="0"/>
    <m/>
    <m/>
    <n v="0"/>
    <n v="0"/>
    <n v="0"/>
    <n v="59"/>
    <n v="0"/>
    <n v="5"/>
    <n v="0"/>
    <n v="0"/>
    <x v="0"/>
    <s v="CANNING &amp; CORNWALLIS VALUFOODS"/>
    <m/>
    <n v="74.95"/>
    <d v="2026-05-05T00:00:00"/>
    <m/>
  </r>
  <r>
    <s v="3071922"/>
    <n v="40"/>
    <s v="BCIND"/>
    <s v="ZORA"/>
    <d v="2026-04-29T00:00:00"/>
    <s v="C"/>
    <s v="A"/>
    <s v="10066089"/>
    <s v="20066089"/>
    <x v="81"/>
    <s v="MACY'S CHEESESTK ORIG CHED"/>
    <n v="2"/>
    <n v="0"/>
    <n v="0"/>
    <n v="0"/>
    <m/>
    <m/>
    <n v="0"/>
    <n v="0"/>
    <n v="0"/>
    <n v="13.06"/>
    <n v="0"/>
    <n v="2"/>
    <n v="0"/>
    <n v="0"/>
    <x v="1"/>
    <s v="SUNRISE MARKET  CLEAROUT"/>
    <m/>
    <n v="39.340000000000003"/>
    <d v="2026-05-01T00:00:00"/>
    <m/>
  </r>
  <r>
    <s v="3071922"/>
    <n v="70"/>
    <s v="BCIND"/>
    <s v="ZORA"/>
    <d v="2026-04-29T00:00:00"/>
    <s v="C"/>
    <s v="A"/>
    <s v="10066089"/>
    <s v="20066089"/>
    <x v="3"/>
    <s v="STW 170G FIRM APPNZLR STYL"/>
    <n v="3"/>
    <n v="0"/>
    <n v="0"/>
    <n v="0"/>
    <m/>
    <m/>
    <n v="0"/>
    <n v="0"/>
    <n v="0"/>
    <n v="70.56"/>
    <n v="0"/>
    <n v="3"/>
    <n v="0"/>
    <n v="0"/>
    <x v="1"/>
    <s v="SUNRISE MARKET  CLEAROUT"/>
    <m/>
    <n v="217.26"/>
    <d v="2026-05-01T00:00:00"/>
    <m/>
  </r>
  <r>
    <s v="3071922"/>
    <n v="120"/>
    <s v="BCIND"/>
    <s v="ZORA"/>
    <d v="2026-04-29T00:00:00"/>
    <s v="C"/>
    <s v="A"/>
    <s v="10066089"/>
    <s v="20066089"/>
    <x v="30"/>
    <s v="CL LAVENDER GOODA"/>
    <n v="3"/>
    <n v="0"/>
    <n v="0"/>
    <n v="0"/>
    <m/>
    <m/>
    <n v="0"/>
    <n v="0"/>
    <n v="0"/>
    <n v="132.34"/>
    <n v="0"/>
    <n v="3"/>
    <n v="14.4"/>
    <n v="0"/>
    <x v="1"/>
    <s v="SUNRISE MARKET  CLEAROUT"/>
    <m/>
    <n v="280.94"/>
    <d v="2026-05-01T00:00:00"/>
    <m/>
  </r>
  <r>
    <s v="3072286"/>
    <n v="40"/>
    <s v="LIQID"/>
    <s v="ZORA"/>
    <d v="2026-04-30T00:00:00"/>
    <s v="C"/>
    <s v="A"/>
    <s v="10150032"/>
    <s v="20150032"/>
    <x v="28"/>
    <s v="CC 1057 SCOTTISH CHED 12X200G"/>
    <n v="20"/>
    <n v="0"/>
    <n v="0"/>
    <n v="0"/>
    <m/>
    <m/>
    <n v="0"/>
    <n v="0"/>
    <n v="0"/>
    <n v="360"/>
    <n v="0"/>
    <n v="20"/>
    <n v="0"/>
    <n v="0"/>
    <x v="0"/>
    <s v="COUNTRY TRADITIONS FROZEN FOODS"/>
    <m/>
    <n v="874.4"/>
    <d v="2026-05-04T00:00:00"/>
    <m/>
  </r>
  <r>
    <s v="3072286"/>
    <n v="140"/>
    <s v="LIQID"/>
    <s v="ZORA"/>
    <d v="2026-04-30T00:00:00"/>
    <s v="C"/>
    <s v="A"/>
    <s v="10150032"/>
    <s v="20150032"/>
    <x v="1"/>
    <s v="SNO AMBER MIST 6X200G"/>
    <n v="6"/>
    <n v="0"/>
    <n v="0"/>
    <n v="0"/>
    <m/>
    <m/>
    <n v="0"/>
    <n v="0"/>
    <n v="0"/>
    <n v="48"/>
    <n v="0"/>
    <n v="6"/>
    <n v="0"/>
    <n v="0"/>
    <x v="0"/>
    <s v="COUNTRY TRADITIONS FROZEN FOODS"/>
    <m/>
    <n v="253.44"/>
    <d v="2026-05-04T00:00:00"/>
    <m/>
  </r>
  <r>
    <s v="3072286"/>
    <n v="210"/>
    <s v="LIQID"/>
    <s v="ZORA"/>
    <d v="2026-04-30T00:00:00"/>
    <s v="C"/>
    <s v="A"/>
    <s v="10150032"/>
    <s v="20150032"/>
    <x v="45"/>
    <s v="BEL BOUR 150G CRACKD BLK PEP"/>
    <n v="4"/>
    <n v="0"/>
    <n v="0"/>
    <n v="0"/>
    <m/>
    <m/>
    <n v="0"/>
    <n v="0"/>
    <n v="0"/>
    <n v="28"/>
    <n v="0"/>
    <n v="4"/>
    <n v="0"/>
    <n v="0"/>
    <x v="0"/>
    <s v="COUNTRY TRADITIONS FROZEN FOODS"/>
    <m/>
    <n v="102"/>
    <d v="2026-05-04T00:00:00"/>
    <m/>
  </r>
  <r>
    <s v="3072286"/>
    <n v="270"/>
    <s v="LIQID"/>
    <s v="ZORA"/>
    <d v="2026-04-30T00:00:00"/>
    <s v="C"/>
    <s v="A"/>
    <s v="10150032"/>
    <s v="20150032"/>
    <x v="82"/>
    <s v="CB WH CHOC MACAD NUT"/>
    <n v="22"/>
    <n v="0"/>
    <n v="0"/>
    <n v="0"/>
    <m/>
    <m/>
    <n v="0"/>
    <n v="0"/>
    <n v="0"/>
    <n v="88"/>
    <n v="0"/>
    <n v="22"/>
    <n v="0"/>
    <n v="0"/>
    <x v="0"/>
    <s v="COUNTRY TRADITIONS FROZEN FOODS"/>
    <m/>
    <n v="368.72"/>
    <d v="2026-05-04T00:00:00"/>
    <m/>
  </r>
  <r>
    <s v="3072286"/>
    <n v="280"/>
    <s v="LIQID"/>
    <s v="ZORA"/>
    <d v="2026-04-30T00:00:00"/>
    <s v="C"/>
    <s v="A"/>
    <s v="10150032"/>
    <s v="20150032"/>
    <x v="30"/>
    <s v="CL LAVENDER GOODA"/>
    <n v="8"/>
    <n v="0"/>
    <n v="0"/>
    <n v="0"/>
    <m/>
    <m/>
    <n v="0"/>
    <n v="0"/>
    <n v="0"/>
    <n v="268.8"/>
    <n v="0"/>
    <n v="8"/>
    <n v="38.4"/>
    <n v="0"/>
    <x v="0"/>
    <s v="COUNTRY TRADITIONS FROZEN FOODS"/>
    <m/>
    <n v="747.65"/>
    <d v="2026-05-04T00:00:00"/>
    <m/>
  </r>
  <r>
    <s v="3072286"/>
    <n v="450"/>
    <s v="LIQID"/>
    <s v="ZORA"/>
    <d v="2026-04-30T00:00:00"/>
    <s v="C"/>
    <s v="A"/>
    <s v="10150032"/>
    <s v="20150032"/>
    <x v="83"/>
    <s v="JW FINGERS 40G BULK"/>
    <n v="166"/>
    <n v="0"/>
    <n v="0"/>
    <n v="0"/>
    <m/>
    <m/>
    <n v="0"/>
    <n v="0"/>
    <n v="0"/>
    <n v="2988"/>
    <n v="0"/>
    <n v="166"/>
    <n v="0"/>
    <n v="0"/>
    <x v="0"/>
    <s v="COUNTRY TRADITIONS FROZEN FOODS"/>
    <m/>
    <n v="9578.2000000000007"/>
    <d v="2026-05-04T00:00:00"/>
    <m/>
  </r>
  <r>
    <s v="3072804"/>
    <n v="10"/>
    <s v="ATIND"/>
    <s v="ZORA"/>
    <d v="2026-05-04T00:00:00"/>
    <s v="C"/>
    <s v="A"/>
    <s v="10780161"/>
    <s v="20780161"/>
    <x v="41"/>
    <s v="OKA CHEESE ORIGINAL 1X2.5KG"/>
    <n v="5"/>
    <n v="0"/>
    <n v="0"/>
    <n v="0"/>
    <m/>
    <m/>
    <n v="0"/>
    <n v="0"/>
    <n v="0"/>
    <n v="85.5"/>
    <n v="0"/>
    <n v="5"/>
    <n v="12.5"/>
    <n v="0"/>
    <x v="0"/>
    <s v="CANNING &amp; CORNWALLIS VALUFOODS"/>
    <m/>
    <n v="352.75"/>
    <d v="2026-05-11T00:00:00"/>
    <m/>
  </r>
  <r>
    <s v="3072826"/>
    <n v="120"/>
    <s v="ONIND"/>
    <s v="ZORA"/>
    <d v="2026-05-04T00:00:00"/>
    <s v="C"/>
    <s v="A"/>
    <s v="10161543"/>
    <s v="20161543"/>
    <x v="24"/>
    <s v="BD ALM BREEZE VANILLA"/>
    <n v="12"/>
    <n v="0"/>
    <n v="0"/>
    <n v="0"/>
    <m/>
    <m/>
    <n v="0"/>
    <n v="0"/>
    <n v="0"/>
    <n v="117.24"/>
    <n v="0"/>
    <n v="12"/>
    <n v="0"/>
    <n v="0"/>
    <x v="0"/>
    <s v="SHARPE'S FOOD MARKET"/>
    <m/>
    <n v="308.39999999999998"/>
    <d v="2026-05-06T00:00:00"/>
    <m/>
  </r>
  <r>
    <s v="3072829"/>
    <n v="40"/>
    <s v="ONIND"/>
    <s v="ZORA"/>
    <d v="2026-05-04T00:00:00"/>
    <s v="C"/>
    <s v="A"/>
    <s v="10125105"/>
    <s v="20125105"/>
    <x v="31"/>
    <s v="OKA CHEESE CLASSIQ 1X2.5KG"/>
    <n v="10"/>
    <n v="0"/>
    <n v="0"/>
    <n v="0"/>
    <m/>
    <m/>
    <n v="0"/>
    <n v="0"/>
    <n v="0"/>
    <n v="185.75"/>
    <n v="0"/>
    <n v="10"/>
    <n v="25"/>
    <n v="0"/>
    <x v="0"/>
    <s v="ELLIOT LAKE MEATS AND DELI"/>
    <m/>
    <n v="763.5"/>
    <d v="2026-05-11T00:00:00"/>
    <m/>
  </r>
  <r>
    <s v="3072829"/>
    <n v="80"/>
    <s v="ONIND"/>
    <s v="ZORA"/>
    <d v="2026-05-04T00:00:00"/>
    <s v="C"/>
    <s v="A"/>
    <s v="10125105"/>
    <s v="20125105"/>
    <x v="29"/>
    <s v="AGROSGN BRIE DBL CREAM 170G"/>
    <n v="18"/>
    <n v="0"/>
    <n v="0"/>
    <n v="0"/>
    <m/>
    <m/>
    <n v="0"/>
    <n v="0"/>
    <n v="0"/>
    <n v="180"/>
    <n v="0"/>
    <n v="18"/>
    <n v="0"/>
    <n v="0"/>
    <x v="0"/>
    <s v="ELLIOT LAKE MEATS AND DELI"/>
    <m/>
    <n v="764.64"/>
    <d v="2026-05-11T00:00:00"/>
    <m/>
  </r>
  <r>
    <s v="3072829"/>
    <n v="100"/>
    <s v="ONIND"/>
    <s v="ZORA"/>
    <d v="2026-05-04T00:00:00"/>
    <s v="C"/>
    <s v="A"/>
    <s v="10125105"/>
    <s v="20125105"/>
    <x v="45"/>
    <s v="BEL BOUR 150G CRACKD BLK PEP"/>
    <n v="4"/>
    <n v="0"/>
    <n v="0"/>
    <n v="0"/>
    <m/>
    <m/>
    <n v="0"/>
    <n v="0"/>
    <n v="0"/>
    <n v="35.56"/>
    <n v="0"/>
    <n v="4"/>
    <n v="0"/>
    <n v="0"/>
    <x v="0"/>
    <s v="ELLIOT LAKE MEATS AND DELI"/>
    <m/>
    <n v="102"/>
    <d v="2026-05-11T00:00:00"/>
    <m/>
  </r>
  <r>
    <s v="3073814"/>
    <n v="80"/>
    <s v="BCIND"/>
    <s v="ZORA"/>
    <d v="2026-05-07T00:00:00"/>
    <s v="C"/>
    <s v="A"/>
    <s v="10062506"/>
    <s v="20062506"/>
    <x v="26"/>
    <s v="IL APPLEWD SMKD CHED BULK 2X3KG"/>
    <n v="10"/>
    <n v="0"/>
    <n v="0"/>
    <n v="0"/>
    <m/>
    <m/>
    <n v="0"/>
    <n v="0"/>
    <n v="0"/>
    <n v="360"/>
    <n v="0"/>
    <n v="10"/>
    <n v="60"/>
    <n v="0"/>
    <x v="1"/>
    <s v="LO-BOY MARKET          CLEARANCE"/>
    <m/>
    <n v="1161"/>
    <d v="2026-05-08T00:00:00"/>
    <m/>
  </r>
  <r>
    <s v="3073992"/>
    <n v="40"/>
    <s v="LIQID"/>
    <s v="ZORA"/>
    <d v="2026-05-08T00:00:00"/>
    <s v="C"/>
    <s v="A"/>
    <s v="10150032"/>
    <s v="20150032"/>
    <x v="29"/>
    <s v="AGROSGN BRIE DBL CREAM 170G"/>
    <n v="18"/>
    <n v="0"/>
    <n v="0"/>
    <n v="0"/>
    <m/>
    <m/>
    <n v="0"/>
    <n v="0"/>
    <n v="0"/>
    <n v="72"/>
    <n v="0"/>
    <n v="18"/>
    <n v="0"/>
    <n v="0"/>
    <x v="0"/>
    <s v="COUNTRY TRADITIONS FROZEN FOODS"/>
    <m/>
    <n v="731.16"/>
    <d v="2026-05-13T00:00:00"/>
    <m/>
  </r>
  <r>
    <s v="3073992"/>
    <n v="70"/>
    <s v="LIQID"/>
    <s v="ZORA"/>
    <d v="2026-05-08T00:00:00"/>
    <s v="C"/>
    <s v="A"/>
    <s v="10150032"/>
    <s v="20150032"/>
    <x v="45"/>
    <s v="BEL BOUR 150G CRACKD BLK PEP"/>
    <n v="4"/>
    <n v="0"/>
    <n v="0"/>
    <n v="0"/>
    <m/>
    <m/>
    <n v="0"/>
    <n v="0"/>
    <n v="0"/>
    <n v="28"/>
    <n v="0"/>
    <n v="4"/>
    <n v="0"/>
    <n v="0"/>
    <x v="0"/>
    <s v="COUNTRY TRADITIONS FROZEN FOODS"/>
    <m/>
    <n v="101.72"/>
    <d v="2026-05-13T00:00:00"/>
    <m/>
  </r>
  <r>
    <s v="3073992"/>
    <n v="210"/>
    <s v="LIQID"/>
    <s v="ZORA"/>
    <d v="2026-05-08T00:00:00"/>
    <s v="C"/>
    <s v="A"/>
    <s v="10150032"/>
    <s v="20150032"/>
    <x v="18"/>
    <s v="LBS POSH PRALINE ALMD 45G"/>
    <n v="10"/>
    <n v="0"/>
    <n v="0"/>
    <n v="0"/>
    <m/>
    <m/>
    <n v="0"/>
    <n v="0"/>
    <n v="0"/>
    <n v="70"/>
    <n v="0"/>
    <n v="10"/>
    <n v="0"/>
    <n v="0"/>
    <x v="0"/>
    <s v="COUNTRY TRADITIONS FROZEN FOODS"/>
    <m/>
    <n v="333.8"/>
    <d v="2026-05-13T00:00:00"/>
    <m/>
  </r>
  <r>
    <s v="3075952"/>
    <n v="10"/>
    <s v="BCIND"/>
    <s v="ZORA"/>
    <d v="2026-05-19T00:00:00"/>
    <s v="C"/>
    <s v="A"/>
    <s v="10050004"/>
    <s v="20050004"/>
    <x v="26"/>
    <s v="IL APPLEWD SMKD CHED BULK 2X3KG"/>
    <n v="5"/>
    <n v="0"/>
    <n v="0"/>
    <n v="0"/>
    <m/>
    <m/>
    <n v="0"/>
    <n v="0"/>
    <n v="0"/>
    <n v="322.5"/>
    <n v="0"/>
    <n v="5"/>
    <n v="30"/>
    <n v="0"/>
    <x v="1"/>
    <s v="OLD COUNTRY MKT SCHIDLER CLEAROU"/>
    <m/>
    <n v="580.5"/>
    <d v="2026-05-21T00:00:00"/>
    <m/>
  </r>
  <r>
    <s v="3076904"/>
    <n v="50"/>
    <s v="ONIND"/>
    <s v="ZORA"/>
    <d v="2026-05-25T00:00:00"/>
    <s v="C"/>
    <s v="A"/>
    <s v="10182593"/>
    <s v="20182593"/>
    <x v="50"/>
    <s v="BEL BOUR 150GR SHAL &amp; CHIVES"/>
    <n v="2"/>
    <n v="0"/>
    <n v="0"/>
    <n v="0"/>
    <m/>
    <m/>
    <n v="0"/>
    <n v="0"/>
    <n v="0"/>
    <n v="17.78"/>
    <n v="0"/>
    <n v="2"/>
    <n v="0"/>
    <n v="0"/>
    <x v="0"/>
    <s v="ZARKY'S FINE FOODS"/>
    <m/>
    <n v="51.68"/>
    <d v="2026-05-27T00:00:00"/>
    <m/>
  </r>
  <r>
    <s v="3076937"/>
    <n v="80"/>
    <s v="ATIND"/>
    <s v="ZORA"/>
    <d v="2026-05-25T00:00:00"/>
    <s v="C"/>
    <s v="A"/>
    <s v="10621400"/>
    <s v="20621400"/>
    <x v="84"/>
    <s v="STW 170G FARMSTD EMMENTAL"/>
    <n v="3"/>
    <n v="0"/>
    <n v="0"/>
    <n v="0"/>
    <m/>
    <m/>
    <n v="0"/>
    <n v="0"/>
    <n v="0"/>
    <n v="55.68"/>
    <n v="0"/>
    <n v="3"/>
    <n v="0"/>
    <n v="0"/>
    <x v="0"/>
    <s v="WARD FOODS LTD"/>
    <m/>
    <n v="168.39"/>
    <d v="2026-06-02T00:00:00"/>
    <m/>
  </r>
  <r>
    <s v="3076944"/>
    <n v="80"/>
    <s v="ONIND"/>
    <s v="ZORA"/>
    <d v="2026-05-25T00:00:00"/>
    <s v="C"/>
    <s v="A"/>
    <s v="10121043"/>
    <s v="20121043"/>
    <x v="65"/>
    <s v="SB ICED TEA LEMON"/>
    <n v="20"/>
    <n v="0"/>
    <n v="0"/>
    <n v="0"/>
    <m/>
    <m/>
    <n v="0"/>
    <n v="0"/>
    <n v="0"/>
    <n v="76.599999999999994"/>
    <n v="0"/>
    <n v="20"/>
    <n v="0"/>
    <n v="0"/>
    <x v="0"/>
    <s v="SARNIA PRODUCE INC."/>
    <m/>
    <n v="136.80000000000001"/>
    <d v="2026-05-28T00:00:00"/>
    <m/>
  </r>
  <r>
    <s v="3076946"/>
    <n v="80"/>
    <s v="ATIND"/>
    <s v="ZORA"/>
    <d v="2026-05-25T00:00:00"/>
    <s v="C"/>
    <s v="A"/>
    <s v="10125176"/>
    <s v="20125176"/>
    <x v="84"/>
    <s v="STW 170G FARMSTD EMMENTAL"/>
    <n v="3"/>
    <n v="0"/>
    <n v="0"/>
    <n v="0"/>
    <m/>
    <m/>
    <n v="0"/>
    <n v="0"/>
    <n v="0"/>
    <n v="55.68"/>
    <n v="0"/>
    <n v="3"/>
    <n v="0"/>
    <n v="0"/>
    <x v="0"/>
    <s v="G&amp;J GROCERY LTD"/>
    <m/>
    <n v="168.39"/>
    <d v="2026-05-29T00:00:00"/>
    <m/>
  </r>
  <r>
    <s v="3076987"/>
    <n v="60"/>
    <s v="ATIND"/>
    <s v="ZORA"/>
    <d v="2026-05-25T00:00:00"/>
    <s v="C"/>
    <s v="A"/>
    <s v="10780161"/>
    <s v="20780161"/>
    <x v="50"/>
    <s v="BEL BOUR 150GR SHAL &amp; CHIVES"/>
    <n v="2"/>
    <n v="0"/>
    <n v="0"/>
    <n v="0"/>
    <m/>
    <m/>
    <n v="0"/>
    <n v="0"/>
    <n v="0"/>
    <n v="17.78"/>
    <n v="0"/>
    <n v="2"/>
    <n v="0"/>
    <n v="0"/>
    <x v="0"/>
    <s v="CANNING &amp; CORNWALLIS VALUFOODS"/>
    <m/>
    <n v="51.68"/>
    <d v="2026-05-29T00:00:00"/>
    <m/>
  </r>
  <r>
    <s v="3077006"/>
    <n v="80"/>
    <s v="FSIND"/>
    <s v="ZORA"/>
    <d v="2026-05-25T00:00:00"/>
    <s v="C"/>
    <s v="A"/>
    <s v="10120347"/>
    <s v="20120347"/>
    <x v="65"/>
    <s v="SB ICED TEA LEMON"/>
    <n v="126"/>
    <n v="0"/>
    <n v="0"/>
    <n v="0"/>
    <m/>
    <m/>
    <n v="0"/>
    <n v="0"/>
    <n v="0"/>
    <n v="482.58"/>
    <n v="0"/>
    <n v="126"/>
    <n v="0"/>
    <n v="0"/>
    <x v="0"/>
    <s v="TASTE OF COUNTRY"/>
    <m/>
    <n v="861.84"/>
    <d v="2026-05-28T00:00:00"/>
    <m/>
  </r>
  <r>
    <s v="3077080"/>
    <n v="30"/>
    <s v="ONIND"/>
    <s v="ZORA"/>
    <d v="2026-05-26T00:00:00"/>
    <s v="C"/>
    <s v="A"/>
    <s v="10161543"/>
    <s v="20161543"/>
    <x v="50"/>
    <s v="BEL BOUR 150GR SHAL &amp; CHIVES"/>
    <n v="2"/>
    <n v="0"/>
    <n v="0"/>
    <n v="0"/>
    <m/>
    <m/>
    <n v="0"/>
    <n v="0"/>
    <n v="0"/>
    <n v="17.78"/>
    <n v="0"/>
    <n v="2"/>
    <n v="0"/>
    <n v="0"/>
    <x v="0"/>
    <s v="SHARPE'S FOOD MARKET"/>
    <m/>
    <n v="51.68"/>
    <d v="2026-05-28T00:00:00"/>
    <m/>
  </r>
  <r>
    <s v="3077080"/>
    <n v="60"/>
    <s v="ONIND"/>
    <s v="ZORA"/>
    <d v="2026-05-26T00:00:00"/>
    <s v="C"/>
    <s v="A"/>
    <s v="10161543"/>
    <s v="20161543"/>
    <x v="84"/>
    <s v="STW 170G FARMSTD EMMENTAL"/>
    <n v="3"/>
    <n v="0"/>
    <n v="0"/>
    <n v="0"/>
    <m/>
    <m/>
    <n v="0"/>
    <n v="0"/>
    <n v="0"/>
    <n v="55.68"/>
    <n v="0"/>
    <n v="3"/>
    <n v="0"/>
    <n v="0"/>
    <x v="0"/>
    <s v="SHARPE'S FOOD MARKET"/>
    <m/>
    <n v="168.39"/>
    <d v="2026-05-28T00:00:00"/>
    <m/>
  </r>
  <r>
    <s v="3077080"/>
    <n v="150"/>
    <s v="ONIND"/>
    <s v="ZORA"/>
    <d v="2026-05-26T00:00:00"/>
    <s v="C"/>
    <s v="A"/>
    <s v="10161543"/>
    <s v="20161543"/>
    <x v="69"/>
    <s v="CS TEA MORNING THUNDER BLK"/>
    <n v="10"/>
    <n v="0"/>
    <n v="0"/>
    <n v="0"/>
    <m/>
    <m/>
    <n v="0"/>
    <n v="0"/>
    <n v="0"/>
    <n v="73.5"/>
    <n v="0"/>
    <n v="10"/>
    <n v="0"/>
    <n v="0"/>
    <x v="0"/>
    <s v="SHARPE'S FOOD MARKET"/>
    <m/>
    <n v="206.4"/>
    <d v="2026-05-28T00:00:00"/>
    <m/>
  </r>
  <r>
    <s v="3077080"/>
    <n v="260"/>
    <s v="ONIND"/>
    <s v="ZORA"/>
    <d v="2026-05-26T00:00:00"/>
    <s v="C"/>
    <s v="A"/>
    <s v="10161543"/>
    <s v="20161543"/>
    <x v="65"/>
    <s v="SB ICED TEA LEMON"/>
    <n v="10"/>
    <n v="0"/>
    <n v="0"/>
    <n v="0"/>
    <m/>
    <m/>
    <n v="0"/>
    <n v="0"/>
    <n v="0"/>
    <n v="38.299999999999997"/>
    <n v="0"/>
    <n v="10"/>
    <n v="0"/>
    <n v="0"/>
    <x v="0"/>
    <s v="SHARPE'S FOOD MARKET"/>
    <m/>
    <n v="68.400000000000006"/>
    <d v="2026-05-28T00:00:00"/>
    <m/>
  </r>
  <r>
    <s v="3078352"/>
    <n v="50"/>
    <s v="ATIND"/>
    <s v="ZORA"/>
    <d v="2026-06-01T00:00:00"/>
    <s v="C"/>
    <s v="A"/>
    <s v="10780161"/>
    <s v="20780161"/>
    <x v="36"/>
    <s v="BCC CHEESE MINI BUFFALO BOCCONCINI"/>
    <n v="1"/>
    <n v="0"/>
    <n v="0"/>
    <n v="0"/>
    <m/>
    <m/>
    <n v="0"/>
    <n v="0"/>
    <n v="0"/>
    <n v="12.23"/>
    <n v="0"/>
    <n v="1"/>
    <n v="0"/>
    <n v="0"/>
    <x v="0"/>
    <s v="CANNING &amp; CORNWALLIS VALUFOODS"/>
    <m/>
    <n v="36.82"/>
    <d v="2026-06-03T00:00:00"/>
    <m/>
  </r>
  <r>
    <s v="3078352"/>
    <n v="70"/>
    <s v="ATIND"/>
    <s v="ZORA"/>
    <d v="2026-06-01T00:00:00"/>
    <s v="C"/>
    <s v="A"/>
    <s v="10780161"/>
    <s v="20780161"/>
    <x v="35"/>
    <s v="BCC CHEESE BURRATA 6x250G"/>
    <n v="4"/>
    <n v="0"/>
    <n v="0"/>
    <n v="0"/>
    <m/>
    <m/>
    <n v="0"/>
    <n v="0"/>
    <n v="0"/>
    <n v="51.2"/>
    <n v="0"/>
    <n v="4"/>
    <n v="0"/>
    <n v="0"/>
    <x v="0"/>
    <s v="CANNING &amp; CORNWALLIS VALUFOODS"/>
    <m/>
    <n v="154.12"/>
    <d v="2026-06-03T00:00:00"/>
    <m/>
  </r>
  <r>
    <s v="3078352"/>
    <n v="120"/>
    <s v="ATIND"/>
    <s v="ZORA"/>
    <d v="2026-06-01T00:00:00"/>
    <s v="C"/>
    <s v="A"/>
    <s v="10780161"/>
    <s v="20780161"/>
    <x v="85"/>
    <s v="SF PRETZEL CRISP BITES RANCH"/>
    <n v="10"/>
    <n v="0"/>
    <n v="0"/>
    <n v="0"/>
    <m/>
    <m/>
    <n v="0"/>
    <n v="0"/>
    <n v="0"/>
    <n v="136.19999999999999"/>
    <n v="0"/>
    <n v="10"/>
    <n v="0"/>
    <n v="0"/>
    <x v="0"/>
    <s v="CANNING &amp; CORNWALLIS VALUFOODS"/>
    <m/>
    <n v="364.3"/>
    <d v="2026-06-03T00:00:00"/>
    <m/>
  </r>
  <r>
    <s v="3078467"/>
    <n v="110"/>
    <s v="BCIND"/>
    <s v="ZORA"/>
    <d v="2026-06-01T00:00:00"/>
    <s v="C"/>
    <s v="A"/>
    <s v="10001663"/>
    <s v="20001663"/>
    <x v="44"/>
    <s v="KC HONEY DIJON 56G GF"/>
    <n v="3"/>
    <n v="0"/>
    <n v="0"/>
    <n v="0"/>
    <m/>
    <m/>
    <n v="0"/>
    <n v="0"/>
    <n v="0"/>
    <n v="19.98"/>
    <n v="0"/>
    <n v="3"/>
    <n v="0"/>
    <n v="0"/>
    <x v="1"/>
    <s v="FALCON ESSENTIALS"/>
    <m/>
    <n v="74.16"/>
    <d v="2026-06-04T00:00:00"/>
    <m/>
  </r>
  <r>
    <s v="3078467"/>
    <n v="170"/>
    <s v="BCIND"/>
    <s v="ZORA"/>
    <d v="2026-06-01T00:00:00"/>
    <s v="C"/>
    <s v="A"/>
    <s v="10001663"/>
    <s v="20001663"/>
    <x v="31"/>
    <s v="OKA CHEESE CLASSIQ 1X2.5KG"/>
    <n v="6"/>
    <n v="0"/>
    <n v="0"/>
    <n v="0"/>
    <m/>
    <m/>
    <n v="0"/>
    <n v="0"/>
    <n v="0"/>
    <n v="111.3"/>
    <n v="0"/>
    <n v="6"/>
    <n v="15"/>
    <n v="0"/>
    <x v="1"/>
    <s v="FALCON ESSENTIALS"/>
    <m/>
    <n v="450.6"/>
    <d v="2026-06-04T00:00:00"/>
    <m/>
  </r>
  <r>
    <s v="3078628"/>
    <n v="20"/>
    <s v="ATIND"/>
    <s v="ZORA"/>
    <d v="2026-06-02T00:00:00"/>
    <s v="C"/>
    <s v="A"/>
    <s v="13000158"/>
    <s v="21000254"/>
    <x v="35"/>
    <s v="BCC CHEESE BURRATA 6x250G"/>
    <n v="4"/>
    <n v="0"/>
    <n v="0"/>
    <n v="0"/>
    <m/>
    <m/>
    <n v="0"/>
    <n v="0"/>
    <n v="0"/>
    <n v="51.2"/>
    <n v="0"/>
    <n v="4"/>
    <n v="0"/>
    <n v="0"/>
    <x v="0"/>
    <s v="MULHOUSE FINE FOODS"/>
    <m/>
    <n v="154.12"/>
    <d v="2026-06-10T00:00:00"/>
    <m/>
  </r>
  <r>
    <s v="3078694"/>
    <n v="10"/>
    <s v="LIQID"/>
    <s v="ZORA"/>
    <d v="2026-06-02T00:00:00"/>
    <s v="C"/>
    <s v="A"/>
    <s v="13000299"/>
    <s v="21000882"/>
    <x v="86"/>
    <s v="RED BARON FZ DDS PEPPERONI"/>
    <n v="17"/>
    <n v="17"/>
    <n v="17"/>
    <n v="0"/>
    <m/>
    <s v="80122486"/>
    <n v="0"/>
    <n v="0"/>
    <n v="0"/>
    <n v="142.80000000000001"/>
    <n v="142.80000000000001"/>
    <n v="17"/>
    <n v="0"/>
    <n v="0"/>
    <x v="3"/>
    <s v="NF Sales Ltd (Liquidation Guy)-CAL FRZ"/>
    <d v="2026-09-30T00:00:00"/>
    <n v="721.14"/>
    <d v="2026-06-04T00:00:00"/>
    <d v="2026-06-04T00:00:00"/>
  </r>
  <r>
    <s v="3078694"/>
    <n v="20"/>
    <s v="LIQID"/>
    <s v="ZORA"/>
    <d v="2026-06-02T00:00:00"/>
    <s v="C"/>
    <s v="A"/>
    <s v="13000299"/>
    <s v="21000882"/>
    <x v="87"/>
    <s v="RED BARON FZ FL HT PIZZA MEAT LOVERS"/>
    <n v="480"/>
    <n v="480"/>
    <n v="480"/>
    <n v="0"/>
    <m/>
    <s v="80122486"/>
    <n v="0"/>
    <n v="0"/>
    <n v="0"/>
    <n v="4704"/>
    <n v="4704"/>
    <n v="480"/>
    <n v="0"/>
    <n v="0"/>
    <x v="3"/>
    <s v="NF Sales Ltd (Liquidation Guy)-CAL FRZ"/>
    <d v="2026-10-13T00:00:00"/>
    <n v="46070.400000000001"/>
    <d v="2026-06-04T00:00:00"/>
    <d v="2026-06-04T00:00:00"/>
  </r>
  <r>
    <s v="3078694"/>
    <n v="30"/>
    <s v="LIQID"/>
    <s v="ZORA"/>
    <d v="2026-06-02T00:00:00"/>
    <s v="C"/>
    <s v="A"/>
    <s v="13000299"/>
    <s v="21000882"/>
    <x v="87"/>
    <s v="RED BARON FZ FL HT PIZZA MEAT LOVERS"/>
    <n v="48"/>
    <n v="48"/>
    <n v="48"/>
    <n v="0"/>
    <m/>
    <s v="80122486"/>
    <n v="0"/>
    <n v="0"/>
    <n v="0"/>
    <n v="470.4"/>
    <n v="470.4"/>
    <n v="48"/>
    <n v="0"/>
    <n v="0"/>
    <x v="3"/>
    <s v="NF Sales Ltd (Liquidation Guy)-CAL FRZ"/>
    <d v="2026-10-01T00:00:00"/>
    <n v="4607.04"/>
    <d v="2026-06-04T00:00:00"/>
    <d v="2026-06-04T00:00:00"/>
  </r>
  <r>
    <s v="3078694"/>
    <n v="40"/>
    <s v="LIQID"/>
    <s v="ZORA"/>
    <d v="2026-06-02T00:00:00"/>
    <s v="C"/>
    <s v="A"/>
    <s v="13000299"/>
    <s v="21000882"/>
    <x v="87"/>
    <s v="RED BARON FZ FL HT PIZZA MEAT LOVERS"/>
    <n v="24"/>
    <n v="24"/>
    <n v="24"/>
    <n v="0"/>
    <m/>
    <s v="80122486"/>
    <n v="0"/>
    <n v="0"/>
    <n v="0"/>
    <n v="235.2"/>
    <n v="235.2"/>
    <n v="24"/>
    <n v="0"/>
    <n v="0"/>
    <x v="3"/>
    <s v="NF Sales Ltd (Liquidation Guy)-CAL FRZ"/>
    <d v="2026-10-01T00:00:00"/>
    <n v="2303.52"/>
    <d v="2026-06-04T00:00:00"/>
    <d v="2026-06-04T00:00:00"/>
  </r>
  <r>
    <s v="3078694"/>
    <n v="50"/>
    <s v="LIQID"/>
    <s v="ZORA"/>
    <d v="2026-06-02T00:00:00"/>
    <s v="C"/>
    <s v="A"/>
    <s v="13000299"/>
    <s v="21000882"/>
    <x v="87"/>
    <s v="RED BARON FZ FL HT PIZZA MEAT LOVERS"/>
    <n v="6"/>
    <n v="6"/>
    <n v="6"/>
    <n v="0"/>
    <m/>
    <s v="80122486"/>
    <n v="0"/>
    <n v="0"/>
    <n v="0"/>
    <n v="58.8"/>
    <n v="58.8"/>
    <n v="6"/>
    <n v="0"/>
    <n v="0"/>
    <x v="3"/>
    <s v="NF Sales Ltd (Liquidation Guy)-CAL FRZ"/>
    <d v="2026-10-01T00:00:00"/>
    <n v="575.88"/>
    <d v="2026-06-04T00:00:00"/>
    <d v="2026-06-04T00:00:00"/>
  </r>
  <r>
    <s v="3078694"/>
    <n v="60"/>
    <s v="LIQID"/>
    <s v="ZORA"/>
    <d v="2026-06-02T00:00:00"/>
    <s v="C"/>
    <s v="A"/>
    <s v="13000299"/>
    <s v="21000882"/>
    <x v="87"/>
    <s v="RED BARON FZ FL HT PIZZA MEAT LOVERS"/>
    <n v="12"/>
    <n v="12"/>
    <n v="12"/>
    <n v="0"/>
    <m/>
    <s v="80122486"/>
    <n v="0"/>
    <n v="0"/>
    <n v="0"/>
    <n v="117.6"/>
    <n v="117.6"/>
    <n v="12"/>
    <n v="0"/>
    <n v="0"/>
    <x v="3"/>
    <s v="NF Sales Ltd (Liquidation Guy)-CAL FRZ"/>
    <d v="2026-10-01T00:00:00"/>
    <n v="1151.76"/>
    <d v="2026-06-04T00:00:00"/>
    <d v="2026-06-04T00:00:00"/>
  </r>
  <r>
    <s v="3078700"/>
    <n v="180"/>
    <s v="BCIND"/>
    <s v="ZORA"/>
    <d v="2026-06-02T00:00:00"/>
    <s v="C"/>
    <s v="A"/>
    <s v="10062506"/>
    <s v="21000941"/>
    <x v="88"/>
    <s v="JW SHORTBREAD FINGERS    115"/>
    <n v="24"/>
    <n v="0"/>
    <n v="0"/>
    <n v="0"/>
    <m/>
    <m/>
    <n v="0"/>
    <n v="0"/>
    <n v="0"/>
    <n v="240"/>
    <n v="0"/>
    <n v="24"/>
    <n v="0"/>
    <n v="0"/>
    <x v="1"/>
    <s v="LO-BOY MARKET CLEARANCE - SURREY DEL"/>
    <m/>
    <n v="1212.72"/>
    <d v="2026-06-04T00:00:00"/>
    <m/>
  </r>
  <r>
    <s v="3079494"/>
    <n v="10"/>
    <s v="LIQID"/>
    <s v="ZORA"/>
    <d v="2026-06-05T00:00:00"/>
    <s v="C"/>
    <s v="A"/>
    <s v="10123006"/>
    <s v="20000912"/>
    <x v="89"/>
    <s v="TATES COOKIES OATMEAL RAISIN"/>
    <n v="1"/>
    <n v="0"/>
    <n v="0"/>
    <n v="0"/>
    <m/>
    <m/>
    <n v="0"/>
    <n v="0"/>
    <n v="0"/>
    <n v="5"/>
    <n v="0"/>
    <n v="1"/>
    <n v="0"/>
    <n v="0"/>
    <x v="2"/>
    <s v="NUTRI-GLOBE-P/U FROM CALGARY W/H"/>
    <m/>
    <n v="54.95"/>
    <d v="2026-06-10T00:00:00"/>
    <m/>
  </r>
  <r>
    <s v="3082856"/>
    <n v="30"/>
    <s v="LIQID"/>
    <s v="ZORA"/>
    <d v="2026-06-22T00:00:00"/>
    <s v="C"/>
    <s v="A"/>
    <s v="13000253"/>
    <s v="21000442"/>
    <x v="90"/>
    <s v="SF PRETZEL CRISP BIT HNY MST"/>
    <n v="142"/>
    <n v="0"/>
    <n v="0"/>
    <n v="0"/>
    <m/>
    <m/>
    <n v="0"/>
    <n v="0"/>
    <n v="0"/>
    <n v="1934.04"/>
    <n v="0"/>
    <n v="142"/>
    <n v="0"/>
    <n v="0"/>
    <x v="0"/>
    <s v="Bouffe A Rabais"/>
    <m/>
    <n v="5175.8999999999996"/>
    <d v="2026-06-25T00:00:00"/>
    <m/>
  </r>
  <r>
    <s v="3082863"/>
    <n v="70"/>
    <s v="ONIND"/>
    <s v="ZORA"/>
    <d v="2026-06-22T00:00:00"/>
    <s v="C"/>
    <s v="A"/>
    <s v="10161543"/>
    <s v="20161543"/>
    <x v="90"/>
    <s v="SF PRETZEL CRISP BIT HNY MST"/>
    <n v="20"/>
    <n v="0"/>
    <n v="0"/>
    <n v="0"/>
    <m/>
    <m/>
    <n v="0"/>
    <n v="0"/>
    <n v="0"/>
    <n v="272.39999999999998"/>
    <n v="0"/>
    <n v="20"/>
    <n v="0"/>
    <n v="0"/>
    <x v="0"/>
    <s v="SHARPE'S FOOD MARKET"/>
    <m/>
    <n v="729"/>
    <d v="2026-06-24T00:00:00"/>
    <m/>
  </r>
  <r>
    <s v="3082926"/>
    <n v="30"/>
    <s v="ATIND"/>
    <s v="ZORA"/>
    <d v="2026-06-22T00:00:00"/>
    <s v="C"/>
    <s v="A"/>
    <s v="10120870"/>
    <s v="20120870"/>
    <x v="28"/>
    <s v="CC 1057 SCOTTISH CHED 12X200G"/>
    <n v="25"/>
    <n v="0"/>
    <n v="0"/>
    <n v="0"/>
    <m/>
    <m/>
    <n v="0"/>
    <n v="0"/>
    <n v="0"/>
    <n v="523.5"/>
    <n v="0"/>
    <n v="25"/>
    <n v="0"/>
    <n v="0"/>
    <x v="0"/>
    <s v="MORRIS WHOLESALE LTD"/>
    <m/>
    <n v="1084.25"/>
    <d v="2026-06-24T00:00:00"/>
    <m/>
  </r>
  <r>
    <s v="3082930"/>
    <n v="10"/>
    <s v="ATIND"/>
    <s v="ZORA"/>
    <d v="2026-06-22T00:00:00"/>
    <s v="C"/>
    <s v="A"/>
    <s v="10780161"/>
    <s v="20780161"/>
    <x v="12"/>
    <s v="CC CHED W HORSERADISH 12X150G"/>
    <n v="10"/>
    <n v="0"/>
    <n v="0"/>
    <n v="0"/>
    <m/>
    <m/>
    <n v="0"/>
    <n v="0"/>
    <n v="0"/>
    <n v="159.6"/>
    <n v="0"/>
    <n v="10"/>
    <n v="0"/>
    <n v="0"/>
    <x v="0"/>
    <s v="CANNING &amp; CORNWALLIS VALUFOODS"/>
    <m/>
    <n v="327.9"/>
    <d v="2026-06-24T00:00:00"/>
    <m/>
  </r>
  <r>
    <s v="3082930"/>
    <n v="20"/>
    <s v="ATIND"/>
    <s v="ZORA"/>
    <d v="2026-06-22T00:00:00"/>
    <s v="C"/>
    <s v="A"/>
    <s v="10780161"/>
    <s v="20780161"/>
    <x v="14"/>
    <s v="IL APPLEWOOD SMKD SLICES 8X180G"/>
    <n v="20"/>
    <n v="0"/>
    <n v="0"/>
    <n v="0"/>
    <m/>
    <m/>
    <n v="0"/>
    <n v="0"/>
    <n v="0"/>
    <n v="304"/>
    <n v="0"/>
    <n v="20"/>
    <n v="0"/>
    <n v="0"/>
    <x v="0"/>
    <s v="CANNING &amp; CORNWALLIS VALUFOODS"/>
    <m/>
    <n v="597.20000000000005"/>
    <d v="2026-06-24T00:00:00"/>
    <m/>
  </r>
  <r>
    <s v="3082930"/>
    <n v="40"/>
    <s v="ATIND"/>
    <s v="ZORA"/>
    <d v="2026-06-22T00:00:00"/>
    <s v="C"/>
    <s v="A"/>
    <s v="10780161"/>
    <s v="20780161"/>
    <x v="28"/>
    <s v="CC 1057 SCOTTISH CHED 12X200G"/>
    <n v="10"/>
    <n v="0"/>
    <n v="0"/>
    <n v="0"/>
    <m/>
    <m/>
    <n v="0"/>
    <n v="0"/>
    <n v="0"/>
    <n v="209.4"/>
    <n v="0"/>
    <n v="10"/>
    <n v="0"/>
    <n v="0"/>
    <x v="0"/>
    <s v="CANNING &amp; CORNWALLIS VALUFOODS"/>
    <m/>
    <n v="433.7"/>
    <d v="2026-06-24T00:00:00"/>
    <m/>
  </r>
  <r>
    <s v="3082930"/>
    <n v="50"/>
    <s v="ATIND"/>
    <s v="ZORA"/>
    <d v="2026-06-22T00:00:00"/>
    <s v="C"/>
    <s v="A"/>
    <s v="10780161"/>
    <s v="20780161"/>
    <x v="90"/>
    <s v="SF PRETZEL CRISP BIT HNY MST"/>
    <n v="15"/>
    <n v="0"/>
    <n v="0"/>
    <n v="0"/>
    <m/>
    <m/>
    <n v="0"/>
    <n v="0"/>
    <n v="0"/>
    <n v="204.3"/>
    <n v="0"/>
    <n v="15"/>
    <n v="0"/>
    <n v="0"/>
    <x v="0"/>
    <s v="CANNING &amp; CORNWALLIS VALUFOODS"/>
    <m/>
    <n v="546.75"/>
    <d v="2026-06-24T00:00:00"/>
    <m/>
  </r>
  <r>
    <s v="3083190"/>
    <n v="190"/>
    <s v="BCIND"/>
    <s v="ZORA"/>
    <d v="2026-06-23T00:00:00"/>
    <s v="C"/>
    <s v="A"/>
    <s v="10062506"/>
    <s v="20062506"/>
    <x v="28"/>
    <s v="CC 1057 SCOTTISH CHED 12X200G"/>
    <n v="5"/>
    <n v="0"/>
    <n v="0"/>
    <n v="0"/>
    <m/>
    <m/>
    <n v="0"/>
    <n v="0"/>
    <n v="0"/>
    <n v="55"/>
    <n v="0"/>
    <n v="5"/>
    <n v="0"/>
    <n v="0"/>
    <x v="2"/>
    <s v="LO-BOY MARKET          CLEARANCE"/>
    <m/>
    <n v="222.55"/>
    <d v="2026-06-26T00:00:00"/>
    <m/>
  </r>
  <r>
    <s v="3083349"/>
    <n v="40"/>
    <s v="ATIND"/>
    <s v="ZORA"/>
    <d v="2026-06-24T00:00:00"/>
    <s v="C"/>
    <s v="A"/>
    <s v="10125176"/>
    <s v="20125176"/>
    <x v="28"/>
    <s v="CC 1057 SCOTTISH CHED 12X200G"/>
    <n v="10"/>
    <n v="0"/>
    <n v="0"/>
    <n v="0"/>
    <m/>
    <m/>
    <n v="0"/>
    <n v="0"/>
    <n v="0"/>
    <n v="209.4"/>
    <n v="0"/>
    <n v="10"/>
    <n v="0"/>
    <n v="0"/>
    <x v="0"/>
    <s v="G&amp;J GROCERY LTD"/>
    <m/>
    <n v="433.9"/>
    <d v="2026-06-29T00:00:00"/>
    <m/>
  </r>
  <r>
    <s v="3083626"/>
    <n v="60"/>
    <s v="LIQID"/>
    <s v="ZORA"/>
    <d v="2026-06-25T00:00:00"/>
    <s v="C"/>
    <s v="A"/>
    <s v="10150032"/>
    <s v="20150032"/>
    <x v="28"/>
    <s v="CC 1057 SCOTTISH CHED 12X200G"/>
    <n v="100"/>
    <n v="0"/>
    <n v="0"/>
    <n v="0"/>
    <m/>
    <m/>
    <n v="0"/>
    <n v="0"/>
    <n v="0"/>
    <n v="800"/>
    <n v="0"/>
    <n v="100"/>
    <n v="0"/>
    <n v="0"/>
    <x v="0"/>
    <s v="COUNTRY TRADITIONS FROZEN FOODS"/>
    <m/>
    <n v="4339"/>
    <d v="2026-06-26T00:00:00"/>
    <m/>
  </r>
  <r>
    <s v="3083626"/>
    <n v="80"/>
    <s v="LIQID"/>
    <s v="ZORA"/>
    <d v="2026-06-25T00:00:00"/>
    <s v="C"/>
    <s v="A"/>
    <s v="10150032"/>
    <s v="20150032"/>
    <x v="90"/>
    <s v="SF PRETZEL CRISP BIT HNY MST"/>
    <n v="142"/>
    <n v="0"/>
    <n v="0"/>
    <n v="0"/>
    <m/>
    <m/>
    <n v="0"/>
    <n v="0"/>
    <n v="0"/>
    <n v="426"/>
    <n v="0"/>
    <n v="142"/>
    <n v="0"/>
    <n v="0"/>
    <x v="0"/>
    <s v="COUNTRY TRADITIONS FROZEN FOODS"/>
    <m/>
    <n v="5175.8999999999996"/>
    <d v="2026-06-26T00:00:00"/>
    <m/>
  </r>
  <r>
    <s v="3084247"/>
    <n v="30"/>
    <s v="ATIND"/>
    <s v="ZORA"/>
    <d v="2026-06-29T00:00:00"/>
    <s v="C"/>
    <s v="A"/>
    <s v="10621400"/>
    <s v="20621400"/>
    <x v="84"/>
    <s v="STW 170G FARMSTD EMMENTAL"/>
    <n v="19"/>
    <n v="0"/>
    <n v="0"/>
    <n v="0"/>
    <m/>
    <m/>
    <n v="0"/>
    <n v="0"/>
    <n v="0"/>
    <n v="352.64"/>
    <n v="0"/>
    <n v="19"/>
    <n v="0"/>
    <n v="0"/>
    <x v="0"/>
    <s v="WARD FOODS LTD"/>
    <m/>
    <n v="1074.26"/>
    <d v="2026-07-03T00:00:00"/>
    <m/>
  </r>
  <r>
    <s v="3084267"/>
    <n v="140"/>
    <s v="ONIND"/>
    <s v="ZORA"/>
    <d v="2026-06-29T00:00:00"/>
    <s v="C"/>
    <s v="A"/>
    <s v="10161543"/>
    <s v="20161543"/>
    <x v="84"/>
    <s v="STW 170G FARMSTD EMMENTAL"/>
    <n v="19"/>
    <n v="0"/>
    <n v="0"/>
    <n v="0"/>
    <m/>
    <m/>
    <n v="0"/>
    <n v="0"/>
    <n v="0"/>
    <n v="352.64"/>
    <n v="0"/>
    <n v="19"/>
    <n v="0"/>
    <n v="0"/>
    <x v="0"/>
    <s v="SHARPE'S FOOD MARKET"/>
    <m/>
    <n v="1074.26"/>
    <d v="2026-07-03T00:00:00"/>
    <m/>
  </r>
  <r>
    <s v="3084280"/>
    <n v="20"/>
    <s v="ONIND"/>
    <s v="ZORA"/>
    <d v="2026-06-29T00:00:00"/>
    <s v="C"/>
    <s v="A"/>
    <s v="10121043"/>
    <s v="20121043"/>
    <x v="91"/>
    <s v="CB CORNED BEEF"/>
    <n v="15"/>
    <n v="0"/>
    <n v="0"/>
    <n v="0"/>
    <m/>
    <m/>
    <n v="0"/>
    <n v="0"/>
    <n v="0"/>
    <n v="265.05"/>
    <n v="0"/>
    <n v="15"/>
    <n v="0"/>
    <n v="0"/>
    <x v="0"/>
    <s v="SARNIA PRODUCE INC."/>
    <m/>
    <n v="155.25"/>
    <d v="2026-07-03T00:00:00"/>
    <m/>
  </r>
  <r>
    <s v="3084290"/>
    <n v="50"/>
    <s v="ONIND"/>
    <s v="ZORA"/>
    <d v="2026-06-29T00:00:00"/>
    <s v="C"/>
    <s v="A"/>
    <s v="10149732"/>
    <s v="20149732"/>
    <x v="28"/>
    <s v="CC 1057 SCOTTISH CHED 12X200G"/>
    <n v="5"/>
    <n v="0"/>
    <n v="0"/>
    <n v="0"/>
    <m/>
    <m/>
    <n v="0"/>
    <n v="0"/>
    <n v="0"/>
    <n v="104.7"/>
    <n v="0"/>
    <n v="5"/>
    <n v="0"/>
    <n v="0"/>
    <x v="0"/>
    <s v="SUPERIOR MEATS &amp; BAKERY LTD"/>
    <m/>
    <n v="216.95"/>
    <d v="2026-07-02T00:00:00"/>
    <m/>
  </r>
  <r>
    <s v="3085718"/>
    <n v="20"/>
    <s v="LIQID"/>
    <s v="ZORA"/>
    <d v="2026-07-06T00:00:00"/>
    <s v="C"/>
    <s v="A"/>
    <s v="10066089"/>
    <s v="20066089"/>
    <x v="92"/>
    <s v="PC SLICED FIERY JACK STYLE"/>
    <n v="1"/>
    <n v="0"/>
    <n v="0"/>
    <n v="0"/>
    <m/>
    <m/>
    <n v="0"/>
    <n v="0"/>
    <n v="0"/>
    <n v="10.36"/>
    <n v="0"/>
    <n v="1"/>
    <n v="0"/>
    <n v="0"/>
    <x v="1"/>
    <s v="SUNRISE MARKET  CLEAROUT"/>
    <m/>
    <n v="30.08"/>
    <d v="2026-07-09T00:00:00"/>
    <m/>
  </r>
  <r>
    <s v="3085718"/>
    <n v="240"/>
    <s v="LIQID"/>
    <s v="ZORA"/>
    <d v="2026-07-06T00:00:00"/>
    <s v="C"/>
    <s v="A"/>
    <s v="10066089"/>
    <s v="20066089"/>
    <x v="23"/>
    <s v="CB CHOCOLATE ALMOND FUDGE"/>
    <n v="3"/>
    <n v="0"/>
    <n v="0"/>
    <n v="0"/>
    <m/>
    <m/>
    <n v="0"/>
    <n v="0"/>
    <n v="0"/>
    <n v="35.46"/>
    <n v="0"/>
    <n v="3"/>
    <n v="0"/>
    <n v="0"/>
    <x v="1"/>
    <s v="SUNRISE MARKET  CLEAROUT"/>
    <m/>
    <n v="50.4"/>
    <d v="2026-07-09T00:00:00"/>
    <m/>
  </r>
  <r>
    <s v="3085745"/>
    <n v="10"/>
    <s v="ONIND"/>
    <s v="ZORA"/>
    <d v="2026-07-06T00:00:00"/>
    <s v="C"/>
    <s v="A"/>
    <s v="10117761"/>
    <s v="20117761"/>
    <x v="29"/>
    <s v="AGROSGN BRIE DBL CREAM 170G"/>
    <n v="11"/>
    <n v="0"/>
    <n v="0"/>
    <n v="0"/>
    <m/>
    <m/>
    <n v="0"/>
    <n v="0"/>
    <n v="0"/>
    <n v="110"/>
    <n v="0"/>
    <n v="11"/>
    <n v="0"/>
    <n v="0"/>
    <x v="0"/>
    <s v="MENDEL'S GLOBAL CHEESE (ONLY)"/>
    <m/>
    <n v="457.27"/>
    <d v="2026-07-10T00:00:00"/>
    <m/>
  </r>
  <r>
    <s v="3085763"/>
    <n v="50"/>
    <s v="LIQID"/>
    <s v="ZORA"/>
    <d v="2026-07-06T00:00:00"/>
    <s v="C"/>
    <s v="A"/>
    <s v="10125105"/>
    <s v="20125105"/>
    <x v="29"/>
    <s v="AGROSGN BRIE DBL CREAM 170G"/>
    <n v="11"/>
    <n v="0"/>
    <n v="0"/>
    <n v="0"/>
    <m/>
    <m/>
    <n v="0"/>
    <n v="0"/>
    <n v="0"/>
    <n v="110"/>
    <n v="0"/>
    <n v="11"/>
    <n v="0"/>
    <n v="0"/>
    <x v="0"/>
    <s v="ELLIOT LAKE MEATS AND DELI"/>
    <m/>
    <n v="457.27"/>
    <d v="2026-07-13T00:00:00"/>
    <m/>
  </r>
  <r>
    <s v="3085763"/>
    <n v="100"/>
    <s v="LIQID"/>
    <s v="ZORA"/>
    <d v="2026-07-06T00:00:00"/>
    <s v="C"/>
    <s v="A"/>
    <s v="10125105"/>
    <s v="20125105"/>
    <x v="40"/>
    <s v="AGROSGN BRIE CHEVALR TC 650G"/>
    <n v="2"/>
    <n v="0"/>
    <n v="0"/>
    <n v="0"/>
    <m/>
    <m/>
    <n v="0"/>
    <n v="0"/>
    <n v="0"/>
    <n v="35.409999999999997"/>
    <n v="0"/>
    <n v="2"/>
    <n v="5.2"/>
    <n v="0"/>
    <x v="0"/>
    <s v="ELLIOT LAKE MEATS AND DELI"/>
    <m/>
    <n v="144.91999999999999"/>
    <d v="2026-07-13T00:00:00"/>
    <m/>
  </r>
  <r>
    <s v="3085763"/>
    <n v="170"/>
    <s v="LIQID"/>
    <s v="ZORA"/>
    <d v="2026-07-06T00:00:00"/>
    <s v="C"/>
    <s v="A"/>
    <s v="10125105"/>
    <s v="20125105"/>
    <x v="45"/>
    <s v="BEL BOUR 150G CRACKD BLK PEP"/>
    <n v="19"/>
    <n v="0"/>
    <n v="0"/>
    <n v="0"/>
    <m/>
    <m/>
    <n v="0"/>
    <n v="0"/>
    <n v="0"/>
    <n v="168.91"/>
    <n v="0"/>
    <n v="19"/>
    <n v="0"/>
    <n v="0"/>
    <x v="0"/>
    <s v="ELLIOT LAKE MEATS AND DELI"/>
    <m/>
    <n v="486.4"/>
    <d v="2026-07-13T00:00:00"/>
    <m/>
  </r>
  <r>
    <s v="3085763"/>
    <n v="200"/>
    <s v="LIQID"/>
    <s v="ZORA"/>
    <d v="2026-07-06T00:00:00"/>
    <s v="C"/>
    <s v="A"/>
    <s v="10125105"/>
    <s v="20125105"/>
    <x v="5"/>
    <s v="BEL BOUR 150G GARLIC &amp; HERB"/>
    <n v="76"/>
    <n v="0"/>
    <n v="0"/>
    <n v="0"/>
    <m/>
    <m/>
    <n v="0"/>
    <n v="0"/>
    <n v="0"/>
    <n v="1350.52"/>
    <n v="0"/>
    <n v="76"/>
    <n v="0"/>
    <n v="0"/>
    <x v="0"/>
    <s v="ELLIOT LAKE MEATS AND DELI"/>
    <m/>
    <n v="3895.76"/>
    <d v="2026-07-13T00:00:00"/>
    <m/>
  </r>
  <r>
    <s v="3085763"/>
    <n v="240"/>
    <s v="LIQID"/>
    <s v="ZORA"/>
    <d v="2026-07-06T00:00:00"/>
    <s v="C"/>
    <s v="A"/>
    <s v="10125105"/>
    <s v="20125105"/>
    <x v="93"/>
    <s v="MCB PASTA PENNE W DATTERINO"/>
    <n v="26"/>
    <n v="0"/>
    <n v="0"/>
    <n v="0"/>
    <m/>
    <m/>
    <n v="0"/>
    <n v="0"/>
    <n v="0"/>
    <n v="315.89999999999998"/>
    <n v="0"/>
    <n v="26"/>
    <n v="0"/>
    <n v="0"/>
    <x v="0"/>
    <s v="ELLIOT LAKE MEATS AND DELI"/>
    <m/>
    <n v="842.66"/>
    <d v="2026-07-13T00:00:00"/>
    <m/>
  </r>
  <r>
    <s v="3085775"/>
    <n v="60"/>
    <s v="ONIND"/>
    <s v="ZORA"/>
    <d v="2026-07-06T00:00:00"/>
    <s v="C"/>
    <s v="A"/>
    <s v="10121043"/>
    <s v="20121043"/>
    <x v="5"/>
    <s v="BEL BOUR 150G GARLIC &amp; HERB"/>
    <n v="10"/>
    <n v="0"/>
    <n v="0"/>
    <n v="0"/>
    <m/>
    <m/>
    <n v="0"/>
    <n v="0"/>
    <n v="0"/>
    <n v="177.7"/>
    <n v="0"/>
    <n v="10"/>
    <n v="0"/>
    <n v="0"/>
    <x v="0"/>
    <s v="SARNIA PRODUCE INC."/>
    <m/>
    <n v="512.6"/>
    <d v="2026-07-09T00:00:00"/>
    <m/>
  </r>
  <r>
    <s v="3085806"/>
    <n v="20"/>
    <s v="ATIND"/>
    <s v="ZORA"/>
    <d v="2026-07-06T00:00:00"/>
    <s v="C"/>
    <s v="A"/>
    <s v="10621400"/>
    <s v="20621400"/>
    <x v="45"/>
    <s v="BEL BOUR 150G CRACKD BLK PEP"/>
    <n v="19"/>
    <n v="0"/>
    <n v="0"/>
    <n v="0"/>
    <m/>
    <m/>
    <n v="0"/>
    <n v="0"/>
    <n v="0"/>
    <n v="168.91"/>
    <n v="0"/>
    <n v="19"/>
    <n v="0"/>
    <n v="0"/>
    <x v="0"/>
    <s v="WARD FOODS LTD"/>
    <m/>
    <n v="486.4"/>
    <d v="2026-07-08T00:00:00"/>
    <m/>
  </r>
  <r>
    <s v="3085806"/>
    <n v="40"/>
    <s v="ATIND"/>
    <s v="ZORA"/>
    <d v="2026-07-06T00:00:00"/>
    <s v="C"/>
    <s v="A"/>
    <s v="10621400"/>
    <s v="20621400"/>
    <x v="5"/>
    <s v="BEL BOUR 150G GARLIC &amp; HERB"/>
    <n v="12"/>
    <n v="0"/>
    <n v="0"/>
    <n v="0"/>
    <m/>
    <m/>
    <n v="0"/>
    <n v="0"/>
    <n v="0"/>
    <n v="213.24"/>
    <n v="0"/>
    <n v="12"/>
    <n v="0"/>
    <n v="0"/>
    <x v="0"/>
    <s v="WARD FOODS LTD"/>
    <m/>
    <n v="615.12"/>
    <d v="2026-07-08T00:00:00"/>
    <m/>
  </r>
  <r>
    <s v="3085860"/>
    <n v="10"/>
    <s v="LIQID"/>
    <s v="ZORA"/>
    <d v="2026-07-06T00:00:00"/>
    <s v="C"/>
    <s v="A"/>
    <s v="10001663"/>
    <s v="20001663"/>
    <x v="94"/>
    <s v="FRANCE BLUE"/>
    <n v="4"/>
    <n v="0"/>
    <n v="0"/>
    <n v="0"/>
    <m/>
    <m/>
    <n v="0"/>
    <n v="0"/>
    <n v="0"/>
    <n v="32.32"/>
    <n v="0"/>
    <n v="4"/>
    <n v="0"/>
    <n v="0"/>
    <x v="1"/>
    <s v="FALCON ESSENTIALS"/>
    <m/>
    <n v="135.63999999999999"/>
    <d v="2026-07-08T00:00:00"/>
    <m/>
  </r>
  <r>
    <s v="3085860"/>
    <n v="30"/>
    <s v="LIQID"/>
    <s v="ZORA"/>
    <d v="2026-07-06T00:00:00"/>
    <s v="C"/>
    <s v="A"/>
    <s v="10001663"/>
    <s v="20001663"/>
    <x v="66"/>
    <s v="STW 170G FARMSTD GRUYERE"/>
    <n v="3"/>
    <n v="0"/>
    <n v="0"/>
    <n v="0"/>
    <m/>
    <m/>
    <n v="0"/>
    <n v="0"/>
    <n v="0"/>
    <n v="79.8"/>
    <n v="0"/>
    <n v="3"/>
    <n v="0"/>
    <n v="0"/>
    <x v="1"/>
    <s v="FALCON ESSENTIALS"/>
    <m/>
    <n v="229.65"/>
    <d v="2026-07-08T00:00:00"/>
    <m/>
  </r>
  <r>
    <s v="3085860"/>
    <n v="70"/>
    <s v="LIQID"/>
    <s v="ZORA"/>
    <d v="2026-07-06T00:00:00"/>
    <s v="C"/>
    <s v="A"/>
    <s v="10001663"/>
    <s v="20001663"/>
    <x v="95"/>
    <s v="DC CLOTTED CRM CHERRY 12X170G"/>
    <n v="1"/>
    <n v="0"/>
    <n v="0"/>
    <n v="0"/>
    <m/>
    <m/>
    <n v="0"/>
    <n v="0"/>
    <n v="0"/>
    <n v="22.11"/>
    <n v="0"/>
    <n v="1"/>
    <n v="0"/>
    <n v="0"/>
    <x v="1"/>
    <s v="FALCON ESSENTIALS"/>
    <m/>
    <n v="51.39"/>
    <d v="2026-07-08T00:00:00"/>
    <m/>
  </r>
  <r>
    <s v="3085860"/>
    <n v="80"/>
    <s v="LIQID"/>
    <s v="ZORA"/>
    <d v="2026-07-06T00:00:00"/>
    <s v="C"/>
    <s v="A"/>
    <s v="10001663"/>
    <s v="20001663"/>
    <x v="5"/>
    <s v="BEL BOUR 150G GARLIC &amp; HERB"/>
    <n v="56"/>
    <n v="0"/>
    <n v="0"/>
    <n v="0"/>
    <m/>
    <m/>
    <n v="0"/>
    <n v="0"/>
    <n v="0"/>
    <n v="995.12"/>
    <n v="0"/>
    <n v="56"/>
    <n v="0"/>
    <n v="0"/>
    <x v="1"/>
    <s v="FALCON ESSENTIALS"/>
    <m/>
    <n v="2878.96"/>
    <d v="2026-07-08T00:00:00"/>
    <m/>
  </r>
  <r>
    <s v="3086072"/>
    <n v="40"/>
    <s v="LIQID"/>
    <s v="ZORA"/>
    <d v="2026-07-07T00:00:00"/>
    <s v="C"/>
    <s v="A"/>
    <s v="10062506"/>
    <s v="21000941"/>
    <x v="66"/>
    <s v="STW 170G FARMSTD GRUYERE"/>
    <n v="3"/>
    <n v="0"/>
    <n v="0"/>
    <n v="0"/>
    <m/>
    <m/>
    <n v="0"/>
    <n v="0"/>
    <n v="0"/>
    <n v="42"/>
    <n v="0"/>
    <n v="3"/>
    <n v="0"/>
    <n v="0"/>
    <x v="1"/>
    <s v="LO-BOY MARKET CLEARANCE - SURREY DEL"/>
    <m/>
    <n v="229.65"/>
    <d v="2026-07-09T00:00:00"/>
    <m/>
  </r>
  <r>
    <s v="3086072"/>
    <n v="70"/>
    <s v="LIQID"/>
    <s v="ZORA"/>
    <d v="2026-07-07T00:00:00"/>
    <s v="C"/>
    <s v="A"/>
    <s v="10062506"/>
    <s v="21000941"/>
    <x v="96"/>
    <s v="BC 170G EXTRA OLD WHT CHEDD"/>
    <n v="16"/>
    <n v="0"/>
    <n v="0"/>
    <n v="0"/>
    <m/>
    <m/>
    <n v="0"/>
    <n v="0"/>
    <n v="0"/>
    <n v="240"/>
    <n v="0"/>
    <n v="16"/>
    <n v="0"/>
    <n v="0"/>
    <x v="1"/>
    <s v="LO-BOY MARKET CLEARANCE - SURREY DEL"/>
    <m/>
    <n v="863.04"/>
    <d v="2026-07-09T00:00:00"/>
    <m/>
  </r>
  <r>
    <s v="3086073"/>
    <n v="20"/>
    <s v="LIQID"/>
    <s v="ZORA"/>
    <d v="2026-07-07T00:00:00"/>
    <s v="C"/>
    <s v="A"/>
    <s v="10062506"/>
    <s v="21000941"/>
    <x v="47"/>
    <s v="G.H. POPCORN CARAMEL 227G"/>
    <n v="1"/>
    <n v="0"/>
    <n v="0"/>
    <n v="0"/>
    <m/>
    <m/>
    <n v="0"/>
    <n v="0"/>
    <n v="0"/>
    <n v="10"/>
    <n v="0"/>
    <n v="1"/>
    <n v="0"/>
    <n v="0"/>
    <x v="1"/>
    <s v="LO-BOY MARKET CLEARANCE - SURREY DEL"/>
    <m/>
    <n v="42.68"/>
    <d v="2026-07-09T00:00:00"/>
    <m/>
  </r>
  <r>
    <s v="3086925"/>
    <n v="10"/>
    <s v="LIQID"/>
    <s v="ZORA"/>
    <d v="2026-07-10T00:00:00"/>
    <s v="C"/>
    <s v="A"/>
    <s v="10123006"/>
    <s v="20000912"/>
    <x v="13"/>
    <s v="CAPE CHIPS SALT LS FAT 220G"/>
    <n v="9"/>
    <n v="9"/>
    <n v="9"/>
    <n v="0"/>
    <m/>
    <s v="80135689"/>
    <n v="0"/>
    <n v="0"/>
    <n v="0"/>
    <n v="27"/>
    <n v="27"/>
    <n v="9"/>
    <n v="0"/>
    <n v="0"/>
    <x v="2"/>
    <s v="NUTRI-GLOBE-P/U FROM CALGARY W/H"/>
    <d v="2026-07-11T00:00:00"/>
    <n v="350.91"/>
    <d v="2026-07-15T00:00:00"/>
    <d v="2026-07-15T00:00:00"/>
  </r>
  <r>
    <s v="3086925"/>
    <n v="20"/>
    <s v="LIQID"/>
    <s v="ZORA"/>
    <d v="2026-07-10T00:00:00"/>
    <s v="C"/>
    <s v="A"/>
    <s v="10123006"/>
    <s v="20000912"/>
    <x v="13"/>
    <s v="CAPE CHIPS SALT LS FAT 220G"/>
    <n v="30"/>
    <n v="30"/>
    <n v="30"/>
    <n v="0"/>
    <m/>
    <s v="80135689"/>
    <n v="0"/>
    <n v="0"/>
    <n v="0"/>
    <n v="90"/>
    <n v="90"/>
    <n v="30"/>
    <n v="0"/>
    <n v="0"/>
    <x v="2"/>
    <s v="NUTRI-GLOBE-P/U FROM CALGARY W/H"/>
    <d v="2026-07-11T00:00:00"/>
    <n v="1169.7"/>
    <d v="2026-07-15T00:00:00"/>
    <d v="2026-07-15T00:00:00"/>
  </r>
  <r>
    <s v="3086925"/>
    <n v="30"/>
    <s v="LIQID"/>
    <s v="ZORA"/>
    <d v="2026-07-10T00:00:00"/>
    <s v="C"/>
    <s v="A"/>
    <s v="10123006"/>
    <s v="20000912"/>
    <x v="97"/>
    <s v="MCV DIGESTIVE DK CHOC 18592"/>
    <n v="72"/>
    <n v="72"/>
    <n v="72"/>
    <n v="0"/>
    <m/>
    <s v="80135689"/>
    <n v="0"/>
    <n v="0"/>
    <n v="0"/>
    <n v="216"/>
    <n v="216"/>
    <n v="72"/>
    <n v="0"/>
    <n v="0"/>
    <x v="2"/>
    <s v="NUTRI-GLOBE-P/U FROM CALGARY W/H"/>
    <d v="2026-07-11T00:00:00"/>
    <n v="2028.96"/>
    <d v="2026-07-15T00:00:00"/>
    <d v="2026-07-15T00:00:00"/>
  </r>
  <r>
    <s v="3086925"/>
    <n v="40"/>
    <s v="LIQID"/>
    <s v="ZORA"/>
    <d v="2026-07-10T00:00:00"/>
    <s v="C"/>
    <s v="A"/>
    <s v="10123006"/>
    <s v="20000912"/>
    <x v="98"/>
    <s v="S.SPECIAL KEG CHILI RED"/>
    <n v="72"/>
    <n v="72"/>
    <n v="72"/>
    <n v="0"/>
    <m/>
    <s v="80135689"/>
    <n v="0"/>
    <n v="0"/>
    <n v="0"/>
    <n v="504"/>
    <n v="504"/>
    <n v="72"/>
    <n v="0"/>
    <n v="0"/>
    <x v="2"/>
    <s v="NUTRI-GLOBE-P/U FROM CALGARY W/H"/>
    <d v="2026-07-16T00:00:00"/>
    <n v="7992"/>
    <d v="2026-07-15T00:00:00"/>
    <d v="2026-07-15T00:00:00"/>
  </r>
  <r>
    <s v="3086925"/>
    <n v="50"/>
    <s v="LIQID"/>
    <s v="ZORA"/>
    <d v="2026-07-10T00:00:00"/>
    <s v="C"/>
    <s v="A"/>
    <s v="10123006"/>
    <s v="20000912"/>
    <x v="15"/>
    <s v="IRS TORTO SWT ORNG OIL SEV"/>
    <n v="53"/>
    <n v="53"/>
    <n v="53"/>
    <n v="0"/>
    <m/>
    <s v="80135689"/>
    <n v="0"/>
    <n v="0"/>
    <n v="0"/>
    <n v="318"/>
    <n v="318"/>
    <n v="53"/>
    <n v="0"/>
    <n v="0"/>
    <x v="2"/>
    <s v="NUTRI-GLOBE-P/U FROM CALGARY W/H"/>
    <d v="2026-07-17T00:00:00"/>
    <n v="1830.09"/>
    <d v="2026-07-15T00:00:00"/>
    <d v="2026-07-15T00:00:00"/>
  </r>
  <r>
    <s v="3086925"/>
    <n v="60"/>
    <s v="LIQID"/>
    <s v="ZORA"/>
    <d v="2026-07-10T00:00:00"/>
    <s v="C"/>
    <s v="A"/>
    <s v="10123006"/>
    <s v="20000912"/>
    <x v="99"/>
    <s v="LR RICE SUSHI"/>
    <n v="74"/>
    <n v="74"/>
    <n v="74"/>
    <n v="0"/>
    <m/>
    <s v="80135689"/>
    <n v="0"/>
    <n v="0"/>
    <n v="0"/>
    <n v="592"/>
    <n v="592"/>
    <n v="74"/>
    <n v="0"/>
    <n v="0"/>
    <x v="2"/>
    <s v="NUTRI-GLOBE-P/U FROM CALGARY W/H"/>
    <d v="2026-07-17T00:00:00"/>
    <n v="3735.52"/>
    <d v="2026-07-15T00:00:00"/>
    <d v="2026-07-15T00:00:00"/>
  </r>
  <r>
    <s v="3086925"/>
    <n v="70"/>
    <s v="LIQID"/>
    <s v="ZORA"/>
    <d v="2026-07-10T00:00:00"/>
    <s v="C"/>
    <s v="A"/>
    <s v="10123006"/>
    <s v="20000912"/>
    <x v="63"/>
    <s v="LR RICE JASMINE BROWN ORG"/>
    <n v="8"/>
    <n v="8"/>
    <n v="8"/>
    <n v="0"/>
    <m/>
    <s v="80135689"/>
    <n v="0"/>
    <n v="0"/>
    <n v="0"/>
    <n v="64"/>
    <n v="64"/>
    <n v="8"/>
    <n v="0"/>
    <n v="0"/>
    <x v="2"/>
    <s v="NUTRI-GLOBE-P/U FROM CALGARY W/H"/>
    <d v="2026-07-29T00:00:00"/>
    <n v="371.36"/>
    <d v="2026-07-15T00:00:00"/>
    <d v="2026-07-15T00:00:00"/>
  </r>
  <r>
    <s v="3086925"/>
    <n v="80"/>
    <s v="LIQID"/>
    <s v="ZORA"/>
    <d v="2026-07-10T00:00:00"/>
    <s v="C"/>
    <s v="A"/>
    <s v="10123006"/>
    <s v="20000912"/>
    <x v="88"/>
    <s v="JW SHORTBREAD FINGERS    115"/>
    <n v="122"/>
    <n v="122"/>
    <n v="122"/>
    <n v="0"/>
    <m/>
    <s v="80135689"/>
    <n v="0"/>
    <n v="0"/>
    <n v="0"/>
    <n v="1220"/>
    <n v="1220"/>
    <n v="122"/>
    <n v="0"/>
    <n v="0"/>
    <x v="2"/>
    <s v="NUTRI-GLOBE-P/U FROM CALGARY W/H"/>
    <d v="2026-07-30T00:00:00"/>
    <n v="6161"/>
    <d v="2026-07-15T00:00:00"/>
    <d v="2026-07-15T00:00:00"/>
  </r>
  <r>
    <s v="3086925"/>
    <n v="90"/>
    <s v="LIQID"/>
    <s v="ZORA"/>
    <d v="2026-07-10T00:00:00"/>
    <s v="C"/>
    <s v="A"/>
    <s v="10123006"/>
    <s v="20000912"/>
    <x v="32"/>
    <s v="JW MINI SHRTBR STARS 1816X"/>
    <n v="20"/>
    <n v="20"/>
    <n v="20"/>
    <n v="0"/>
    <m/>
    <s v="80135689"/>
    <n v="0"/>
    <n v="0"/>
    <n v="0"/>
    <n v="80"/>
    <n v="80"/>
    <n v="20"/>
    <n v="0"/>
    <n v="0"/>
    <x v="2"/>
    <s v="NUTRI-GLOBE-P/U FROM CALGARY W/H"/>
    <d v="2026-07-30T00:00:00"/>
    <n v="438.6"/>
    <d v="2026-07-15T00:00:00"/>
    <d v="2026-07-15T00:00:00"/>
  </r>
  <r>
    <s v="3087207"/>
    <n v="40"/>
    <s v="LIQID"/>
    <s v="ZORA"/>
    <d v="2026-07-13T00:00:00"/>
    <s v="C"/>
    <s v="A"/>
    <s v="10182593"/>
    <s v="20182593"/>
    <x v="35"/>
    <s v="BCC CHEESE BURRATA 6x250G"/>
    <n v="7"/>
    <n v="0"/>
    <n v="0"/>
    <n v="0"/>
    <m/>
    <m/>
    <n v="0"/>
    <n v="0"/>
    <n v="0"/>
    <n v="89.6"/>
    <n v="0"/>
    <n v="7"/>
    <n v="0"/>
    <n v="0"/>
    <x v="0"/>
    <s v="ZARKY'S FINE FOODS"/>
    <m/>
    <n v="269.70999999999998"/>
    <d v="2026-07-15T00:00:00"/>
    <m/>
  </r>
  <r>
    <s v="3087207"/>
    <n v="110"/>
    <s v="LIQID"/>
    <s v="ZORA"/>
    <d v="2026-07-13T00:00:00"/>
    <s v="C"/>
    <s v="A"/>
    <s v="10182593"/>
    <s v="20182593"/>
    <x v="62"/>
    <s v="BEL KIRI CHESSE 150G TUB"/>
    <n v="4"/>
    <n v="0"/>
    <n v="0"/>
    <n v="0"/>
    <m/>
    <m/>
    <n v="0"/>
    <n v="0"/>
    <n v="0"/>
    <n v="34.04"/>
    <n v="0"/>
    <n v="4"/>
    <n v="0"/>
    <n v="0"/>
    <x v="0"/>
    <s v="ZARKY'S FINE FOODS"/>
    <m/>
    <n v="97.48"/>
    <d v="2026-07-15T00:00:00"/>
    <m/>
  </r>
  <r>
    <s v="3087225"/>
    <n v="30"/>
    <s v="ONIND"/>
    <s v="ZORA"/>
    <d v="2026-07-13T00:00:00"/>
    <s v="C"/>
    <s v="A"/>
    <s v="10121043"/>
    <s v="20121043"/>
    <x v="60"/>
    <s v="PMO-PA GNOCCHI SPINACH GF"/>
    <n v="30"/>
    <n v="0"/>
    <n v="0"/>
    <n v="0"/>
    <m/>
    <m/>
    <n v="0"/>
    <n v="0"/>
    <n v="0"/>
    <n v="354.9"/>
    <n v="0"/>
    <n v="30"/>
    <n v="0"/>
    <n v="0"/>
    <x v="0"/>
    <s v="SARNIA PRODUCE INC."/>
    <m/>
    <n v="625.20000000000005"/>
    <d v="2026-07-15T00:00:00"/>
    <m/>
  </r>
  <r>
    <s v="3087375"/>
    <n v="10"/>
    <s v="LIQID"/>
    <s v="ZORA"/>
    <d v="2026-07-13T00:00:00"/>
    <s v="C"/>
    <s v="A"/>
    <s v="10125105"/>
    <s v="20125105"/>
    <x v="40"/>
    <s v="AGROSGN BRIE CHEVALR TC 650G"/>
    <n v="2"/>
    <n v="0"/>
    <n v="0"/>
    <n v="0"/>
    <m/>
    <m/>
    <n v="0"/>
    <n v="0"/>
    <n v="0"/>
    <n v="35.409999999999997"/>
    <n v="0"/>
    <n v="2"/>
    <n v="5.2"/>
    <n v="0"/>
    <x v="0"/>
    <s v="ELLIOT LAKE MEATS AND DELI"/>
    <m/>
    <n v="145.81"/>
    <d v="2026-07-16T00:00:00"/>
    <m/>
  </r>
  <r>
    <s v="3087375"/>
    <n v="30"/>
    <s v="LIQID"/>
    <s v="ZORA"/>
    <d v="2026-07-13T00:00:00"/>
    <s v="C"/>
    <s v="A"/>
    <s v="10125105"/>
    <s v="20125105"/>
    <x v="94"/>
    <s v="FRANCE BLUE"/>
    <n v="2"/>
    <n v="0"/>
    <n v="0"/>
    <n v="0"/>
    <m/>
    <m/>
    <n v="0"/>
    <n v="0"/>
    <n v="0"/>
    <n v="16.16"/>
    <n v="0"/>
    <n v="2"/>
    <n v="0"/>
    <n v="0"/>
    <x v="0"/>
    <s v="ELLIOT LAKE MEATS AND DELI"/>
    <m/>
    <n v="66.540000000000006"/>
    <d v="2026-07-16T00:00:00"/>
    <m/>
  </r>
  <r>
    <s v="3087375"/>
    <n v="40"/>
    <s v="LIQID"/>
    <s v="ZORA"/>
    <d v="2026-07-13T00:00:00"/>
    <s v="C"/>
    <s v="A"/>
    <s v="10125105"/>
    <s v="20125105"/>
    <x v="29"/>
    <s v="AGROSGN BRIE DBL CREAM 170G"/>
    <n v="10"/>
    <n v="0"/>
    <n v="0"/>
    <n v="0"/>
    <m/>
    <m/>
    <n v="0"/>
    <n v="0"/>
    <n v="0"/>
    <n v="100"/>
    <n v="0"/>
    <n v="10"/>
    <n v="0"/>
    <n v="0"/>
    <x v="0"/>
    <s v="ELLIOT LAKE MEATS AND DELI"/>
    <m/>
    <n v="421"/>
    <d v="2026-07-16T00:00:00"/>
    <m/>
  </r>
  <r>
    <s v="3087375"/>
    <n v="50"/>
    <s v="LIQID"/>
    <s v="ZORA"/>
    <d v="2026-07-13T00:00:00"/>
    <s v="C"/>
    <s v="A"/>
    <s v="10125105"/>
    <s v="20125105"/>
    <x v="31"/>
    <s v="OKA CHEESE CLASSIQ 1X2.5KG"/>
    <n v="1"/>
    <n v="0"/>
    <n v="0"/>
    <n v="0"/>
    <m/>
    <m/>
    <n v="0"/>
    <n v="0"/>
    <n v="0"/>
    <n v="18.579999999999998"/>
    <n v="0"/>
    <n v="1"/>
    <n v="2.5"/>
    <n v="0"/>
    <x v="0"/>
    <s v="ELLIOT LAKE MEATS AND DELI"/>
    <m/>
    <n v="74.48"/>
    <d v="2026-07-16T00:00:00"/>
    <m/>
  </r>
  <r>
    <s v="3087375"/>
    <n v="60"/>
    <s v="LIQID"/>
    <s v="ZORA"/>
    <d v="2026-07-13T00:00:00"/>
    <s v="C"/>
    <s v="A"/>
    <s v="10125105"/>
    <s v="20125105"/>
    <x v="31"/>
    <s v="OKA CHEESE CLASSIQ 1X2.5KG"/>
    <n v="5"/>
    <n v="0"/>
    <n v="0"/>
    <n v="0"/>
    <m/>
    <m/>
    <n v="0"/>
    <n v="0"/>
    <n v="0"/>
    <n v="92.88"/>
    <n v="0"/>
    <n v="5"/>
    <n v="12.5"/>
    <n v="0"/>
    <x v="0"/>
    <s v="ELLIOT LAKE MEATS AND DELI"/>
    <m/>
    <n v="372.38"/>
    <d v="2026-07-16T00:00:00"/>
    <m/>
  </r>
  <r>
    <s v="3087375"/>
    <n v="70"/>
    <s v="LIQID"/>
    <s v="ZORA"/>
    <d v="2026-07-13T00:00:00"/>
    <s v="C"/>
    <s v="A"/>
    <s v="10125105"/>
    <s v="20125105"/>
    <x v="29"/>
    <s v="AGROSGN BRIE DBL CREAM 170G"/>
    <n v="10"/>
    <n v="0"/>
    <n v="0"/>
    <n v="0"/>
    <m/>
    <m/>
    <n v="0"/>
    <n v="0"/>
    <n v="0"/>
    <n v="100"/>
    <n v="0"/>
    <n v="10"/>
    <n v="0"/>
    <n v="0"/>
    <x v="0"/>
    <s v="ELLIOT LAKE MEATS AND DELI"/>
    <m/>
    <n v="421"/>
    <d v="2026-07-16T00:00:00"/>
    <m/>
  </r>
  <r>
    <s v="3087375"/>
    <n v="80"/>
    <s v="LIQID"/>
    <s v="ZORA"/>
    <d v="2026-07-13T00:00:00"/>
    <s v="C"/>
    <s v="A"/>
    <s v="10125105"/>
    <s v="20125105"/>
    <x v="35"/>
    <s v="BCC CHEESE BURRATA 6x250G"/>
    <n v="7"/>
    <n v="0"/>
    <n v="0"/>
    <n v="0"/>
    <m/>
    <m/>
    <n v="0"/>
    <n v="0"/>
    <n v="0"/>
    <n v="89.6"/>
    <n v="0"/>
    <n v="7"/>
    <n v="0"/>
    <n v="0"/>
    <x v="0"/>
    <s v="ELLIOT LAKE MEATS AND DELI"/>
    <m/>
    <n v="269.70999999999998"/>
    <d v="2026-07-16T00:00:00"/>
    <m/>
  </r>
  <r>
    <s v="3087375"/>
    <n v="120"/>
    <s v="LIQID"/>
    <s v="ZORA"/>
    <d v="2026-07-13T00:00:00"/>
    <s v="C"/>
    <s v="A"/>
    <s v="10125105"/>
    <s v="20125105"/>
    <x v="62"/>
    <s v="BEL KIRI CHESSE 150G TUB"/>
    <n v="4"/>
    <n v="0"/>
    <n v="0"/>
    <n v="0"/>
    <m/>
    <m/>
    <n v="0"/>
    <n v="0"/>
    <n v="0"/>
    <n v="34.04"/>
    <n v="0"/>
    <n v="4"/>
    <n v="0"/>
    <n v="0"/>
    <x v="0"/>
    <s v="ELLIOT LAKE MEATS AND DELI"/>
    <m/>
    <n v="97.48"/>
    <d v="2026-07-16T00:00:00"/>
    <m/>
  </r>
  <r>
    <s v="3088637"/>
    <n v="10"/>
    <s v="LIQID"/>
    <s v="ZORA"/>
    <d v="2026-07-20T00:00:00"/>
    <s v="C"/>
    <s v="A"/>
    <s v="10182593"/>
    <s v="20182593"/>
    <x v="35"/>
    <s v="BCC CHEESE BURRATA 6x250G"/>
    <n v="7"/>
    <n v="0"/>
    <n v="0"/>
    <n v="0"/>
    <m/>
    <m/>
    <n v="0"/>
    <n v="0"/>
    <n v="0"/>
    <n v="89.6"/>
    <n v="0"/>
    <n v="7"/>
    <n v="0"/>
    <n v="0"/>
    <x v="0"/>
    <s v="ZARKY'S FINE FOODS"/>
    <m/>
    <n v="269.70999999999998"/>
    <d v="2026-07-22T00:00:00"/>
    <m/>
  </r>
  <r>
    <s v="3088637"/>
    <n v="30"/>
    <s v="LIQID"/>
    <s v="ZORA"/>
    <d v="2026-07-20T00:00:00"/>
    <s v="C"/>
    <s v="A"/>
    <s v="10182593"/>
    <s v="20182593"/>
    <x v="50"/>
    <s v="BEL BOUR 150GR SHAL &amp; CHIVES"/>
    <n v="24"/>
    <n v="0"/>
    <n v="0"/>
    <n v="0"/>
    <m/>
    <m/>
    <n v="0"/>
    <n v="0"/>
    <n v="0"/>
    <n v="213.36"/>
    <n v="0"/>
    <n v="24"/>
    <n v="0"/>
    <n v="0"/>
    <x v="0"/>
    <s v="ZARKY'S FINE FOODS"/>
    <m/>
    <n v="631.67999999999995"/>
    <d v="2026-07-22T00:00:00"/>
    <m/>
  </r>
  <r>
    <s v="3088645"/>
    <n v="10"/>
    <s v="ATIND"/>
    <s v="ZORA"/>
    <d v="2026-07-20T00:00:00"/>
    <s v="C"/>
    <s v="A"/>
    <s v="10621400"/>
    <s v="20621400"/>
    <x v="36"/>
    <s v="BCC CHEESE MINI BUFFALO BOCCONCINI"/>
    <n v="1"/>
    <n v="0"/>
    <n v="0"/>
    <n v="0"/>
    <m/>
    <m/>
    <n v="0"/>
    <n v="0"/>
    <n v="0"/>
    <n v="12.23"/>
    <n v="0"/>
    <n v="1"/>
    <n v="0"/>
    <n v="0"/>
    <x v="0"/>
    <s v="WARD FOODS LTD"/>
    <m/>
    <n v="36.82"/>
    <d v="2026-07-24T00:00:00"/>
    <m/>
  </r>
  <r>
    <s v="3088645"/>
    <n v="20"/>
    <s v="ATIND"/>
    <s v="ZORA"/>
    <d v="2026-07-20T00:00:00"/>
    <s v="C"/>
    <s v="A"/>
    <s v="10621400"/>
    <s v="20621400"/>
    <x v="35"/>
    <s v="BCC CHEESE BURRATA 6x250G"/>
    <n v="7"/>
    <n v="0"/>
    <n v="0"/>
    <n v="0"/>
    <m/>
    <m/>
    <n v="0"/>
    <n v="0"/>
    <n v="0"/>
    <n v="89.6"/>
    <n v="0"/>
    <n v="7"/>
    <n v="0"/>
    <n v="0"/>
    <x v="0"/>
    <s v="WARD FOODS LTD"/>
    <m/>
    <n v="269.70999999999998"/>
    <d v="2026-07-24T00:00:00"/>
    <m/>
  </r>
  <r>
    <s v="3088645"/>
    <n v="80"/>
    <s v="ATIND"/>
    <s v="ZORA"/>
    <d v="2026-07-20T00:00:00"/>
    <s v="C"/>
    <s v="A"/>
    <s v="10621400"/>
    <s v="20621400"/>
    <x v="91"/>
    <s v="CB CORNED BEEF"/>
    <n v="10"/>
    <n v="0"/>
    <n v="0"/>
    <n v="0"/>
    <m/>
    <m/>
    <n v="0"/>
    <n v="0"/>
    <n v="0"/>
    <n v="46.5"/>
    <n v="0"/>
    <n v="10"/>
    <n v="0"/>
    <n v="0"/>
    <x v="0"/>
    <s v="WARD FOODS LTD"/>
    <m/>
    <n v="104.7"/>
    <d v="2026-07-24T00:00:00"/>
    <m/>
  </r>
  <r>
    <s v="3088645"/>
    <n v="120"/>
    <s v="ATIND"/>
    <s v="ZORA"/>
    <d v="2026-07-20T00:00:00"/>
    <s v="C"/>
    <s v="A"/>
    <s v="10621400"/>
    <s v="20621400"/>
    <x v="50"/>
    <s v="BEL BOUR 150GR SHAL &amp; CHIVES"/>
    <n v="12"/>
    <n v="0"/>
    <n v="0"/>
    <n v="0"/>
    <m/>
    <m/>
    <n v="0"/>
    <n v="0"/>
    <n v="0"/>
    <n v="106.68"/>
    <n v="0"/>
    <n v="12"/>
    <n v="0"/>
    <n v="0"/>
    <x v="0"/>
    <s v="WARD FOODS LTD"/>
    <m/>
    <n v="315.83999999999997"/>
    <d v="2026-07-24T00:00:00"/>
    <m/>
  </r>
  <r>
    <s v="3088645"/>
    <n v="130"/>
    <s v="ATIND"/>
    <s v="ZORA"/>
    <d v="2026-07-20T00:00:00"/>
    <s v="C"/>
    <s v="A"/>
    <s v="10621400"/>
    <s v="20621400"/>
    <x v="53"/>
    <s v="PC SHREDDED FIERY JACK STYLE"/>
    <n v="8"/>
    <n v="0"/>
    <n v="0"/>
    <n v="0"/>
    <m/>
    <m/>
    <n v="0"/>
    <n v="0"/>
    <n v="0"/>
    <n v="87.2"/>
    <n v="0"/>
    <n v="8"/>
    <n v="0"/>
    <n v="0"/>
    <x v="0"/>
    <s v="WARD FOODS LTD"/>
    <m/>
    <n v="240.64"/>
    <d v="2026-07-24T00:00:00"/>
    <m/>
  </r>
  <r>
    <s v="3088645"/>
    <n v="150"/>
    <s v="ATIND"/>
    <s v="ZORA"/>
    <d v="2026-07-20T00:00:00"/>
    <s v="C"/>
    <s v="A"/>
    <s v="10621400"/>
    <s v="20621400"/>
    <x v="75"/>
    <s v="BEL TLC CHEESE DIPPERS 1X"/>
    <n v="12"/>
    <n v="0"/>
    <n v="0"/>
    <n v="0"/>
    <m/>
    <m/>
    <n v="0"/>
    <n v="0"/>
    <n v="0"/>
    <n v="64.2"/>
    <n v="0"/>
    <n v="12"/>
    <n v="0"/>
    <n v="0"/>
    <x v="0"/>
    <s v="WARD FOODS LTD"/>
    <m/>
    <n v="185.88"/>
    <d v="2026-07-24T00:00:00"/>
    <m/>
  </r>
  <r>
    <s v="3088692"/>
    <n v="30"/>
    <s v="LIQID"/>
    <s v="ZORA"/>
    <d v="2026-07-20T00:00:00"/>
    <s v="C"/>
    <s v="A"/>
    <s v="10125105"/>
    <s v="20125105"/>
    <x v="35"/>
    <s v="BCC CHEESE BURRATA 6x250G"/>
    <n v="7"/>
    <n v="0"/>
    <n v="0"/>
    <n v="0"/>
    <m/>
    <m/>
    <n v="0"/>
    <n v="0"/>
    <n v="0"/>
    <n v="89.6"/>
    <n v="0"/>
    <n v="7"/>
    <n v="0"/>
    <n v="0"/>
    <x v="0"/>
    <s v="ELLIOT LAKE MEATS AND DELI"/>
    <m/>
    <n v="269.70999999999998"/>
    <d v="2026-07-27T00:00:00"/>
    <m/>
  </r>
  <r>
    <s v="3088692"/>
    <n v="60"/>
    <s v="LIQID"/>
    <s v="ZORA"/>
    <d v="2026-07-20T00:00:00"/>
    <s v="C"/>
    <s v="A"/>
    <s v="10125105"/>
    <s v="20125105"/>
    <x v="50"/>
    <s v="BEL BOUR 150GR SHAL &amp; CHIVES"/>
    <n v="24"/>
    <n v="0"/>
    <n v="0"/>
    <n v="0"/>
    <m/>
    <m/>
    <n v="0"/>
    <n v="0"/>
    <n v="0"/>
    <n v="213.36"/>
    <n v="0"/>
    <n v="24"/>
    <n v="0"/>
    <n v="0"/>
    <x v="0"/>
    <s v="ELLIOT LAKE MEATS AND DELI"/>
    <m/>
    <n v="631.67999999999995"/>
    <d v="2026-07-27T00:00:00"/>
    <m/>
  </r>
  <r>
    <s v="3088697"/>
    <n v="10"/>
    <s v="ATIND"/>
    <s v="ZORA"/>
    <d v="2026-07-20T00:00:00"/>
    <s v="C"/>
    <s v="A"/>
    <s v="10125620"/>
    <s v="20125620"/>
    <x v="35"/>
    <s v="BCC CHEESE BURRATA 6x250G"/>
    <n v="4"/>
    <n v="0"/>
    <n v="0"/>
    <n v="0"/>
    <m/>
    <m/>
    <n v="0"/>
    <n v="0"/>
    <n v="0"/>
    <n v="51.2"/>
    <n v="0"/>
    <n v="4"/>
    <n v="0"/>
    <n v="0"/>
    <x v="0"/>
    <s v="MASSTOWN CREAMERY LTD"/>
    <m/>
    <n v="154.12"/>
    <d v="2026-07-24T00:00:00"/>
    <m/>
  </r>
  <r>
    <s v="3088726"/>
    <n v="60"/>
    <s v="ATIND"/>
    <s v="ZORA"/>
    <d v="2026-07-20T00:00:00"/>
    <s v="C"/>
    <s v="A"/>
    <s v="10120870"/>
    <s v="20120870"/>
    <x v="91"/>
    <s v="CB CORNED BEEF"/>
    <n v="25"/>
    <n v="0"/>
    <n v="0"/>
    <n v="0"/>
    <m/>
    <m/>
    <n v="0"/>
    <n v="0"/>
    <n v="0"/>
    <n v="116.25"/>
    <n v="0"/>
    <n v="25"/>
    <n v="0"/>
    <n v="0"/>
    <x v="0"/>
    <s v="MORRIS WHOLESALE LTD"/>
    <m/>
    <n v="261.75"/>
    <d v="2026-07-27T00:00:00"/>
    <m/>
  </r>
  <r>
    <s v="3088726"/>
    <n v="90"/>
    <s v="ATIND"/>
    <s v="ZORA"/>
    <d v="2026-07-20T00:00:00"/>
    <s v="C"/>
    <s v="A"/>
    <s v="10120870"/>
    <s v="20120870"/>
    <x v="50"/>
    <s v="BEL BOUR 150GR SHAL &amp; CHIVES"/>
    <n v="24"/>
    <n v="0"/>
    <n v="0"/>
    <n v="0"/>
    <m/>
    <m/>
    <n v="0"/>
    <n v="0"/>
    <n v="0"/>
    <n v="213.36"/>
    <n v="0"/>
    <n v="24"/>
    <n v="0"/>
    <n v="0"/>
    <x v="0"/>
    <s v="MORRIS WHOLESALE LTD"/>
    <m/>
    <n v="631.67999999999995"/>
    <d v="2026-07-27T00:00:00"/>
    <m/>
  </r>
  <r>
    <s v="3088726"/>
    <n v="100"/>
    <s v="ATIND"/>
    <s v="ZORA"/>
    <d v="2026-07-20T00:00:00"/>
    <s v="C"/>
    <s v="A"/>
    <s v="10120870"/>
    <s v="20120870"/>
    <x v="75"/>
    <s v="BEL TLC CHEESE DIPPERS 1X"/>
    <n v="10"/>
    <n v="0"/>
    <n v="0"/>
    <n v="0"/>
    <m/>
    <m/>
    <n v="0"/>
    <n v="0"/>
    <n v="0"/>
    <n v="53.5"/>
    <n v="0"/>
    <n v="10"/>
    <n v="0"/>
    <n v="0"/>
    <x v="0"/>
    <s v="MORRIS WHOLESALE LTD"/>
    <m/>
    <n v="154.9"/>
    <d v="2026-07-27T00:00:00"/>
    <m/>
  </r>
  <r>
    <s v="3088764"/>
    <n v="10"/>
    <s v="ONIND"/>
    <s v="ZORA"/>
    <d v="2026-07-20T00:00:00"/>
    <s v="C"/>
    <s v="A"/>
    <s v="10300082"/>
    <s v="20300082"/>
    <x v="36"/>
    <s v="BCC CHEESE MINI BUFFALO BOCCONCINI"/>
    <n v="1"/>
    <n v="0"/>
    <n v="0"/>
    <n v="0"/>
    <m/>
    <m/>
    <n v="0"/>
    <n v="0"/>
    <n v="0"/>
    <n v="12.23"/>
    <n v="0"/>
    <n v="1"/>
    <n v="0"/>
    <n v="0"/>
    <x v="0"/>
    <s v="POSTICINO RISTORANTE"/>
    <m/>
    <n v="36.82"/>
    <d v="2026-07-22T00:00:00"/>
    <m/>
  </r>
  <r>
    <s v="3088764"/>
    <n v="40"/>
    <s v="ONIND"/>
    <s v="ZORA"/>
    <d v="2026-07-20T00:00:00"/>
    <s v="C"/>
    <s v="A"/>
    <s v="10300082"/>
    <s v="20300082"/>
    <x v="35"/>
    <s v="BCC CHEESE BURRATA 6x250G"/>
    <n v="7"/>
    <n v="0"/>
    <n v="0"/>
    <n v="0"/>
    <m/>
    <m/>
    <n v="0"/>
    <n v="0"/>
    <n v="0"/>
    <n v="89.6"/>
    <n v="0"/>
    <n v="7"/>
    <n v="0"/>
    <n v="0"/>
    <x v="0"/>
    <s v="POSTICINO RISTORANTE"/>
    <m/>
    <n v="269.70999999999998"/>
    <d v="2026-07-22T00:00:00"/>
    <m/>
  </r>
  <r>
    <s v="3088764"/>
    <n v="50"/>
    <s v="ONIND"/>
    <s v="ZORA"/>
    <d v="2026-07-20T00:00:00"/>
    <s v="C"/>
    <s v="A"/>
    <s v="10300082"/>
    <s v="20300082"/>
    <x v="91"/>
    <s v="CB CORNED BEEF"/>
    <n v="50"/>
    <n v="0"/>
    <n v="0"/>
    <n v="0"/>
    <m/>
    <m/>
    <n v="0"/>
    <n v="0"/>
    <n v="0"/>
    <n v="232.5"/>
    <n v="0"/>
    <n v="50"/>
    <n v="0"/>
    <n v="0"/>
    <x v="0"/>
    <s v="POSTICINO RISTORANTE"/>
    <m/>
    <n v="523.5"/>
    <d v="2026-07-22T00:00:00"/>
    <m/>
  </r>
  <r>
    <s v="3088984"/>
    <n v="10"/>
    <s v="LIQID"/>
    <s v="ZORA"/>
    <d v="2026-07-21T00:00:00"/>
    <s v="C"/>
    <s v="A"/>
    <s v="10062506"/>
    <s v="20062506"/>
    <x v="100"/>
    <s v="LR RICE BROWN SHRT GRAIN ORG"/>
    <n v="1"/>
    <n v="1"/>
    <n v="1"/>
    <n v="0"/>
    <m/>
    <s v="80138304"/>
    <n v="0"/>
    <n v="0"/>
    <n v="0"/>
    <n v="9"/>
    <n v="9"/>
    <n v="1"/>
    <n v="0"/>
    <n v="0"/>
    <x v="2"/>
    <s v="LO-BOY MARKET          CLEARANCE"/>
    <d v="2026-07-21T00:00:00"/>
    <n v="36.92"/>
    <d v="2026-07-24T00:00:00"/>
    <d v="2026-07-24T00:00:00"/>
  </r>
  <r>
    <s v="3088984"/>
    <n v="20"/>
    <s v="LIQID"/>
    <s v="ZORA"/>
    <d v="2026-07-21T00:00:00"/>
    <s v="C"/>
    <s v="A"/>
    <s v="10062506"/>
    <s v="20062506"/>
    <x v="101"/>
    <s v="JW SHORTBRD CHOCO CHIP 1149"/>
    <n v="3"/>
    <n v="3"/>
    <n v="3"/>
    <n v="0"/>
    <m/>
    <s v="80138304"/>
    <n v="0"/>
    <n v="0"/>
    <n v="0"/>
    <n v="18"/>
    <n v="18"/>
    <n v="3"/>
    <n v="0"/>
    <n v="0"/>
    <x v="2"/>
    <s v="LO-BOY MARKET          CLEARANCE"/>
    <d v="2026-07-30T00:00:00"/>
    <n v="79.92"/>
    <d v="2026-07-24T00:00:00"/>
    <d v="2026-07-24T00:00:00"/>
  </r>
  <r>
    <s v="3088984"/>
    <n v="30"/>
    <s v="LIQID"/>
    <s v="ZORA"/>
    <d v="2026-07-21T00:00:00"/>
    <s v="C"/>
    <s v="A"/>
    <s v="10062506"/>
    <s v="20062506"/>
    <x v="52"/>
    <s v="SHARWOODS CHUTNEY MANGO FS"/>
    <n v="10"/>
    <n v="10"/>
    <n v="10"/>
    <n v="0"/>
    <m/>
    <s v="80138304"/>
    <n v="0"/>
    <n v="0"/>
    <n v="0"/>
    <n v="100"/>
    <n v="100"/>
    <n v="10"/>
    <n v="0"/>
    <n v="0"/>
    <x v="2"/>
    <s v="LO-BOY MARKET          CLEARANCE"/>
    <d v="2026-07-31T00:00:00"/>
    <n v="379.7"/>
    <d v="2026-07-24T00:00:00"/>
    <d v="2026-07-24T00:00:00"/>
  </r>
  <r>
    <s v="3088984"/>
    <n v="40"/>
    <s v="LIQID"/>
    <s v="ZORA"/>
    <d v="2026-07-21T00:00:00"/>
    <s v="C"/>
    <s v="A"/>
    <s v="10062506"/>
    <s v="20062506"/>
    <x v="70"/>
    <s v="MCV DIGESTIVE MK CHOC 18591"/>
    <n v="15"/>
    <n v="0"/>
    <n v="0"/>
    <n v="0"/>
    <m/>
    <m/>
    <n v="0"/>
    <n v="0"/>
    <n v="0"/>
    <n v="150"/>
    <n v="0"/>
    <n v="15"/>
    <n v="0"/>
    <n v="0"/>
    <x v="2"/>
    <s v="LO-BOY MARKET          CLEARANCE"/>
    <m/>
    <n v="427.2"/>
    <d v="2026-07-24T00:00:00"/>
    <m/>
  </r>
  <r>
    <s v="3088984"/>
    <n v="50"/>
    <s v="LIQID"/>
    <s v="ZORA"/>
    <d v="2026-07-21T00:00:00"/>
    <s v="C"/>
    <s v="A"/>
    <s v="10062506"/>
    <s v="20062506"/>
    <x v="102"/>
    <s v="CLIPPER RISE &amp; SHINE ORG"/>
    <n v="6"/>
    <n v="6"/>
    <n v="6"/>
    <n v="0"/>
    <m/>
    <s v="80138304"/>
    <n v="0"/>
    <n v="0"/>
    <n v="0"/>
    <n v="30"/>
    <n v="30"/>
    <n v="6"/>
    <n v="0"/>
    <n v="0"/>
    <x v="2"/>
    <s v="LO-BOY MARKET          CLEARANCE"/>
    <d v="2026-08-13T00:00:00"/>
    <n v="114.9"/>
    <d v="2026-07-24T00:00:00"/>
    <d v="2026-07-24T00:00:00"/>
  </r>
  <r>
    <s v="3088984"/>
    <n v="60"/>
    <s v="LIQID"/>
    <s v="ZORA"/>
    <d v="2026-07-21T00:00:00"/>
    <s v="C"/>
    <s v="A"/>
    <s v="10062506"/>
    <s v="20062506"/>
    <x v="103"/>
    <s v="TST SAUCE MANGO CURRY"/>
    <n v="38"/>
    <n v="38"/>
    <n v="38"/>
    <n v="0"/>
    <m/>
    <s v="80138304"/>
    <n v="0"/>
    <n v="0"/>
    <n v="0"/>
    <n v="190"/>
    <n v="190"/>
    <n v="38"/>
    <n v="0"/>
    <n v="0"/>
    <x v="2"/>
    <s v="LO-BOY MARKET          CLEARANCE"/>
    <d v="2026-08-31T00:00:00"/>
    <n v="587.86"/>
    <d v="2026-07-24T00:00:00"/>
    <d v="2026-07-24T00:00:00"/>
  </r>
  <r>
    <s v="3089006"/>
    <n v="20"/>
    <s v="LIQID"/>
    <s v="ZORA"/>
    <d v="2026-07-21T00:00:00"/>
    <s v="C"/>
    <s v="A"/>
    <s v="10123006"/>
    <s v="20000912"/>
    <x v="70"/>
    <s v="MCV DIGESTIVE MK CHOC 18591"/>
    <n v="15"/>
    <n v="0"/>
    <n v="0"/>
    <n v="0"/>
    <m/>
    <m/>
    <n v="0"/>
    <n v="0"/>
    <n v="0"/>
    <n v="75"/>
    <n v="0"/>
    <n v="15"/>
    <n v="0"/>
    <n v="0"/>
    <x v="2"/>
    <s v="NUTRI-GLOBE-P/U FROM CALGARY W/H"/>
    <m/>
    <n v="427.2"/>
    <d v="2026-07-24T00:00:00"/>
    <m/>
  </r>
  <r>
    <s v="3089006"/>
    <n v="30"/>
    <s v="LIQID"/>
    <s v="ZORA"/>
    <d v="2026-07-21T00:00:00"/>
    <s v="C"/>
    <s v="A"/>
    <s v="10123006"/>
    <s v="20000912"/>
    <x v="104"/>
    <s v="NUPST VEGAN BOLOGNESE"/>
    <n v="48"/>
    <n v="48"/>
    <n v="48"/>
    <n v="0"/>
    <m/>
    <s v="80138660"/>
    <n v="0"/>
    <n v="0"/>
    <n v="0"/>
    <n v="144"/>
    <n v="144"/>
    <n v="48"/>
    <n v="0"/>
    <n v="0"/>
    <x v="2"/>
    <s v="NUTRI-GLOBE-P/U FROM CALGARY W/H"/>
    <d v="2026-08-03T00:00:00"/>
    <n v="778.56"/>
    <d v="2026-07-24T00:00:00"/>
    <d v="2026-07-24T00:00:00"/>
  </r>
  <r>
    <s v="3089006"/>
    <n v="40"/>
    <s v="LIQID"/>
    <s v="ZORA"/>
    <d v="2026-07-21T00:00:00"/>
    <s v="C"/>
    <s v="A"/>
    <s v="10123006"/>
    <s v="20000912"/>
    <x v="19"/>
    <s v="NUPST VEGAN CHILI"/>
    <n v="21"/>
    <n v="21"/>
    <n v="21"/>
    <n v="0"/>
    <m/>
    <s v="80138660"/>
    <n v="0"/>
    <n v="0"/>
    <n v="0"/>
    <n v="63"/>
    <n v="63"/>
    <n v="21"/>
    <n v="0"/>
    <n v="0"/>
    <x v="2"/>
    <s v="NUTRI-GLOBE-P/U FROM CALGARY W/H"/>
    <d v="2026-08-03T00:00:00"/>
    <n v="346.92"/>
    <d v="2026-07-24T00:00:00"/>
    <d v="2026-07-24T00:00:00"/>
  </r>
  <r>
    <s v="3089006"/>
    <n v="50"/>
    <s v="LIQID"/>
    <s v="ZORA"/>
    <d v="2026-07-21T00:00:00"/>
    <s v="C"/>
    <s v="A"/>
    <s v="10123006"/>
    <s v="20000912"/>
    <x v="105"/>
    <s v="KKM OYSTER FLAVORED SAUCE"/>
    <n v="92"/>
    <n v="92"/>
    <n v="92"/>
    <n v="0"/>
    <m/>
    <s v="80138660"/>
    <n v="0"/>
    <n v="0"/>
    <n v="0"/>
    <n v="736"/>
    <n v="736"/>
    <n v="92"/>
    <n v="0"/>
    <n v="0"/>
    <x v="2"/>
    <s v="NUTRI-GLOBE-P/U FROM CALGARY W/H"/>
    <d v="2026-08-07T00:00:00"/>
    <n v="2840.04"/>
    <d v="2026-07-24T00:00:00"/>
    <d v="2026-07-24T00:00:00"/>
  </r>
  <r>
    <s v="3089006"/>
    <n v="60"/>
    <s v="LIQID"/>
    <s v="ZORA"/>
    <d v="2026-07-21T00:00:00"/>
    <s v="C"/>
    <s v="A"/>
    <s v="10123006"/>
    <s v="20000912"/>
    <x v="64"/>
    <s v="CERES JUICE GUAVA"/>
    <n v="81"/>
    <n v="81"/>
    <n v="81"/>
    <n v="0"/>
    <m/>
    <s v="80138660"/>
    <n v="0"/>
    <n v="0"/>
    <n v="0"/>
    <n v="405"/>
    <n v="405"/>
    <n v="81"/>
    <n v="0"/>
    <n v="0"/>
    <x v="2"/>
    <s v="NUTRI-GLOBE-P/U FROM CALGARY W/H"/>
    <d v="2026-08-13T00:00:00"/>
    <n v="2455.11"/>
    <d v="2026-07-24T00:00:00"/>
    <d v="2026-07-24T00:00:00"/>
  </r>
  <r>
    <s v="3089402"/>
    <n v="50"/>
    <s v="LIQID"/>
    <s v="ZORA"/>
    <d v="2026-07-22T00:00:00"/>
    <s v="C"/>
    <s v="A"/>
    <s v="10150032"/>
    <s v="20901194"/>
    <x v="106"/>
    <s v="KKF FZN BREAD WHITE"/>
    <n v="70"/>
    <n v="70"/>
    <n v="70"/>
    <n v="0"/>
    <m/>
    <s v="80138419"/>
    <n v="0"/>
    <n v="0"/>
    <n v="0"/>
    <n v="612.5"/>
    <n v="612.5"/>
    <n v="70"/>
    <n v="0"/>
    <n v="0"/>
    <x v="0"/>
    <s v="COUNTRY TRADITIONS FROZEN FOODS FZ"/>
    <m/>
    <n v="1554.7"/>
    <d v="2026-07-24T00:00:00"/>
    <d v="2026-07-24T00:00:00"/>
  </r>
  <r>
    <s v="3089716"/>
    <n v="10"/>
    <s v="LIQID"/>
    <s v="ZORA"/>
    <d v="2026-07-23T00:00:00"/>
    <s v="C"/>
    <s v="A"/>
    <s v="10150032"/>
    <s v="20150032"/>
    <x v="35"/>
    <s v="BCC CHEESE BURRATA 6x250G"/>
    <n v="7"/>
    <n v="0"/>
    <n v="0"/>
    <n v="0"/>
    <m/>
    <m/>
    <n v="0"/>
    <n v="0"/>
    <n v="0"/>
    <n v="89.6"/>
    <n v="0"/>
    <n v="7"/>
    <n v="0"/>
    <n v="0"/>
    <x v="0"/>
    <s v="COUNTRY TRADITIONS FROZEN FOODS"/>
    <m/>
    <n v="269.70999999999998"/>
    <d v="2026-07-27T00:00:00"/>
    <m/>
  </r>
  <r>
    <s v="3089716"/>
    <n v="110"/>
    <s v="LIQID"/>
    <s v="ZORA"/>
    <d v="2026-07-23T00:00:00"/>
    <s v="C"/>
    <s v="A"/>
    <s v="10150032"/>
    <s v="20150032"/>
    <x v="50"/>
    <s v="BEL BOUR 150GR SHAL &amp; CHIVES"/>
    <n v="24"/>
    <n v="0"/>
    <n v="0"/>
    <n v="0"/>
    <m/>
    <m/>
    <n v="0"/>
    <n v="0"/>
    <n v="0"/>
    <n v="213.36"/>
    <n v="0"/>
    <n v="24"/>
    <n v="0"/>
    <n v="0"/>
    <x v="0"/>
    <s v="COUNTRY TRADITIONS FROZEN FOODS"/>
    <m/>
    <n v="619.20000000000005"/>
    <d v="2026-07-27T00:00:00"/>
    <m/>
  </r>
  <r>
    <s v="3090119"/>
    <n v="10"/>
    <s v="ATIND"/>
    <s v="ZORA"/>
    <d v="2026-07-27T00:00:00"/>
    <s v="C"/>
    <s v="A"/>
    <s v="10621400"/>
    <s v="20621400"/>
    <x v="75"/>
    <s v="BEL TLC CHEESE DIPPERS 1X"/>
    <n v="10"/>
    <n v="0"/>
    <n v="0"/>
    <n v="0"/>
    <m/>
    <m/>
    <n v="0"/>
    <n v="0"/>
    <n v="0"/>
    <n v="53.5"/>
    <n v="0"/>
    <n v="10"/>
    <n v="0"/>
    <n v="0"/>
    <x v="0"/>
    <s v="WARD FOODS LTD"/>
    <m/>
    <n v="154.9"/>
    <d v="2026-07-31T00:00:00"/>
    <m/>
  </r>
  <r>
    <s v="3090119"/>
    <n v="30"/>
    <s v="ATIND"/>
    <s v="ZORA"/>
    <d v="2026-07-27T00:00:00"/>
    <s v="C"/>
    <s v="A"/>
    <s v="10621400"/>
    <s v="20621400"/>
    <x v="62"/>
    <s v="BEL KIRI CHESSE 150G TUB"/>
    <n v="3"/>
    <n v="0"/>
    <n v="0"/>
    <n v="0"/>
    <m/>
    <m/>
    <n v="0"/>
    <n v="0"/>
    <n v="0"/>
    <n v="25.53"/>
    <n v="0"/>
    <n v="3"/>
    <n v="0"/>
    <n v="0"/>
    <x v="0"/>
    <s v="WARD FOODS LTD"/>
    <m/>
    <n v="74.55"/>
    <d v="2026-07-31T00:00:00"/>
    <m/>
  </r>
  <r>
    <s v="3090119"/>
    <n v="60"/>
    <s v="ATIND"/>
    <s v="ZORA"/>
    <d v="2026-07-27T00:00:00"/>
    <s v="C"/>
    <s v="A"/>
    <s v="10621400"/>
    <s v="20621400"/>
    <x v="42"/>
    <s v="SABANA QUESO FRESCO"/>
    <n v="15"/>
    <n v="0"/>
    <n v="0"/>
    <n v="0"/>
    <m/>
    <m/>
    <n v="0"/>
    <n v="0"/>
    <n v="0"/>
    <n v="200.85"/>
    <n v="0"/>
    <n v="15"/>
    <n v="0"/>
    <n v="0"/>
    <x v="0"/>
    <s v="WARD FOODS LTD"/>
    <m/>
    <n v="568.79999999999995"/>
    <d v="2026-07-31T00:00:00"/>
    <m/>
  </r>
  <r>
    <s v="3090119"/>
    <n v="70"/>
    <s v="ATIND"/>
    <s v="ZORA"/>
    <d v="2026-07-27T00:00:00"/>
    <s v="C"/>
    <s v="A"/>
    <s v="10621400"/>
    <s v="20621400"/>
    <x v="107"/>
    <s v="CC WHT STILT MANGO GING 2X1.15KG"/>
    <n v="4"/>
    <n v="0"/>
    <n v="0"/>
    <n v="0"/>
    <m/>
    <m/>
    <n v="0"/>
    <n v="0"/>
    <n v="0"/>
    <n v="90.9"/>
    <n v="0"/>
    <n v="4"/>
    <n v="9.1999999999999993"/>
    <n v="0"/>
    <x v="0"/>
    <s v="WARD FOODS LTD"/>
    <m/>
    <n v="189.8"/>
    <d v="2026-07-31T00:00:00"/>
    <m/>
  </r>
  <r>
    <s v="3090227"/>
    <n v="10"/>
    <s v="LIQID"/>
    <s v="ZORA"/>
    <d v="2026-07-27T00:00:00"/>
    <s v="C"/>
    <s v="A"/>
    <s v="10125105"/>
    <s v="20125105"/>
    <x v="31"/>
    <s v="OKA CHEESE CLASSIQ 1X2.5KG"/>
    <n v="9"/>
    <n v="0"/>
    <n v="0"/>
    <n v="0"/>
    <m/>
    <m/>
    <n v="0"/>
    <n v="0"/>
    <n v="0"/>
    <n v="164.25"/>
    <n v="0"/>
    <n v="9"/>
    <n v="22.5"/>
    <n v="0"/>
    <x v="0"/>
    <s v="ELLIOT LAKE MEATS AND DELI"/>
    <m/>
    <n v="678.83"/>
    <d v="2026-08-04T00:00:00"/>
    <m/>
  </r>
  <r>
    <s v="3090227"/>
    <n v="50"/>
    <s v="LIQID"/>
    <s v="ZORA"/>
    <d v="2026-07-27T00:00:00"/>
    <s v="C"/>
    <s v="A"/>
    <s v="10125105"/>
    <s v="20125105"/>
    <x v="35"/>
    <s v="BCC CHEESE BURRATA 6x250G"/>
    <n v="7"/>
    <n v="0"/>
    <n v="0"/>
    <n v="0"/>
    <m/>
    <m/>
    <n v="0"/>
    <n v="0"/>
    <n v="0"/>
    <n v="89.6"/>
    <n v="0"/>
    <n v="7"/>
    <n v="0"/>
    <n v="0"/>
    <x v="0"/>
    <s v="ELLIOT LAKE MEATS AND DELI"/>
    <m/>
    <n v="269.70999999999998"/>
    <d v="2026-08-04T00:00:00"/>
    <m/>
  </r>
  <r>
    <s v="3090227"/>
    <n v="130"/>
    <s v="LIQID"/>
    <s v="ZORA"/>
    <d v="2026-07-27T00:00:00"/>
    <s v="C"/>
    <s v="A"/>
    <s v="10125105"/>
    <s v="20125105"/>
    <x v="62"/>
    <s v="BEL KIRI CHESSE 150G TUB"/>
    <n v="3"/>
    <n v="0"/>
    <n v="0"/>
    <n v="0"/>
    <m/>
    <m/>
    <n v="0"/>
    <n v="0"/>
    <n v="0"/>
    <n v="25.53"/>
    <n v="0"/>
    <n v="3"/>
    <n v="0"/>
    <n v="0"/>
    <x v="0"/>
    <s v="ELLIOT LAKE MEATS AND DELI"/>
    <m/>
    <n v="74.55"/>
    <d v="2026-08-04T00:00:00"/>
    <m/>
  </r>
  <r>
    <s v="3090271"/>
    <n v="10"/>
    <s v="FSIND"/>
    <s v="ZORA"/>
    <d v="2026-07-27T00:00:00"/>
    <s v="C"/>
    <s v="A"/>
    <s v="10074880"/>
    <s v="20074880"/>
    <x v="108"/>
    <s v="PMO-OI OIL OLIVE EXTRA VIR"/>
    <n v="23"/>
    <n v="23"/>
    <n v="23"/>
    <n v="0"/>
    <m/>
    <s v="80140424"/>
    <n v="0"/>
    <n v="0"/>
    <n v="0"/>
    <n v="893.09"/>
    <n v="893.09"/>
    <n v="23"/>
    <n v="0"/>
    <n v="0"/>
    <x v="2"/>
    <s v="WORLDWIDE SPECIALTY FOODS LTD"/>
    <m/>
    <n v="2242.73"/>
    <d v="2026-07-30T00:00:00"/>
    <d v="2026-07-30T00:00:00"/>
  </r>
  <r>
    <s v="3090375"/>
    <n v="40"/>
    <s v="LIQID"/>
    <s v="ZORA"/>
    <d v="2026-07-28T00:00:00"/>
    <s v="C"/>
    <s v="A"/>
    <s v="10225936"/>
    <s v="20225936"/>
    <x v="109"/>
    <s v="KKF ALL PURP FLOUR BLEND"/>
    <n v="5"/>
    <n v="0"/>
    <n v="0"/>
    <n v="0"/>
    <m/>
    <m/>
    <n v="0"/>
    <n v="0"/>
    <n v="0"/>
    <n v="30"/>
    <n v="0"/>
    <n v="5"/>
    <n v="0"/>
    <n v="0"/>
    <x v="0"/>
    <s v="ALMOST PERFECT"/>
    <m/>
    <n v="104.75"/>
    <d v="2026-07-30T00:00:00"/>
    <m/>
  </r>
  <r>
    <s v="3090375"/>
    <n v="100"/>
    <s v="LIQID"/>
    <s v="ZORA"/>
    <d v="2026-07-28T00:00:00"/>
    <s v="C"/>
    <s v="A"/>
    <s v="10225936"/>
    <s v="20225936"/>
    <x v="62"/>
    <s v="BEL KIRI CHESSE 150G TUB"/>
    <n v="3"/>
    <n v="0"/>
    <n v="0"/>
    <n v="0"/>
    <m/>
    <m/>
    <n v="0"/>
    <n v="0"/>
    <n v="0"/>
    <n v="25.53"/>
    <n v="0"/>
    <n v="3"/>
    <n v="0"/>
    <n v="0"/>
    <x v="0"/>
    <s v="ALMOST PERFECT"/>
    <m/>
    <n v="74.55"/>
    <d v="2026-07-30T00:00:00"/>
    <m/>
  </r>
  <r>
    <s v="3090375"/>
    <n v="130"/>
    <s v="LIQID"/>
    <s v="ZORA"/>
    <d v="2026-07-28T00:00:00"/>
    <s v="C"/>
    <s v="A"/>
    <s v="10225936"/>
    <s v="20225936"/>
    <x v="42"/>
    <s v="SABANA QUESO FRESCO"/>
    <n v="15"/>
    <n v="0"/>
    <n v="0"/>
    <n v="0"/>
    <m/>
    <m/>
    <n v="0"/>
    <n v="0"/>
    <n v="0"/>
    <n v="200.85"/>
    <n v="0"/>
    <n v="15"/>
    <n v="0"/>
    <n v="0"/>
    <x v="0"/>
    <s v="ALMOST PERFECT"/>
    <m/>
    <n v="568.79999999999995"/>
    <d v="2026-07-30T00:00:00"/>
    <m/>
  </r>
  <r>
    <s v="3090375"/>
    <n v="190"/>
    <s v="LIQID"/>
    <s v="ZORA"/>
    <d v="2026-07-28T00:00:00"/>
    <s v="C"/>
    <s v="A"/>
    <s v="10225936"/>
    <s v="20225936"/>
    <x v="110"/>
    <s v="ANGIE'S PUFFS WHITE CHEDDAR 170G"/>
    <n v="17"/>
    <n v="0"/>
    <n v="0"/>
    <n v="0"/>
    <m/>
    <m/>
    <n v="0"/>
    <n v="0"/>
    <n v="0"/>
    <n v="204"/>
    <n v="0"/>
    <n v="17"/>
    <n v="0"/>
    <n v="0"/>
    <x v="0"/>
    <s v="ALMOST PERFECT"/>
    <m/>
    <n v="809.2"/>
    <d v="2026-07-30T00:00:00"/>
    <m/>
  </r>
  <r>
    <s v="3090828"/>
    <n v="10"/>
    <s v="BCIND"/>
    <s v="ZORA"/>
    <d v="2026-07-29T00:00:00"/>
    <s v="B"/>
    <s v="A"/>
    <s v="10011610"/>
    <s v="20011610"/>
    <x v="27"/>
    <s v="CC SHROPSHIRE BLUE BULK 2X2KG"/>
    <n v="2"/>
    <n v="2"/>
    <n v="0"/>
    <n v="0"/>
    <m/>
    <m/>
    <n v="8"/>
    <n v="0"/>
    <n v="0"/>
    <n v="85.76"/>
    <n v="85.76"/>
    <n v="2"/>
    <n v="8"/>
    <n v="0"/>
    <x v="1"/>
    <s v="THE CHEESE MAN"/>
    <m/>
    <n v="181.68"/>
    <d v="2026-07-30T00:00:00"/>
    <m/>
  </r>
  <r>
    <s v="3090828"/>
    <n v="20"/>
    <s v="BCIND"/>
    <s v="ZORA"/>
    <d v="2026-07-29T00:00:00"/>
    <s v="B"/>
    <s v="A"/>
    <s v="10011610"/>
    <s v="20011610"/>
    <x v="107"/>
    <s v="CC WHT STILT MANGO GING 2X1.15KG"/>
    <n v="6"/>
    <n v="0"/>
    <n v="0"/>
    <n v="0"/>
    <m/>
    <m/>
    <n v="0"/>
    <n v="0"/>
    <n v="0"/>
    <n v="136.34"/>
    <n v="0"/>
    <n v="6"/>
    <n v="13.8"/>
    <n v="0"/>
    <x v="1"/>
    <s v="THE CHEESE MAN"/>
    <m/>
    <n v="297.67"/>
    <d v="2026-07-30T00:00:00"/>
    <m/>
  </r>
  <r>
    <m/>
    <m/>
    <m/>
    <m/>
    <m/>
    <m/>
    <m/>
    <m/>
    <m/>
    <x v="111"/>
    <m/>
    <m/>
    <m/>
    <m/>
    <m/>
    <m/>
    <m/>
    <m/>
    <m/>
    <m/>
    <m/>
    <m/>
    <m/>
    <m/>
    <m/>
    <x v="4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D36E7E-46C3-4C7C-A13B-98DA45B9ADE8}" name="PivotTable1" cacheId="6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117" firstHeaderRow="1" firstDataRow="2" firstDataCol="1"/>
  <pivotFields count="3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3">
        <item x="56"/>
        <item x="21"/>
        <item x="109"/>
        <item x="63"/>
        <item x="100"/>
        <item x="99"/>
        <item x="10"/>
        <item x="30"/>
        <item x="81"/>
        <item x="27"/>
        <item x="26"/>
        <item x="14"/>
        <item x="107"/>
        <item x="12"/>
        <item x="6"/>
        <item x="28"/>
        <item x="24"/>
        <item x="25"/>
        <item x="58"/>
        <item x="20"/>
        <item x="74"/>
        <item x="80"/>
        <item x="103"/>
        <item x="34"/>
        <item x="4"/>
        <item x="49"/>
        <item x="43"/>
        <item x="55"/>
        <item x="2"/>
        <item x="59"/>
        <item x="0"/>
        <item x="95"/>
        <item x="65"/>
        <item x="40"/>
        <item x="29"/>
        <item x="37"/>
        <item x="38"/>
        <item x="41"/>
        <item x="31"/>
        <item x="39"/>
        <item x="1"/>
        <item x="8"/>
        <item x="78"/>
        <item x="18"/>
        <item x="17"/>
        <item x="16"/>
        <item x="90"/>
        <item x="85"/>
        <item x="102"/>
        <item x="42"/>
        <item x="96"/>
        <item x="46"/>
        <item x="61"/>
        <item x="76"/>
        <item x="79"/>
        <item x="22"/>
        <item x="77"/>
        <item x="7"/>
        <item x="51"/>
        <item x="108"/>
        <item x="60"/>
        <item x="93"/>
        <item x="57"/>
        <item x="89"/>
        <item x="53"/>
        <item x="92"/>
        <item x="64"/>
        <item x="52"/>
        <item x="104"/>
        <item x="19"/>
        <item x="23"/>
        <item x="82"/>
        <item x="9"/>
        <item x="15"/>
        <item x="66"/>
        <item x="84"/>
        <item x="3"/>
        <item x="91"/>
        <item x="105"/>
        <item x="69"/>
        <item x="71"/>
        <item x="45"/>
        <item x="5"/>
        <item x="50"/>
        <item x="75"/>
        <item x="62"/>
        <item x="72"/>
        <item x="13"/>
        <item x="68"/>
        <item x="47"/>
        <item x="44"/>
        <item x="54"/>
        <item x="11"/>
        <item x="48"/>
        <item x="88"/>
        <item x="101"/>
        <item x="32"/>
        <item x="106"/>
        <item x="83"/>
        <item x="67"/>
        <item x="70"/>
        <item x="97"/>
        <item x="98"/>
        <item x="73"/>
        <item x="35"/>
        <item x="36"/>
        <item x="33"/>
        <item x="86"/>
        <item x="87"/>
        <item x="94"/>
        <item x="110"/>
        <item x="11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2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1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 t="grand">
      <x/>
    </i>
  </rowItems>
  <colFields count="1">
    <field x="2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Confirmed Quantity (CS)" fld="12" baseField="0" baseItem="0"/>
  </dataFields>
  <formats count="21">
    <format dxfId="0">
      <pivotArea outline="0" collapsedLevelsAreSubtotals="1" fieldPosition="0"/>
    </format>
    <format dxfId="1">
      <pivotArea field="25" type="button" dataOnly="0" labelOnly="1" outline="0" axis="axisCol" fieldPosition="0"/>
    </format>
    <format dxfId="2">
      <pivotArea type="topRight" dataOnly="0" labelOnly="1" outline="0" fieldPosition="0"/>
    </format>
    <format dxfId="3">
      <pivotArea dataOnly="0" labelOnly="1" fieldPosition="0">
        <references count="1">
          <reference field="25" count="0"/>
        </references>
      </pivotArea>
    </format>
    <format dxfId="4">
      <pivotArea dataOnly="0" labelOnly="1" grandCol="1" outline="0" fieldPosition="0"/>
    </format>
    <format dxfId="5">
      <pivotArea outline="0" collapsedLevelsAreSubtotals="1" fieldPosition="0"/>
    </format>
    <format dxfId="6">
      <pivotArea field="25" type="button" dataOnly="0" labelOnly="1" outline="0" axis="axisCol" fieldPosition="0"/>
    </format>
    <format dxfId="7">
      <pivotArea type="topRight" dataOnly="0" labelOnly="1" outline="0" fieldPosition="0"/>
    </format>
    <format dxfId="8">
      <pivotArea dataOnly="0" labelOnly="1" fieldPosition="0">
        <references count="1">
          <reference field="25" count="0"/>
        </references>
      </pivotArea>
    </format>
    <format dxfId="9">
      <pivotArea dataOnly="0" labelOnly="1" grandCol="1" outline="0" fieldPosition="0"/>
    </format>
    <format dxfId="10">
      <pivotArea type="origin" dataOnly="0" labelOnly="1" outline="0" fieldPosition="0"/>
    </format>
    <format dxfId="11">
      <pivotArea field="25" type="button" dataOnly="0" labelOnly="1" outline="0" axis="axisCol" fieldPosition="0"/>
    </format>
    <format dxfId="12">
      <pivotArea type="topRight" dataOnly="0" labelOnly="1" outline="0" fieldPosition="0"/>
    </format>
    <format dxfId="13">
      <pivotArea outline="0" collapsedLevelsAreSubtotals="1" fieldPosition="0"/>
    </format>
    <format dxfId="14">
      <pivotArea field="9" type="button" dataOnly="0" labelOnly="1" outline="0" axis="axisRow" fieldPosition="0"/>
    </format>
    <format dxfId="15">
      <pivotArea dataOnly="0" labelOnly="1" fieldPosition="0">
        <references count="1">
          <reference field="9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">
      <pivotArea dataOnly="0" labelOnly="1" fieldPosition="0">
        <references count="1">
          <reference field="9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7">
      <pivotArea dataOnly="0" labelOnly="1" fieldPosition="0">
        <references count="1">
          <reference field="9" count="12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</reference>
        </references>
      </pivotArea>
    </format>
    <format dxfId="18">
      <pivotArea dataOnly="0" labelOnly="1" grandRow="1" outline="0" fieldPosition="0"/>
    </format>
    <format dxfId="19">
      <pivotArea dataOnly="0" labelOnly="1" fieldPosition="0">
        <references count="1">
          <reference field="25" count="0"/>
        </references>
      </pivotArea>
    </format>
    <format dxfId="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AE0AD-CC99-4C65-A944-DA5815B49AB7}">
  <dimension ref="A3:H117"/>
  <sheetViews>
    <sheetView workbookViewId="0">
      <selection activeCell="F1" sqref="F1:F1048576"/>
    </sheetView>
  </sheetViews>
  <sheetFormatPr defaultRowHeight="14.1"/>
  <cols>
    <col min="1" max="1" width="13.625" customWidth="1"/>
    <col min="2" max="2" width="11.875" style="9" customWidth="1"/>
    <col min="3" max="3" width="8.75" style="9" customWidth="1"/>
    <col min="4" max="4" width="10" style="9" customWidth="1"/>
    <col min="5" max="5" width="9.75" style="9" customWidth="1"/>
    <col min="6" max="6" width="9.625" style="9" customWidth="1"/>
    <col min="7" max="7" width="13.375" style="9" customWidth="1"/>
    <col min="8" max="8" width="14" bestFit="1" customWidth="1"/>
  </cols>
  <sheetData>
    <row r="3" spans="1:8" s="27" customFormat="1" ht="42">
      <c r="A3" s="24" t="s">
        <v>0</v>
      </c>
      <c r="B3" s="25" t="s">
        <v>1</v>
      </c>
      <c r="C3" s="26"/>
      <c r="D3" s="26"/>
      <c r="E3" s="26"/>
      <c r="F3" s="26"/>
      <c r="G3" s="26"/>
    </row>
    <row r="4" spans="1:8">
      <c r="A4" s="28" t="s">
        <v>2</v>
      </c>
      <c r="B4" s="29" t="s">
        <v>3</v>
      </c>
      <c r="C4" s="29" t="s">
        <v>4</v>
      </c>
      <c r="D4" s="29" t="s">
        <v>5</v>
      </c>
      <c r="E4" s="29" t="s">
        <v>6</v>
      </c>
      <c r="F4" s="29" t="s">
        <v>7</v>
      </c>
      <c r="G4" s="29" t="s">
        <v>8</v>
      </c>
      <c r="H4" s="31" t="s">
        <v>9</v>
      </c>
    </row>
    <row r="5" spans="1:8">
      <c r="A5" s="30" t="s">
        <v>10</v>
      </c>
      <c r="B5" s="29">
        <v>0</v>
      </c>
      <c r="C5" s="29"/>
      <c r="D5" s="29"/>
      <c r="E5" s="29"/>
      <c r="F5" s="29"/>
      <c r="G5" s="29">
        <v>0</v>
      </c>
      <c r="H5" t="str">
        <f>A5 &amp; "_" &amp; 2910</f>
        <v>10001127_2910</v>
      </c>
    </row>
    <row r="6" spans="1:8">
      <c r="A6" s="30" t="s">
        <v>11</v>
      </c>
      <c r="B6" s="29"/>
      <c r="C6" s="29"/>
      <c r="D6" s="29"/>
      <c r="E6" s="29">
        <v>0</v>
      </c>
      <c r="F6" s="29"/>
      <c r="G6" s="29">
        <v>0</v>
      </c>
      <c r="H6" t="str">
        <f t="shared" ref="H6:H69" si="0">A6 &amp; "_" &amp; 2910</f>
        <v>10003061_2910</v>
      </c>
    </row>
    <row r="7" spans="1:8">
      <c r="A7" s="30" t="s">
        <v>12</v>
      </c>
      <c r="B7" s="29">
        <v>0</v>
      </c>
      <c r="C7" s="29"/>
      <c r="D7" s="29"/>
      <c r="E7" s="29"/>
      <c r="F7" s="29"/>
      <c r="G7" s="29">
        <v>0</v>
      </c>
      <c r="H7" t="str">
        <f t="shared" si="0"/>
        <v>10007757_2910</v>
      </c>
    </row>
    <row r="8" spans="1:8">
      <c r="A8" s="30" t="s">
        <v>13</v>
      </c>
      <c r="B8" s="29">
        <v>0</v>
      </c>
      <c r="C8" s="29">
        <v>8</v>
      </c>
      <c r="D8" s="29"/>
      <c r="E8" s="29"/>
      <c r="F8" s="29"/>
      <c r="G8" s="29">
        <v>8</v>
      </c>
      <c r="H8" t="str">
        <f t="shared" si="0"/>
        <v>10007843_2910</v>
      </c>
    </row>
    <row r="9" spans="1:8">
      <c r="A9" s="30" t="s">
        <v>14</v>
      </c>
      <c r="B9" s="29"/>
      <c r="C9" s="29">
        <v>1</v>
      </c>
      <c r="D9" s="29"/>
      <c r="E9" s="29"/>
      <c r="F9" s="29"/>
      <c r="G9" s="29">
        <v>1</v>
      </c>
      <c r="H9" t="str">
        <f t="shared" si="0"/>
        <v>10007849_2910</v>
      </c>
    </row>
    <row r="10" spans="1:8">
      <c r="A10" s="30" t="s">
        <v>15</v>
      </c>
      <c r="B10" s="29"/>
      <c r="C10" s="29">
        <v>74</v>
      </c>
      <c r="D10" s="29"/>
      <c r="E10" s="29"/>
      <c r="F10" s="29"/>
      <c r="G10" s="29">
        <v>74</v>
      </c>
      <c r="H10" t="str">
        <f t="shared" si="0"/>
        <v>10007851_2910</v>
      </c>
    </row>
    <row r="11" spans="1:8">
      <c r="A11" s="30" t="s">
        <v>16</v>
      </c>
      <c r="B11" s="29"/>
      <c r="C11" s="29"/>
      <c r="D11" s="29"/>
      <c r="E11" s="29">
        <v>0</v>
      </c>
      <c r="F11" s="29"/>
      <c r="G11" s="29">
        <v>0</v>
      </c>
      <c r="H11" t="str">
        <f t="shared" si="0"/>
        <v>10010749_2910</v>
      </c>
    </row>
    <row r="12" spans="1:8">
      <c r="A12" s="30" t="s">
        <v>17</v>
      </c>
      <c r="B12" s="29">
        <v>0</v>
      </c>
      <c r="C12" s="29"/>
      <c r="D12" s="29"/>
      <c r="E12" s="29">
        <v>0</v>
      </c>
      <c r="F12" s="29"/>
      <c r="G12" s="29">
        <v>0</v>
      </c>
      <c r="H12" t="str">
        <f t="shared" si="0"/>
        <v>10010755_2910</v>
      </c>
    </row>
    <row r="13" spans="1:8">
      <c r="A13" s="30" t="s">
        <v>18</v>
      </c>
      <c r="B13" s="29"/>
      <c r="C13" s="29"/>
      <c r="D13" s="29"/>
      <c r="E13" s="29">
        <v>0</v>
      </c>
      <c r="F13" s="29"/>
      <c r="G13" s="29">
        <v>0</v>
      </c>
      <c r="H13" t="str">
        <f t="shared" si="0"/>
        <v>10011275_2910</v>
      </c>
    </row>
    <row r="14" spans="1:8">
      <c r="A14" s="30" t="s">
        <v>19</v>
      </c>
      <c r="B14" s="29"/>
      <c r="C14" s="29">
        <v>0</v>
      </c>
      <c r="D14" s="29"/>
      <c r="E14" s="29">
        <v>2</v>
      </c>
      <c r="F14" s="29"/>
      <c r="G14" s="29">
        <v>2</v>
      </c>
      <c r="H14" t="str">
        <f t="shared" si="0"/>
        <v>10013039_2910</v>
      </c>
    </row>
    <row r="15" spans="1:8">
      <c r="A15" s="30" t="s">
        <v>20</v>
      </c>
      <c r="B15" s="29"/>
      <c r="C15" s="29">
        <v>0</v>
      </c>
      <c r="D15" s="29"/>
      <c r="E15" s="29">
        <v>0</v>
      </c>
      <c r="F15" s="29"/>
      <c r="G15" s="29">
        <v>0</v>
      </c>
      <c r="H15" t="str">
        <f t="shared" si="0"/>
        <v>10013105_2910</v>
      </c>
    </row>
    <row r="16" spans="1:8">
      <c r="A16" s="30" t="s">
        <v>21</v>
      </c>
      <c r="B16" s="29">
        <v>0</v>
      </c>
      <c r="C16" s="29"/>
      <c r="D16" s="29"/>
      <c r="E16" s="29"/>
      <c r="F16" s="29"/>
      <c r="G16" s="29">
        <v>0</v>
      </c>
      <c r="H16" t="str">
        <f t="shared" si="0"/>
        <v>10013128_2910</v>
      </c>
    </row>
    <row r="17" spans="1:8">
      <c r="A17" s="30" t="s">
        <v>22</v>
      </c>
      <c r="B17" s="29">
        <v>0</v>
      </c>
      <c r="C17" s="29"/>
      <c r="D17" s="29"/>
      <c r="E17" s="29">
        <v>0</v>
      </c>
      <c r="F17" s="29"/>
      <c r="G17" s="29">
        <v>0</v>
      </c>
      <c r="H17" t="str">
        <f t="shared" si="0"/>
        <v>10013144_2910</v>
      </c>
    </row>
    <row r="18" spans="1:8">
      <c r="A18" s="30" t="s">
        <v>23</v>
      </c>
      <c r="B18" s="29">
        <v>0</v>
      </c>
      <c r="C18" s="29"/>
      <c r="D18" s="29"/>
      <c r="E18" s="29"/>
      <c r="F18" s="29"/>
      <c r="G18" s="29">
        <v>0</v>
      </c>
      <c r="H18" t="str">
        <f t="shared" si="0"/>
        <v>10016044_2910</v>
      </c>
    </row>
    <row r="19" spans="1:8">
      <c r="A19" s="30" t="s">
        <v>24</v>
      </c>
      <c r="B19" s="29">
        <v>0</v>
      </c>
      <c r="C19" s="29"/>
      <c r="D19" s="29"/>
      <c r="E19" s="29">
        <v>0</v>
      </c>
      <c r="F19" s="29"/>
      <c r="G19" s="29">
        <v>0</v>
      </c>
      <c r="H19" t="str">
        <f t="shared" si="0"/>
        <v>10016081_2910</v>
      </c>
    </row>
    <row r="20" spans="1:8">
      <c r="A20" s="30" t="s">
        <v>25</v>
      </c>
      <c r="B20" s="29">
        <v>0</v>
      </c>
      <c r="C20" s="29">
        <v>0</v>
      </c>
      <c r="D20" s="29"/>
      <c r="E20" s="29"/>
      <c r="F20" s="29"/>
      <c r="G20" s="29">
        <v>0</v>
      </c>
      <c r="H20" t="str">
        <f t="shared" si="0"/>
        <v>10016204_2910</v>
      </c>
    </row>
    <row r="21" spans="1:8">
      <c r="A21" s="30" t="s">
        <v>26</v>
      </c>
      <c r="B21" s="29">
        <v>0</v>
      </c>
      <c r="C21" s="29"/>
      <c r="D21" s="29"/>
      <c r="E21" s="29"/>
      <c r="F21" s="29"/>
      <c r="G21" s="29">
        <v>0</v>
      </c>
      <c r="H21" t="str">
        <f t="shared" si="0"/>
        <v>10016401_2910</v>
      </c>
    </row>
    <row r="22" spans="1:8">
      <c r="A22" s="30" t="s">
        <v>27</v>
      </c>
      <c r="B22" s="29"/>
      <c r="C22" s="29"/>
      <c r="D22" s="29"/>
      <c r="E22" s="29">
        <v>0</v>
      </c>
      <c r="F22" s="29"/>
      <c r="G22" s="29">
        <v>0</v>
      </c>
      <c r="H22" t="str">
        <f t="shared" si="0"/>
        <v>10016404_2910</v>
      </c>
    </row>
    <row r="23" spans="1:8">
      <c r="A23" s="30" t="s">
        <v>28</v>
      </c>
      <c r="B23" s="29">
        <v>0</v>
      </c>
      <c r="C23" s="29"/>
      <c r="D23" s="29"/>
      <c r="E23" s="29"/>
      <c r="F23" s="29"/>
      <c r="G23" s="29">
        <v>0</v>
      </c>
      <c r="H23" t="str">
        <f t="shared" si="0"/>
        <v>10016408_2910</v>
      </c>
    </row>
    <row r="24" spans="1:8">
      <c r="A24" s="30" t="s">
        <v>29</v>
      </c>
      <c r="B24" s="29"/>
      <c r="C24" s="29"/>
      <c r="D24" s="29"/>
      <c r="E24" s="29">
        <v>0</v>
      </c>
      <c r="F24" s="29"/>
      <c r="G24" s="29">
        <v>0</v>
      </c>
      <c r="H24" t="str">
        <f t="shared" si="0"/>
        <v>10017114_2910</v>
      </c>
    </row>
    <row r="25" spans="1:8">
      <c r="A25" s="30" t="s">
        <v>30</v>
      </c>
      <c r="B25" s="29"/>
      <c r="C25" s="29"/>
      <c r="D25" s="29"/>
      <c r="E25" s="29">
        <v>0</v>
      </c>
      <c r="F25" s="29"/>
      <c r="G25" s="29">
        <v>0</v>
      </c>
      <c r="H25" t="str">
        <f t="shared" si="0"/>
        <v>10017604_2910</v>
      </c>
    </row>
    <row r="26" spans="1:8">
      <c r="A26" s="30" t="s">
        <v>31</v>
      </c>
      <c r="B26" s="29">
        <v>0</v>
      </c>
      <c r="C26" s="29"/>
      <c r="D26" s="29"/>
      <c r="E26" s="29"/>
      <c r="F26" s="29"/>
      <c r="G26" s="29">
        <v>0</v>
      </c>
      <c r="H26" t="str">
        <f t="shared" si="0"/>
        <v>10017611_2910</v>
      </c>
    </row>
    <row r="27" spans="1:8">
      <c r="A27" s="30" t="s">
        <v>32</v>
      </c>
      <c r="B27" s="29"/>
      <c r="C27" s="29">
        <v>38</v>
      </c>
      <c r="D27" s="29"/>
      <c r="E27" s="29"/>
      <c r="F27" s="29"/>
      <c r="G27" s="29">
        <v>38</v>
      </c>
      <c r="H27" t="str">
        <f t="shared" si="0"/>
        <v>10017617_2910</v>
      </c>
    </row>
    <row r="28" spans="1:8">
      <c r="A28" s="30" t="s">
        <v>33</v>
      </c>
      <c r="B28" s="29">
        <v>0</v>
      </c>
      <c r="C28" s="29"/>
      <c r="D28" s="29"/>
      <c r="E28" s="29"/>
      <c r="F28" s="29"/>
      <c r="G28" s="29">
        <v>0</v>
      </c>
      <c r="H28" t="str">
        <f t="shared" si="0"/>
        <v>10018016_2910</v>
      </c>
    </row>
    <row r="29" spans="1:8">
      <c r="A29" s="30" t="s">
        <v>34</v>
      </c>
      <c r="B29" s="29">
        <v>0</v>
      </c>
      <c r="C29" s="29"/>
      <c r="D29" s="29"/>
      <c r="E29" s="29"/>
      <c r="F29" s="29"/>
      <c r="G29" s="29">
        <v>0</v>
      </c>
      <c r="H29" t="str">
        <f t="shared" si="0"/>
        <v>10018053_2910</v>
      </c>
    </row>
    <row r="30" spans="1:8">
      <c r="A30" s="30" t="s">
        <v>35</v>
      </c>
      <c r="B30" s="29">
        <v>0</v>
      </c>
      <c r="C30" s="29"/>
      <c r="D30" s="29"/>
      <c r="E30" s="29"/>
      <c r="F30" s="29"/>
      <c r="G30" s="29">
        <v>0</v>
      </c>
      <c r="H30" t="str">
        <f t="shared" si="0"/>
        <v>10018646_2910</v>
      </c>
    </row>
    <row r="31" spans="1:8">
      <c r="A31" s="30" t="s">
        <v>36</v>
      </c>
      <c r="B31" s="29"/>
      <c r="C31" s="29">
        <v>0</v>
      </c>
      <c r="D31" s="29"/>
      <c r="E31" s="29"/>
      <c r="F31" s="29"/>
      <c r="G31" s="29">
        <v>0</v>
      </c>
      <c r="H31" t="str">
        <f t="shared" si="0"/>
        <v>10018656_2910</v>
      </c>
    </row>
    <row r="32" spans="1:8">
      <c r="A32" s="30" t="s">
        <v>37</v>
      </c>
      <c r="B32" s="29">
        <v>0</v>
      </c>
      <c r="C32" s="29"/>
      <c r="D32" s="29"/>
      <c r="E32" s="29"/>
      <c r="F32" s="29"/>
      <c r="G32" s="29">
        <v>0</v>
      </c>
      <c r="H32" t="str">
        <f t="shared" si="0"/>
        <v>10018657_2910</v>
      </c>
    </row>
    <row r="33" spans="1:8">
      <c r="A33" s="30" t="s">
        <v>38</v>
      </c>
      <c r="B33" s="29"/>
      <c r="C33" s="29">
        <v>0</v>
      </c>
      <c r="D33" s="29"/>
      <c r="E33" s="29">
        <v>0</v>
      </c>
      <c r="F33" s="29"/>
      <c r="G33" s="29">
        <v>0</v>
      </c>
      <c r="H33" t="str">
        <f t="shared" si="0"/>
        <v>10018659_2910</v>
      </c>
    </row>
    <row r="34" spans="1:8">
      <c r="A34" s="30" t="s">
        <v>39</v>
      </c>
      <c r="B34" s="29">
        <v>0</v>
      </c>
      <c r="C34" s="29"/>
      <c r="D34" s="29"/>
      <c r="E34" s="29"/>
      <c r="F34" s="29"/>
      <c r="G34" s="29">
        <v>0</v>
      </c>
      <c r="H34" t="str">
        <f t="shared" si="0"/>
        <v>10018661_2910</v>
      </c>
    </row>
    <row r="35" spans="1:8">
      <c r="A35" s="30" t="s">
        <v>40</v>
      </c>
      <c r="B35" s="29">
        <v>0</v>
      </c>
      <c r="C35" s="29"/>
      <c r="D35" s="29"/>
      <c r="E35" s="29"/>
      <c r="F35" s="29"/>
      <c r="G35" s="29">
        <v>0</v>
      </c>
      <c r="H35" t="str">
        <f t="shared" si="0"/>
        <v>10018980_2910</v>
      </c>
    </row>
    <row r="36" spans="1:8">
      <c r="A36" s="30" t="s">
        <v>41</v>
      </c>
      <c r="B36" s="29"/>
      <c r="C36" s="29"/>
      <c r="D36" s="29"/>
      <c r="E36" s="29">
        <v>0</v>
      </c>
      <c r="F36" s="29"/>
      <c r="G36" s="29">
        <v>0</v>
      </c>
      <c r="H36" t="str">
        <f t="shared" si="0"/>
        <v>10019107_2910</v>
      </c>
    </row>
    <row r="37" spans="1:8">
      <c r="A37" s="30" t="s">
        <v>42</v>
      </c>
      <c r="B37" s="29">
        <v>0</v>
      </c>
      <c r="C37" s="29"/>
      <c r="D37" s="29"/>
      <c r="E37" s="29"/>
      <c r="F37" s="29"/>
      <c r="G37" s="29">
        <v>0</v>
      </c>
      <c r="H37" t="str">
        <f t="shared" si="0"/>
        <v>10019131_2910</v>
      </c>
    </row>
    <row r="38" spans="1:8">
      <c r="A38" s="30" t="s">
        <v>43</v>
      </c>
      <c r="B38" s="29">
        <v>0</v>
      </c>
      <c r="C38" s="29">
        <v>0</v>
      </c>
      <c r="D38" s="29"/>
      <c r="E38" s="29"/>
      <c r="F38" s="29"/>
      <c r="G38" s="29">
        <v>0</v>
      </c>
      <c r="H38" t="str">
        <f t="shared" si="0"/>
        <v>10019641_2910</v>
      </c>
    </row>
    <row r="39" spans="1:8">
      <c r="A39" s="30" t="s">
        <v>44</v>
      </c>
      <c r="B39" s="29">
        <v>0</v>
      </c>
      <c r="C39" s="29"/>
      <c r="D39" s="29"/>
      <c r="E39" s="29"/>
      <c r="F39" s="29"/>
      <c r="G39" s="29">
        <v>0</v>
      </c>
      <c r="H39" t="str">
        <f t="shared" si="0"/>
        <v>10019648_2910</v>
      </c>
    </row>
    <row r="40" spans="1:8">
      <c r="A40" s="30" t="s">
        <v>45</v>
      </c>
      <c r="B40" s="29">
        <v>0</v>
      </c>
      <c r="C40" s="29"/>
      <c r="D40" s="29"/>
      <c r="E40" s="29"/>
      <c r="F40" s="29"/>
      <c r="G40" s="29">
        <v>0</v>
      </c>
      <c r="H40" t="str">
        <f t="shared" si="0"/>
        <v>10019690_2910</v>
      </c>
    </row>
    <row r="41" spans="1:8">
      <c r="A41" s="30" t="s">
        <v>46</v>
      </c>
      <c r="B41" s="29">
        <v>0</v>
      </c>
      <c r="C41" s="29"/>
      <c r="D41" s="29"/>
      <c r="E41" s="29">
        <v>0</v>
      </c>
      <c r="F41" s="29"/>
      <c r="G41" s="29">
        <v>0</v>
      </c>
      <c r="H41" t="str">
        <f t="shared" si="0"/>
        <v>10019703_2910</v>
      </c>
    </row>
    <row r="42" spans="1:8">
      <c r="A42" s="30" t="s">
        <v>47</v>
      </c>
      <c r="B42" s="29">
        <v>0</v>
      </c>
      <c r="C42" s="29">
        <v>0</v>
      </c>
      <c r="D42" s="29"/>
      <c r="E42" s="29"/>
      <c r="F42" s="29"/>
      <c r="G42" s="29">
        <v>0</v>
      </c>
      <c r="H42" t="str">
        <f t="shared" si="0"/>
        <v>10019704_2910</v>
      </c>
    </row>
    <row r="43" spans="1:8">
      <c r="A43" s="30" t="s">
        <v>48</v>
      </c>
      <c r="B43" s="29">
        <v>0</v>
      </c>
      <c r="C43" s="29"/>
      <c r="D43" s="29"/>
      <c r="E43" s="29">
        <v>0</v>
      </c>
      <c r="F43" s="29"/>
      <c r="G43" s="29">
        <v>0</v>
      </c>
      <c r="H43" t="str">
        <f t="shared" si="0"/>
        <v>10019706_2910</v>
      </c>
    </row>
    <row r="44" spans="1:8">
      <c r="A44" s="30" t="s">
        <v>49</v>
      </c>
      <c r="B44" s="29">
        <v>0</v>
      </c>
      <c r="C44" s="29"/>
      <c r="D44" s="29"/>
      <c r="E44" s="29">
        <v>0</v>
      </c>
      <c r="F44" s="29"/>
      <c r="G44" s="29">
        <v>0</v>
      </c>
      <c r="H44" t="str">
        <f t="shared" si="0"/>
        <v>10019707_2910</v>
      </c>
    </row>
    <row r="45" spans="1:8">
      <c r="A45" s="30" t="s">
        <v>50</v>
      </c>
      <c r="B45" s="29">
        <v>0</v>
      </c>
      <c r="C45" s="29"/>
      <c r="D45" s="29"/>
      <c r="E45" s="29"/>
      <c r="F45" s="29"/>
      <c r="G45" s="29">
        <v>0</v>
      </c>
      <c r="H45" t="str">
        <f t="shared" si="0"/>
        <v>10019778_2910</v>
      </c>
    </row>
    <row r="46" spans="1:8">
      <c r="A46" s="30" t="s">
        <v>51</v>
      </c>
      <c r="B46" s="29">
        <v>0</v>
      </c>
      <c r="C46" s="29"/>
      <c r="D46" s="29"/>
      <c r="E46" s="29"/>
      <c r="F46" s="29"/>
      <c r="G46" s="29">
        <v>0</v>
      </c>
      <c r="H46" t="str">
        <f t="shared" si="0"/>
        <v>10019780_2910</v>
      </c>
    </row>
    <row r="47" spans="1:8">
      <c r="A47" s="30" t="s">
        <v>52</v>
      </c>
      <c r="B47" s="29"/>
      <c r="C47" s="29"/>
      <c r="D47" s="29"/>
      <c r="E47" s="29">
        <v>0</v>
      </c>
      <c r="F47" s="29"/>
      <c r="G47" s="29">
        <v>0</v>
      </c>
      <c r="H47" t="str">
        <f t="shared" si="0"/>
        <v>10020850_2910</v>
      </c>
    </row>
    <row r="48" spans="1:8">
      <c r="A48" s="30" t="s">
        <v>53</v>
      </c>
      <c r="B48" s="29">
        <v>0</v>
      </c>
      <c r="C48" s="29">
        <v>0</v>
      </c>
      <c r="D48" s="29"/>
      <c r="E48" s="29">
        <v>0</v>
      </c>
      <c r="F48" s="29"/>
      <c r="G48" s="29">
        <v>0</v>
      </c>
      <c r="H48" t="str">
        <f t="shared" si="0"/>
        <v>10020851_2910</v>
      </c>
    </row>
    <row r="49" spans="1:8">
      <c r="A49" s="30" t="s">
        <v>54</v>
      </c>
      <c r="B49" s="29">
        <v>0</v>
      </c>
      <c r="C49" s="29"/>
      <c r="D49" s="29"/>
      <c r="E49" s="29"/>
      <c r="F49" s="29"/>
      <c r="G49" s="29">
        <v>0</v>
      </c>
      <c r="H49" t="str">
        <f t="shared" si="0"/>
        <v>10023481_2910</v>
      </c>
    </row>
    <row r="50" spans="1:8">
      <c r="A50" s="30" t="s">
        <v>55</v>
      </c>
      <c r="B50" s="29">
        <v>0</v>
      </c>
      <c r="C50" s="29"/>
      <c r="D50" s="29"/>
      <c r="E50" s="29">
        <v>0</v>
      </c>
      <c r="F50" s="29"/>
      <c r="G50" s="29">
        <v>0</v>
      </c>
      <c r="H50" t="str">
        <f t="shared" si="0"/>
        <v>10023483_2910</v>
      </c>
    </row>
    <row r="51" spans="1:8">
      <c r="A51" s="30" t="s">
        <v>56</v>
      </c>
      <c r="B51" s="29">
        <v>0</v>
      </c>
      <c r="C51" s="29"/>
      <c r="D51" s="29"/>
      <c r="E51" s="29"/>
      <c r="F51" s="29"/>
      <c r="G51" s="29">
        <v>0</v>
      </c>
      <c r="H51" t="str">
        <f t="shared" si="0"/>
        <v>10029943_2910</v>
      </c>
    </row>
    <row r="52" spans="1:8">
      <c r="A52" s="30" t="s">
        <v>57</v>
      </c>
      <c r="B52" s="29">
        <v>0</v>
      </c>
      <c r="C52" s="29"/>
      <c r="D52" s="29"/>
      <c r="E52" s="29"/>
      <c r="F52" s="29"/>
      <c r="G52" s="29">
        <v>0</v>
      </c>
      <c r="H52" t="str">
        <f t="shared" si="0"/>
        <v>10029944_2910</v>
      </c>
    </row>
    <row r="53" spans="1:8">
      <c r="A53" s="30" t="s">
        <v>58</v>
      </c>
      <c r="B53" s="29"/>
      <c r="C53" s="29">
        <v>6</v>
      </c>
      <c r="D53" s="29"/>
      <c r="E53" s="29"/>
      <c r="F53" s="29"/>
      <c r="G53" s="29">
        <v>6</v>
      </c>
      <c r="H53" t="str">
        <f t="shared" si="0"/>
        <v>10031164_2910</v>
      </c>
    </row>
    <row r="54" spans="1:8">
      <c r="A54" s="30" t="s">
        <v>59</v>
      </c>
      <c r="B54" s="29">
        <v>0</v>
      </c>
      <c r="C54" s="29">
        <v>0</v>
      </c>
      <c r="D54" s="29"/>
      <c r="E54" s="29"/>
      <c r="F54" s="29"/>
      <c r="G54" s="29">
        <v>0</v>
      </c>
      <c r="H54" t="str">
        <f t="shared" si="0"/>
        <v>10033021_2910</v>
      </c>
    </row>
    <row r="55" spans="1:8">
      <c r="A55" s="30" t="s">
        <v>60</v>
      </c>
      <c r="B55" s="29"/>
      <c r="C55" s="29"/>
      <c r="D55" s="29"/>
      <c r="E55" s="29">
        <v>0</v>
      </c>
      <c r="F55" s="29"/>
      <c r="G55" s="29">
        <v>0</v>
      </c>
      <c r="H55" t="str">
        <f t="shared" si="0"/>
        <v>10033115_2910</v>
      </c>
    </row>
    <row r="56" spans="1:8">
      <c r="A56" s="30" t="s">
        <v>61</v>
      </c>
      <c r="B56" s="29"/>
      <c r="C56" s="29">
        <v>0</v>
      </c>
      <c r="D56" s="29"/>
      <c r="E56" s="29"/>
      <c r="F56" s="29"/>
      <c r="G56" s="29">
        <v>0</v>
      </c>
      <c r="H56" t="str">
        <f t="shared" si="0"/>
        <v>10033175_2910</v>
      </c>
    </row>
    <row r="57" spans="1:8">
      <c r="A57" s="30" t="s">
        <v>62</v>
      </c>
      <c r="B57" s="29"/>
      <c r="C57" s="29"/>
      <c r="D57" s="29"/>
      <c r="E57" s="29">
        <v>0</v>
      </c>
      <c r="F57" s="29"/>
      <c r="G57" s="29">
        <v>0</v>
      </c>
      <c r="H57" t="str">
        <f t="shared" si="0"/>
        <v>10038126_2910</v>
      </c>
    </row>
    <row r="58" spans="1:8">
      <c r="A58" s="30" t="s">
        <v>63</v>
      </c>
      <c r="B58" s="29"/>
      <c r="C58" s="29"/>
      <c r="D58" s="29"/>
      <c r="E58" s="29">
        <v>0</v>
      </c>
      <c r="F58" s="29"/>
      <c r="G58" s="29">
        <v>0</v>
      </c>
      <c r="H58" t="str">
        <f t="shared" si="0"/>
        <v>10038130_2910</v>
      </c>
    </row>
    <row r="59" spans="1:8">
      <c r="A59" s="30" t="s">
        <v>64</v>
      </c>
      <c r="B59" s="29"/>
      <c r="C59" s="29"/>
      <c r="D59" s="29"/>
      <c r="E59" s="29">
        <v>0</v>
      </c>
      <c r="F59" s="29"/>
      <c r="G59" s="29">
        <v>0</v>
      </c>
      <c r="H59" t="str">
        <f t="shared" si="0"/>
        <v>10038132_2910</v>
      </c>
    </row>
    <row r="60" spans="1:8">
      <c r="A60" s="30" t="s">
        <v>65</v>
      </c>
      <c r="B60" s="29">
        <v>0</v>
      </c>
      <c r="C60" s="29"/>
      <c r="D60" s="29"/>
      <c r="E60" s="29"/>
      <c r="F60" s="29"/>
      <c r="G60" s="29">
        <v>0</v>
      </c>
      <c r="H60" t="str">
        <f t="shared" si="0"/>
        <v>10038139_2910</v>
      </c>
    </row>
    <row r="61" spans="1:8">
      <c r="A61" s="30" t="s">
        <v>66</v>
      </c>
      <c r="B61" s="29"/>
      <c r="C61" s="29"/>
      <c r="D61" s="29"/>
      <c r="E61" s="29">
        <v>0</v>
      </c>
      <c r="F61" s="29"/>
      <c r="G61" s="29">
        <v>0</v>
      </c>
      <c r="H61" t="str">
        <f t="shared" si="0"/>
        <v>10038153_2910</v>
      </c>
    </row>
    <row r="62" spans="1:8">
      <c r="A62" s="30" t="s">
        <v>67</v>
      </c>
      <c r="B62" s="29">
        <v>0</v>
      </c>
      <c r="C62" s="29"/>
      <c r="D62" s="29"/>
      <c r="E62" s="29"/>
      <c r="F62" s="29"/>
      <c r="G62" s="29">
        <v>0</v>
      </c>
      <c r="H62" t="str">
        <f t="shared" si="0"/>
        <v>10040122_2910</v>
      </c>
    </row>
    <row r="63" spans="1:8">
      <c r="A63" s="30" t="s">
        <v>68</v>
      </c>
      <c r="B63" s="29">
        <v>0</v>
      </c>
      <c r="C63" s="29"/>
      <c r="D63" s="29"/>
      <c r="E63" s="29"/>
      <c r="F63" s="29"/>
      <c r="G63" s="29">
        <v>0</v>
      </c>
      <c r="H63" t="str">
        <f t="shared" si="0"/>
        <v>10040391_2910</v>
      </c>
    </row>
    <row r="64" spans="1:8">
      <c r="A64" s="30" t="s">
        <v>69</v>
      </c>
      <c r="B64" s="29"/>
      <c r="C64" s="29">
        <v>23</v>
      </c>
      <c r="D64" s="29"/>
      <c r="E64" s="29"/>
      <c r="F64" s="29"/>
      <c r="G64" s="29">
        <v>23</v>
      </c>
      <c r="H64" t="str">
        <f t="shared" si="0"/>
        <v>10040699_2910</v>
      </c>
    </row>
    <row r="65" spans="1:8">
      <c r="A65" s="30" t="s">
        <v>70</v>
      </c>
      <c r="B65" s="29">
        <v>0</v>
      </c>
      <c r="C65" s="29"/>
      <c r="D65" s="29"/>
      <c r="E65" s="29"/>
      <c r="F65" s="29"/>
      <c r="G65" s="29">
        <v>0</v>
      </c>
      <c r="H65" t="str">
        <f t="shared" si="0"/>
        <v>10040869_2910</v>
      </c>
    </row>
    <row r="66" spans="1:8">
      <c r="A66" s="30" t="s">
        <v>71</v>
      </c>
      <c r="B66" s="29">
        <v>0</v>
      </c>
      <c r="C66" s="29"/>
      <c r="D66" s="29"/>
      <c r="E66" s="29"/>
      <c r="F66" s="29"/>
      <c r="G66" s="29">
        <v>0</v>
      </c>
      <c r="H66" t="str">
        <f t="shared" si="0"/>
        <v>10041270_2910</v>
      </c>
    </row>
    <row r="67" spans="1:8">
      <c r="A67" s="30" t="s">
        <v>72</v>
      </c>
      <c r="B67" s="29">
        <v>0</v>
      </c>
      <c r="C67" s="29"/>
      <c r="D67" s="29"/>
      <c r="E67" s="29"/>
      <c r="F67" s="29"/>
      <c r="G67" s="29">
        <v>0</v>
      </c>
      <c r="H67" t="str">
        <f t="shared" si="0"/>
        <v>10041273_2910</v>
      </c>
    </row>
    <row r="68" spans="1:8">
      <c r="A68" s="30" t="s">
        <v>73</v>
      </c>
      <c r="B68" s="29"/>
      <c r="C68" s="29">
        <v>0</v>
      </c>
      <c r="D68" s="29"/>
      <c r="E68" s="29"/>
      <c r="F68" s="29"/>
      <c r="G68" s="29">
        <v>0</v>
      </c>
      <c r="H68" t="str">
        <f t="shared" si="0"/>
        <v>10042157_2910</v>
      </c>
    </row>
    <row r="69" spans="1:8">
      <c r="A69" s="30" t="s">
        <v>74</v>
      </c>
      <c r="B69" s="29">
        <v>0</v>
      </c>
      <c r="C69" s="29"/>
      <c r="D69" s="29"/>
      <c r="E69" s="29"/>
      <c r="F69" s="29"/>
      <c r="G69" s="29">
        <v>0</v>
      </c>
      <c r="H69" t="str">
        <f t="shared" si="0"/>
        <v>10045483_2910</v>
      </c>
    </row>
    <row r="70" spans="1:8">
      <c r="A70" s="30" t="s">
        <v>75</v>
      </c>
      <c r="B70" s="29"/>
      <c r="C70" s="29"/>
      <c r="D70" s="29"/>
      <c r="E70" s="29">
        <v>0</v>
      </c>
      <c r="F70" s="29"/>
      <c r="G70" s="29">
        <v>0</v>
      </c>
      <c r="H70" t="str">
        <f t="shared" ref="H70:H117" si="1">A70 &amp; "_" &amp; 2910</f>
        <v>10045485_2910</v>
      </c>
    </row>
    <row r="71" spans="1:8">
      <c r="A71" s="30" t="s">
        <v>76</v>
      </c>
      <c r="B71" s="29">
        <v>0</v>
      </c>
      <c r="C71" s="29">
        <v>81</v>
      </c>
      <c r="D71" s="29"/>
      <c r="E71" s="29">
        <v>0</v>
      </c>
      <c r="F71" s="29"/>
      <c r="G71" s="29">
        <v>81</v>
      </c>
      <c r="H71" t="str">
        <f t="shared" si="1"/>
        <v>10049305_2910</v>
      </c>
    </row>
    <row r="72" spans="1:8">
      <c r="A72" s="30" t="s">
        <v>77</v>
      </c>
      <c r="B72" s="29"/>
      <c r="C72" s="29">
        <v>10</v>
      </c>
      <c r="D72" s="29"/>
      <c r="E72" s="29">
        <v>0</v>
      </c>
      <c r="F72" s="29"/>
      <c r="G72" s="29">
        <v>10</v>
      </c>
      <c r="H72" t="str">
        <f t="shared" si="1"/>
        <v>10050324_2910</v>
      </c>
    </row>
    <row r="73" spans="1:8">
      <c r="A73" s="30" t="s">
        <v>78</v>
      </c>
      <c r="B73" s="29"/>
      <c r="C73" s="29">
        <v>48</v>
      </c>
      <c r="D73" s="29"/>
      <c r="E73" s="29"/>
      <c r="F73" s="29"/>
      <c r="G73" s="29">
        <v>48</v>
      </c>
      <c r="H73" t="str">
        <f t="shared" si="1"/>
        <v>10050485_2910</v>
      </c>
    </row>
    <row r="74" spans="1:8">
      <c r="A74" s="30" t="s">
        <v>79</v>
      </c>
      <c r="B74" s="29"/>
      <c r="C74" s="29">
        <v>21</v>
      </c>
      <c r="D74" s="29"/>
      <c r="E74" s="29">
        <v>0</v>
      </c>
      <c r="F74" s="29"/>
      <c r="G74" s="29">
        <v>21</v>
      </c>
      <c r="H74" t="str">
        <f t="shared" si="1"/>
        <v>10050486_2910</v>
      </c>
    </row>
    <row r="75" spans="1:8">
      <c r="A75" s="30" t="s">
        <v>80</v>
      </c>
      <c r="B75" s="29"/>
      <c r="C75" s="29"/>
      <c r="D75" s="29"/>
      <c r="E75" s="29">
        <v>99</v>
      </c>
      <c r="F75" s="29"/>
      <c r="G75" s="29">
        <v>99</v>
      </c>
      <c r="H75" t="str">
        <f t="shared" si="1"/>
        <v>10050609_2910</v>
      </c>
    </row>
    <row r="76" spans="1:8">
      <c r="A76" s="30" t="s">
        <v>81</v>
      </c>
      <c r="B76" s="29">
        <v>0</v>
      </c>
      <c r="C76" s="29"/>
      <c r="D76" s="29"/>
      <c r="E76" s="29"/>
      <c r="F76" s="29"/>
      <c r="G76" s="29">
        <v>0</v>
      </c>
      <c r="H76" t="str">
        <f t="shared" si="1"/>
        <v>10050613_2910</v>
      </c>
    </row>
    <row r="77" spans="1:8">
      <c r="A77" s="30" t="s">
        <v>82</v>
      </c>
      <c r="B77" s="29">
        <v>0</v>
      </c>
      <c r="C77" s="29"/>
      <c r="D77" s="29"/>
      <c r="E77" s="29"/>
      <c r="F77" s="29"/>
      <c r="G77" s="29">
        <v>0</v>
      </c>
      <c r="H77" t="str">
        <f t="shared" si="1"/>
        <v>10050619_2910</v>
      </c>
    </row>
    <row r="78" spans="1:8">
      <c r="A78" s="30" t="s">
        <v>83</v>
      </c>
      <c r="B78" s="29">
        <v>0</v>
      </c>
      <c r="C78" s="29">
        <v>53</v>
      </c>
      <c r="D78" s="29"/>
      <c r="E78" s="29">
        <v>0</v>
      </c>
      <c r="F78" s="29"/>
      <c r="G78" s="29">
        <v>53</v>
      </c>
      <c r="H78" t="str">
        <f t="shared" si="1"/>
        <v>10052076_2910</v>
      </c>
    </row>
    <row r="79" spans="1:8">
      <c r="A79" s="30" t="s">
        <v>84</v>
      </c>
      <c r="B79" s="29">
        <v>0</v>
      </c>
      <c r="C79" s="29"/>
      <c r="D79" s="29"/>
      <c r="E79" s="29">
        <v>0</v>
      </c>
      <c r="F79" s="29"/>
      <c r="G79" s="29">
        <v>0</v>
      </c>
      <c r="H79" t="str">
        <f t="shared" si="1"/>
        <v>10052110_2910</v>
      </c>
    </row>
    <row r="80" spans="1:8">
      <c r="A80" s="30" t="s">
        <v>85</v>
      </c>
      <c r="B80" s="29">
        <v>0</v>
      </c>
      <c r="C80" s="29"/>
      <c r="D80" s="29"/>
      <c r="E80" s="29"/>
      <c r="F80" s="29"/>
      <c r="G80" s="29">
        <v>0</v>
      </c>
      <c r="H80" t="str">
        <f t="shared" si="1"/>
        <v>10052112_2910</v>
      </c>
    </row>
    <row r="81" spans="1:8">
      <c r="A81" s="30" t="s">
        <v>86</v>
      </c>
      <c r="B81" s="29">
        <v>0</v>
      </c>
      <c r="C81" s="29">
        <v>0</v>
      </c>
      <c r="D81" s="29"/>
      <c r="E81" s="29">
        <v>0</v>
      </c>
      <c r="F81" s="29"/>
      <c r="G81" s="29">
        <v>0</v>
      </c>
      <c r="H81" t="str">
        <f t="shared" si="1"/>
        <v>10052114_2910</v>
      </c>
    </row>
    <row r="82" spans="1:8">
      <c r="A82" s="30" t="s">
        <v>87</v>
      </c>
      <c r="B82" s="29">
        <v>0</v>
      </c>
      <c r="C82" s="29"/>
      <c r="D82" s="29"/>
      <c r="E82" s="29"/>
      <c r="F82" s="29"/>
      <c r="G82" s="29">
        <v>0</v>
      </c>
      <c r="H82" t="str">
        <f t="shared" si="1"/>
        <v>10054147_2910</v>
      </c>
    </row>
    <row r="83" spans="1:8">
      <c r="A83" s="30" t="s">
        <v>88</v>
      </c>
      <c r="B83" s="29"/>
      <c r="C83" s="29">
        <v>92</v>
      </c>
      <c r="D83" s="29"/>
      <c r="E83" s="29"/>
      <c r="F83" s="29"/>
      <c r="G83" s="29">
        <v>92</v>
      </c>
      <c r="H83" t="str">
        <f t="shared" si="1"/>
        <v>10057233_2910</v>
      </c>
    </row>
    <row r="84" spans="1:8">
      <c r="A84" s="30" t="s">
        <v>89</v>
      </c>
      <c r="B84" s="29">
        <v>0</v>
      </c>
      <c r="C84" s="29">
        <v>0</v>
      </c>
      <c r="D84" s="29"/>
      <c r="E84" s="29"/>
      <c r="F84" s="29"/>
      <c r="G84" s="29">
        <v>0</v>
      </c>
      <c r="H84" t="str">
        <f t="shared" si="1"/>
        <v>10058342_2910</v>
      </c>
    </row>
    <row r="85" spans="1:8">
      <c r="A85" s="30" t="s">
        <v>90</v>
      </c>
      <c r="B85" s="29">
        <v>0</v>
      </c>
      <c r="C85" s="29"/>
      <c r="D85" s="29"/>
      <c r="E85" s="29">
        <v>0</v>
      </c>
      <c r="F85" s="29"/>
      <c r="G85" s="29">
        <v>0</v>
      </c>
      <c r="H85" t="str">
        <f t="shared" si="1"/>
        <v>10058821_2910</v>
      </c>
    </row>
    <row r="86" spans="1:8">
      <c r="A86" s="30" t="s">
        <v>91</v>
      </c>
      <c r="B86" s="29">
        <v>0</v>
      </c>
      <c r="C86" s="29"/>
      <c r="D86" s="29"/>
      <c r="E86" s="29"/>
      <c r="F86" s="29"/>
      <c r="G86" s="29">
        <v>0</v>
      </c>
      <c r="H86" t="str">
        <f t="shared" si="1"/>
        <v>10061008_2910</v>
      </c>
    </row>
    <row r="87" spans="1:8">
      <c r="A87" s="30" t="s">
        <v>92</v>
      </c>
      <c r="B87" s="29">
        <v>0</v>
      </c>
      <c r="C87" s="29"/>
      <c r="D87" s="29"/>
      <c r="E87" s="29">
        <v>0</v>
      </c>
      <c r="F87" s="29"/>
      <c r="G87" s="29">
        <v>0</v>
      </c>
      <c r="H87" t="str">
        <f t="shared" si="1"/>
        <v>10061010_2910</v>
      </c>
    </row>
    <row r="88" spans="1:8">
      <c r="A88" s="30" t="s">
        <v>93</v>
      </c>
      <c r="B88" s="29">
        <v>0</v>
      </c>
      <c r="C88" s="29"/>
      <c r="D88" s="29"/>
      <c r="E88" s="29"/>
      <c r="F88" s="29"/>
      <c r="G88" s="29">
        <v>0</v>
      </c>
      <c r="H88" t="str">
        <f t="shared" si="1"/>
        <v>10061013_2910</v>
      </c>
    </row>
    <row r="89" spans="1:8">
      <c r="A89" s="30" t="s">
        <v>94</v>
      </c>
      <c r="B89" s="29">
        <v>0</v>
      </c>
      <c r="C89" s="29"/>
      <c r="D89" s="29"/>
      <c r="E89" s="29"/>
      <c r="F89" s="29"/>
      <c r="G89" s="29">
        <v>0</v>
      </c>
      <c r="H89" t="str">
        <f t="shared" si="1"/>
        <v>10061060_2910</v>
      </c>
    </row>
    <row r="90" spans="1:8">
      <c r="A90" s="30" t="s">
        <v>95</v>
      </c>
      <c r="B90" s="29">
        <v>0</v>
      </c>
      <c r="C90" s="29"/>
      <c r="D90" s="29"/>
      <c r="E90" s="29"/>
      <c r="F90" s="29"/>
      <c r="G90" s="29">
        <v>0</v>
      </c>
      <c r="H90" t="str">
        <f t="shared" si="1"/>
        <v>10061099_2910</v>
      </c>
    </row>
    <row r="91" spans="1:8">
      <c r="A91" s="30" t="s">
        <v>96</v>
      </c>
      <c r="B91" s="29">
        <v>0</v>
      </c>
      <c r="C91" s="29"/>
      <c r="D91" s="29"/>
      <c r="E91" s="29"/>
      <c r="F91" s="29"/>
      <c r="G91" s="29">
        <v>0</v>
      </c>
      <c r="H91" t="str">
        <f t="shared" si="1"/>
        <v>10063101_2910</v>
      </c>
    </row>
    <row r="92" spans="1:8">
      <c r="A92" s="30" t="s">
        <v>97</v>
      </c>
      <c r="B92" s="29"/>
      <c r="C92" s="29">
        <v>39</v>
      </c>
      <c r="D92" s="29"/>
      <c r="E92" s="29">
        <v>0</v>
      </c>
      <c r="F92" s="29"/>
      <c r="G92" s="29">
        <v>39</v>
      </c>
      <c r="H92" t="str">
        <f t="shared" si="1"/>
        <v>10063102_2910</v>
      </c>
    </row>
    <row r="93" spans="1:8">
      <c r="A93" s="30" t="s">
        <v>98</v>
      </c>
      <c r="B93" s="29"/>
      <c r="C93" s="29">
        <v>0</v>
      </c>
      <c r="D93" s="29"/>
      <c r="E93" s="29">
        <v>0</v>
      </c>
      <c r="F93" s="29"/>
      <c r="G93" s="29">
        <v>0</v>
      </c>
      <c r="H93" t="str">
        <f t="shared" si="1"/>
        <v>10063103_2910</v>
      </c>
    </row>
    <row r="94" spans="1:8">
      <c r="A94" s="30" t="s">
        <v>99</v>
      </c>
      <c r="B94" s="29"/>
      <c r="C94" s="29">
        <v>0</v>
      </c>
      <c r="D94" s="29"/>
      <c r="E94" s="29">
        <v>0</v>
      </c>
      <c r="F94" s="29"/>
      <c r="G94" s="29">
        <v>0</v>
      </c>
      <c r="H94" t="str">
        <f t="shared" si="1"/>
        <v>10065013_2910</v>
      </c>
    </row>
    <row r="95" spans="1:8">
      <c r="A95" s="30" t="s">
        <v>100</v>
      </c>
      <c r="B95" s="29"/>
      <c r="C95" s="29"/>
      <c r="D95" s="29"/>
      <c r="E95" s="29">
        <v>0</v>
      </c>
      <c r="F95" s="29"/>
      <c r="G95" s="29">
        <v>0</v>
      </c>
      <c r="H95" t="str">
        <f t="shared" si="1"/>
        <v>10066215_2910</v>
      </c>
    </row>
    <row r="96" spans="1:8">
      <c r="A96" s="30" t="s">
        <v>101</v>
      </c>
      <c r="B96" s="29">
        <v>0</v>
      </c>
      <c r="C96" s="29"/>
      <c r="D96" s="29"/>
      <c r="E96" s="29"/>
      <c r="F96" s="29"/>
      <c r="G96" s="29">
        <v>0</v>
      </c>
      <c r="H96" t="str">
        <f t="shared" si="1"/>
        <v>10066216_2910</v>
      </c>
    </row>
    <row r="97" spans="1:8">
      <c r="A97" s="30" t="s">
        <v>102</v>
      </c>
      <c r="B97" s="29"/>
      <c r="C97" s="29"/>
      <c r="D97" s="29"/>
      <c r="E97" s="29">
        <v>0</v>
      </c>
      <c r="F97" s="29"/>
      <c r="G97" s="29">
        <v>0</v>
      </c>
      <c r="H97" t="str">
        <f t="shared" si="1"/>
        <v>10066217_2910</v>
      </c>
    </row>
    <row r="98" spans="1:8">
      <c r="A98" s="30" t="s">
        <v>103</v>
      </c>
      <c r="B98" s="29">
        <v>0</v>
      </c>
      <c r="C98" s="29"/>
      <c r="D98" s="29"/>
      <c r="E98" s="29"/>
      <c r="F98" s="29"/>
      <c r="G98" s="29">
        <v>0</v>
      </c>
      <c r="H98" t="str">
        <f t="shared" si="1"/>
        <v>10067042_2910</v>
      </c>
    </row>
    <row r="99" spans="1:8">
      <c r="A99" s="30" t="s">
        <v>104</v>
      </c>
      <c r="B99" s="29"/>
      <c r="C99" s="29">
        <v>122</v>
      </c>
      <c r="D99" s="29"/>
      <c r="E99" s="29">
        <v>0</v>
      </c>
      <c r="F99" s="29"/>
      <c r="G99" s="29">
        <v>122</v>
      </c>
      <c r="H99" t="str">
        <f t="shared" si="1"/>
        <v>10076520_2910</v>
      </c>
    </row>
    <row r="100" spans="1:8">
      <c r="A100" s="30" t="s">
        <v>105</v>
      </c>
      <c r="B100" s="29"/>
      <c r="C100" s="29">
        <v>3</v>
      </c>
      <c r="D100" s="29"/>
      <c r="E100" s="29"/>
      <c r="F100" s="29"/>
      <c r="G100" s="29">
        <v>3</v>
      </c>
      <c r="H100" t="str">
        <f t="shared" si="1"/>
        <v>10076532_2910</v>
      </c>
    </row>
    <row r="101" spans="1:8">
      <c r="A101" s="30" t="s">
        <v>106</v>
      </c>
      <c r="B101" s="29">
        <v>0</v>
      </c>
      <c r="C101" s="29">
        <v>20</v>
      </c>
      <c r="D101" s="29"/>
      <c r="E101" s="29"/>
      <c r="F101" s="29"/>
      <c r="G101" s="29">
        <v>20</v>
      </c>
      <c r="H101" t="str">
        <f t="shared" si="1"/>
        <v>10076782_2910</v>
      </c>
    </row>
    <row r="102" spans="1:8">
      <c r="A102" s="30" t="s">
        <v>107</v>
      </c>
      <c r="B102" s="29">
        <v>70</v>
      </c>
      <c r="C102" s="29"/>
      <c r="D102" s="29"/>
      <c r="E102" s="29"/>
      <c r="F102" s="29"/>
      <c r="G102" s="29">
        <v>70</v>
      </c>
      <c r="H102" t="str">
        <f t="shared" si="1"/>
        <v>10076880_2910</v>
      </c>
    </row>
    <row r="103" spans="1:8">
      <c r="A103" s="30" t="s">
        <v>108</v>
      </c>
      <c r="B103" s="29">
        <v>0</v>
      </c>
      <c r="C103" s="29"/>
      <c r="D103" s="29"/>
      <c r="E103" s="29"/>
      <c r="F103" s="29"/>
      <c r="G103" s="29">
        <v>0</v>
      </c>
      <c r="H103" t="str">
        <f t="shared" si="1"/>
        <v>10079023_2910</v>
      </c>
    </row>
    <row r="104" spans="1:8">
      <c r="A104" s="30" t="s">
        <v>109</v>
      </c>
      <c r="B104" s="29">
        <v>0</v>
      </c>
      <c r="C104" s="29"/>
      <c r="D104" s="29"/>
      <c r="E104" s="29"/>
      <c r="F104" s="29"/>
      <c r="G104" s="29">
        <v>0</v>
      </c>
      <c r="H104" t="str">
        <f t="shared" si="1"/>
        <v>10080616_2910</v>
      </c>
    </row>
    <row r="105" spans="1:8">
      <c r="A105" s="30" t="s">
        <v>110</v>
      </c>
      <c r="B105" s="29"/>
      <c r="C105" s="29">
        <v>0</v>
      </c>
      <c r="D105" s="29"/>
      <c r="E105" s="29"/>
      <c r="F105" s="29"/>
      <c r="G105" s="29">
        <v>0</v>
      </c>
      <c r="H105" t="str">
        <f t="shared" si="1"/>
        <v>10083460_2910</v>
      </c>
    </row>
    <row r="106" spans="1:8">
      <c r="A106" s="30" t="s">
        <v>111</v>
      </c>
      <c r="B106" s="29"/>
      <c r="C106" s="29">
        <v>72</v>
      </c>
      <c r="D106" s="29"/>
      <c r="E106" s="29"/>
      <c r="F106" s="29"/>
      <c r="G106" s="29">
        <v>72</v>
      </c>
      <c r="H106" t="str">
        <f t="shared" si="1"/>
        <v>10083462_2910</v>
      </c>
    </row>
    <row r="107" spans="1:8">
      <c r="A107" s="30" t="s">
        <v>112</v>
      </c>
      <c r="B107" s="29"/>
      <c r="C107" s="29">
        <v>72</v>
      </c>
      <c r="D107" s="29"/>
      <c r="E107" s="29"/>
      <c r="F107" s="29"/>
      <c r="G107" s="29">
        <v>72</v>
      </c>
      <c r="H107" t="str">
        <f t="shared" si="1"/>
        <v>10088045_2910</v>
      </c>
    </row>
    <row r="108" spans="1:8">
      <c r="A108" s="30" t="s">
        <v>113</v>
      </c>
      <c r="B108" s="29">
        <v>0</v>
      </c>
      <c r="C108" s="29"/>
      <c r="D108" s="29"/>
      <c r="E108" s="29"/>
      <c r="F108" s="29"/>
      <c r="G108" s="29">
        <v>0</v>
      </c>
      <c r="H108" t="str">
        <f t="shared" si="1"/>
        <v>10099045_2910</v>
      </c>
    </row>
    <row r="109" spans="1:8">
      <c r="A109" s="30" t="s">
        <v>114</v>
      </c>
      <c r="B109" s="29">
        <v>0</v>
      </c>
      <c r="C109" s="29"/>
      <c r="D109" s="29"/>
      <c r="E109" s="29"/>
      <c r="F109" s="29"/>
      <c r="G109" s="29">
        <v>0</v>
      </c>
      <c r="H109" t="str">
        <f t="shared" si="1"/>
        <v>10100028_2910</v>
      </c>
    </row>
    <row r="110" spans="1:8">
      <c r="A110" s="30" t="s">
        <v>115</v>
      </c>
      <c r="B110" s="29">
        <v>0</v>
      </c>
      <c r="C110" s="29"/>
      <c r="D110" s="29"/>
      <c r="E110" s="29"/>
      <c r="F110" s="29"/>
      <c r="G110" s="29">
        <v>0</v>
      </c>
      <c r="H110" t="str">
        <f t="shared" si="1"/>
        <v>10100030_2910</v>
      </c>
    </row>
    <row r="111" spans="1:8">
      <c r="A111" s="30" t="s">
        <v>116</v>
      </c>
      <c r="B111" s="29">
        <v>0</v>
      </c>
      <c r="C111" s="29"/>
      <c r="D111" s="29"/>
      <c r="E111" s="29"/>
      <c r="F111" s="29"/>
      <c r="G111" s="29">
        <v>0</v>
      </c>
      <c r="H111" t="str">
        <f t="shared" si="1"/>
        <v>10100031_2910</v>
      </c>
    </row>
    <row r="112" spans="1:8">
      <c r="A112" s="30" t="s">
        <v>117</v>
      </c>
      <c r="B112" s="29"/>
      <c r="C112" s="29"/>
      <c r="D112" s="29">
        <v>17</v>
      </c>
      <c r="E112" s="29"/>
      <c r="F112" s="29"/>
      <c r="G112" s="29">
        <v>17</v>
      </c>
      <c r="H112" t="str">
        <f t="shared" si="1"/>
        <v>10100278_2910</v>
      </c>
    </row>
    <row r="113" spans="1:8">
      <c r="A113" s="30" t="s">
        <v>118</v>
      </c>
      <c r="B113" s="29"/>
      <c r="C113" s="29"/>
      <c r="D113" s="29">
        <v>570</v>
      </c>
      <c r="E113" s="29"/>
      <c r="F113" s="29"/>
      <c r="G113" s="29">
        <v>570</v>
      </c>
      <c r="H113" t="str">
        <f t="shared" si="1"/>
        <v>10100282_2910</v>
      </c>
    </row>
    <row r="114" spans="1:8">
      <c r="A114" s="30" t="s">
        <v>119</v>
      </c>
      <c r="B114" s="29">
        <v>0</v>
      </c>
      <c r="C114" s="29"/>
      <c r="D114" s="29"/>
      <c r="E114" s="29">
        <v>0</v>
      </c>
      <c r="F114" s="29"/>
      <c r="G114" s="29">
        <v>0</v>
      </c>
      <c r="H114" t="str">
        <f t="shared" si="1"/>
        <v>10100364_2910</v>
      </c>
    </row>
    <row r="115" spans="1:8">
      <c r="A115" s="30" t="s">
        <v>120</v>
      </c>
      <c r="B115" s="29">
        <v>0</v>
      </c>
      <c r="C115" s="29"/>
      <c r="D115" s="29"/>
      <c r="E115" s="29"/>
      <c r="F115" s="29"/>
      <c r="G115" s="29">
        <v>0</v>
      </c>
      <c r="H115" t="str">
        <f t="shared" si="1"/>
        <v>10100487_2910</v>
      </c>
    </row>
    <row r="116" spans="1:8">
      <c r="A116" s="30" t="s">
        <v>7</v>
      </c>
      <c r="B116" s="29"/>
      <c r="C116" s="29"/>
      <c r="D116" s="29"/>
      <c r="E116" s="29"/>
      <c r="F116" s="29"/>
      <c r="G116" s="29"/>
      <c r="H116" t="str">
        <f t="shared" si="1"/>
        <v>(blank)_2910</v>
      </c>
    </row>
    <row r="117" spans="1:8">
      <c r="A117" s="30" t="s">
        <v>8</v>
      </c>
      <c r="B117" s="29">
        <v>70</v>
      </c>
      <c r="C117" s="29">
        <v>783</v>
      </c>
      <c r="D117" s="29">
        <v>587</v>
      </c>
      <c r="E117" s="29">
        <v>101</v>
      </c>
      <c r="F117" s="29"/>
      <c r="G117" s="29">
        <v>1541</v>
      </c>
      <c r="H117" t="str">
        <f t="shared" si="1"/>
        <v>Grand Total_2910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4500-58B8-445C-86A2-74F462D67956}">
  <sheetPr>
    <outlinePr summaryBelow="0"/>
  </sheetPr>
  <dimension ref="A1:AE362"/>
  <sheetViews>
    <sheetView workbookViewId="0">
      <pane ySplit="1" topLeftCell="A2" activePane="bottomLeft" state="frozen"/>
      <selection pane="bottomLeft" sqref="A1:XFD1048576"/>
    </sheetView>
  </sheetViews>
  <sheetFormatPr defaultRowHeight="14.1"/>
  <cols>
    <col min="1" max="1" width="10.5" customWidth="1"/>
    <col min="2" max="2" width="10.75" style="9" customWidth="1"/>
    <col min="3" max="3" width="9" customWidth="1"/>
    <col min="4" max="4" width="6.125" customWidth="1"/>
    <col min="5" max="5" width="16.25" style="9" bestFit="1" customWidth="1"/>
    <col min="6" max="6" width="9.5" style="9" customWidth="1"/>
    <col min="7" max="7" width="9.875" style="9" customWidth="1"/>
    <col min="8" max="8" width="16.25" bestFit="1" customWidth="1"/>
    <col min="9" max="9" width="11.25" customWidth="1"/>
    <col min="10" max="10" width="11.25" bestFit="1" customWidth="1"/>
    <col min="11" max="11" width="23.25" bestFit="1" customWidth="1"/>
    <col min="12" max="12" width="11.875" style="9" customWidth="1"/>
    <col min="13" max="13" width="15.25" style="9" customWidth="1"/>
    <col min="14" max="15" width="12.875" style="9" customWidth="1"/>
    <col min="16" max="16" width="11" style="9" customWidth="1"/>
    <col min="17" max="17" width="12.125" style="9" customWidth="1"/>
    <col min="18" max="18" width="13.5" style="9" customWidth="1"/>
    <col min="19" max="19" width="14.625" style="9" customWidth="1"/>
    <col min="20" max="20" width="13.625" style="9" customWidth="1"/>
    <col min="21" max="22" width="16.875" style="9" customWidth="1"/>
    <col min="23" max="26" width="12.5" style="9" customWidth="1"/>
    <col min="27" max="27" width="33.875" style="23" customWidth="1"/>
    <col min="28" max="28" width="19.25" bestFit="1" customWidth="1"/>
    <col min="29" max="29" width="16" customWidth="1"/>
    <col min="30" max="31" width="14.75" customWidth="1"/>
  </cols>
  <sheetData>
    <row r="1" spans="1:31" s="17" customFormat="1" ht="42">
      <c r="A1" s="17" t="s">
        <v>121</v>
      </c>
      <c r="B1" s="13" t="s">
        <v>122</v>
      </c>
      <c r="C1" s="17" t="s">
        <v>123</v>
      </c>
      <c r="D1" s="17" t="s">
        <v>124</v>
      </c>
      <c r="E1" s="13" t="s">
        <v>125</v>
      </c>
      <c r="F1" s="13" t="s">
        <v>126</v>
      </c>
      <c r="G1" s="13" t="s">
        <v>127</v>
      </c>
      <c r="H1" s="17" t="s">
        <v>128</v>
      </c>
      <c r="I1" s="17" t="s">
        <v>129</v>
      </c>
      <c r="J1" s="17" t="s">
        <v>130</v>
      </c>
      <c r="K1" s="17" t="s">
        <v>131</v>
      </c>
      <c r="L1" s="13" t="s">
        <v>132</v>
      </c>
      <c r="M1" s="13" t="s">
        <v>133</v>
      </c>
      <c r="N1" s="13" t="s">
        <v>134</v>
      </c>
      <c r="O1" s="13" t="s">
        <v>135</v>
      </c>
      <c r="P1" s="13" t="s">
        <v>136</v>
      </c>
      <c r="Q1" s="13" t="s">
        <v>137</v>
      </c>
      <c r="R1" s="13" t="s">
        <v>138</v>
      </c>
      <c r="S1" s="13" t="s">
        <v>139</v>
      </c>
      <c r="T1" s="13" t="s">
        <v>140</v>
      </c>
      <c r="U1" s="13" t="s">
        <v>141</v>
      </c>
      <c r="V1" s="13" t="s">
        <v>142</v>
      </c>
      <c r="W1" s="13" t="s">
        <v>143</v>
      </c>
      <c r="X1" s="13" t="s">
        <v>144</v>
      </c>
      <c r="Y1" s="13" t="s">
        <v>145</v>
      </c>
      <c r="Z1" s="13" t="s">
        <v>146</v>
      </c>
      <c r="AA1" s="18" t="s">
        <v>147</v>
      </c>
      <c r="AB1" s="17" t="s">
        <v>148</v>
      </c>
      <c r="AC1" s="17" t="s">
        <v>149</v>
      </c>
      <c r="AD1" s="17" t="s">
        <v>150</v>
      </c>
      <c r="AE1" s="17" t="s">
        <v>151</v>
      </c>
    </row>
    <row r="2" spans="1:31">
      <c r="A2" s="2" t="s">
        <v>152</v>
      </c>
      <c r="B2" s="9">
        <v>20</v>
      </c>
      <c r="C2" s="2" t="s">
        <v>153</v>
      </c>
      <c r="D2" s="2" t="s">
        <v>154</v>
      </c>
      <c r="E2" s="14">
        <v>45790</v>
      </c>
      <c r="F2" s="9" t="s">
        <v>155</v>
      </c>
      <c r="G2" s="9" t="s">
        <v>156</v>
      </c>
      <c r="H2" s="2" t="s">
        <v>157</v>
      </c>
      <c r="I2" s="2" t="s">
        <v>158</v>
      </c>
      <c r="J2" s="2">
        <v>10018980</v>
      </c>
      <c r="K2" s="2" t="s">
        <v>159</v>
      </c>
      <c r="L2" s="21">
        <v>2</v>
      </c>
      <c r="M2" s="21">
        <v>0</v>
      </c>
      <c r="N2" s="21">
        <v>0</v>
      </c>
      <c r="O2" s="21">
        <v>0</v>
      </c>
      <c r="R2" s="19">
        <v>0</v>
      </c>
      <c r="S2" s="12">
        <v>0</v>
      </c>
      <c r="T2" s="20">
        <v>0</v>
      </c>
      <c r="U2" s="12">
        <v>60</v>
      </c>
      <c r="V2" s="12">
        <v>0</v>
      </c>
      <c r="W2" s="21">
        <v>2</v>
      </c>
      <c r="X2" s="19">
        <v>0</v>
      </c>
      <c r="Y2" s="22">
        <v>0</v>
      </c>
      <c r="Z2" s="9" t="s">
        <v>3</v>
      </c>
      <c r="AA2" s="23" t="s">
        <v>160</v>
      </c>
      <c r="AC2" s="4">
        <v>95.6</v>
      </c>
      <c r="AD2" s="3">
        <v>45791</v>
      </c>
    </row>
    <row r="3" spans="1:31">
      <c r="A3" s="2" t="s">
        <v>161</v>
      </c>
      <c r="B3" s="9">
        <v>20</v>
      </c>
      <c r="C3" s="2" t="s">
        <v>153</v>
      </c>
      <c r="D3" s="2" t="s">
        <v>154</v>
      </c>
      <c r="E3" s="14">
        <v>45814</v>
      </c>
      <c r="F3" s="9" t="s">
        <v>155</v>
      </c>
      <c r="G3" s="9" t="s">
        <v>156</v>
      </c>
      <c r="H3" s="2" t="s">
        <v>162</v>
      </c>
      <c r="I3" s="2" t="s">
        <v>163</v>
      </c>
      <c r="J3" s="2">
        <v>10019778</v>
      </c>
      <c r="K3" s="2" t="s">
        <v>164</v>
      </c>
      <c r="L3" s="21">
        <v>50</v>
      </c>
      <c r="M3" s="21">
        <v>0</v>
      </c>
      <c r="N3" s="21">
        <v>0</v>
      </c>
      <c r="O3" s="21">
        <v>0</v>
      </c>
      <c r="R3" s="19">
        <v>0</v>
      </c>
      <c r="S3" s="12">
        <v>0</v>
      </c>
      <c r="T3" s="20">
        <v>0</v>
      </c>
      <c r="U3" s="12">
        <v>1000</v>
      </c>
      <c r="V3" s="12">
        <v>0</v>
      </c>
      <c r="W3" s="21">
        <v>50</v>
      </c>
      <c r="X3" s="19">
        <v>0</v>
      </c>
      <c r="Y3" s="22">
        <v>0</v>
      </c>
      <c r="Z3" s="9" t="s">
        <v>3</v>
      </c>
      <c r="AA3" s="23" t="s">
        <v>165</v>
      </c>
      <c r="AC3" s="4">
        <v>917.5</v>
      </c>
      <c r="AD3" s="3">
        <v>45820</v>
      </c>
    </row>
    <row r="4" spans="1:31">
      <c r="A4" s="2" t="s">
        <v>166</v>
      </c>
      <c r="B4" s="9">
        <v>20</v>
      </c>
      <c r="C4" s="2" t="s">
        <v>153</v>
      </c>
      <c r="D4" s="2" t="s">
        <v>154</v>
      </c>
      <c r="E4" s="14">
        <v>45814</v>
      </c>
      <c r="F4" s="9" t="s">
        <v>155</v>
      </c>
      <c r="G4" s="9" t="s">
        <v>156</v>
      </c>
      <c r="H4" s="2" t="s">
        <v>167</v>
      </c>
      <c r="I4" s="2" t="s">
        <v>168</v>
      </c>
      <c r="J4" s="2">
        <v>10019778</v>
      </c>
      <c r="K4" s="2" t="s">
        <v>164</v>
      </c>
      <c r="L4" s="21">
        <v>5</v>
      </c>
      <c r="M4" s="21">
        <v>0</v>
      </c>
      <c r="N4" s="21">
        <v>0</v>
      </c>
      <c r="O4" s="21">
        <v>0</v>
      </c>
      <c r="R4" s="19">
        <v>0</v>
      </c>
      <c r="S4" s="12">
        <v>0</v>
      </c>
      <c r="T4" s="20">
        <v>0</v>
      </c>
      <c r="U4" s="12">
        <v>100</v>
      </c>
      <c r="V4" s="12">
        <v>0</v>
      </c>
      <c r="W4" s="21">
        <v>5</v>
      </c>
      <c r="X4" s="19">
        <v>0</v>
      </c>
      <c r="Y4" s="22">
        <v>0</v>
      </c>
      <c r="Z4" s="9" t="s">
        <v>3</v>
      </c>
      <c r="AA4" s="23" t="s">
        <v>169</v>
      </c>
      <c r="AC4" s="4">
        <v>91.75</v>
      </c>
      <c r="AD4" s="3">
        <v>45820</v>
      </c>
    </row>
    <row r="5" spans="1:31">
      <c r="A5" s="2" t="s">
        <v>170</v>
      </c>
      <c r="B5" s="9">
        <v>30</v>
      </c>
      <c r="C5" s="2" t="s">
        <v>153</v>
      </c>
      <c r="D5" s="2" t="s">
        <v>154</v>
      </c>
      <c r="E5" s="14">
        <v>45817</v>
      </c>
      <c r="F5" s="9" t="s">
        <v>155</v>
      </c>
      <c r="G5" s="9" t="s">
        <v>156</v>
      </c>
      <c r="H5" s="2" t="s">
        <v>171</v>
      </c>
      <c r="I5" s="2" t="s">
        <v>172</v>
      </c>
      <c r="J5" s="2">
        <v>10019778</v>
      </c>
      <c r="K5" s="2" t="s">
        <v>164</v>
      </c>
      <c r="L5" s="21">
        <v>3</v>
      </c>
      <c r="M5" s="21">
        <v>0</v>
      </c>
      <c r="N5" s="21">
        <v>0</v>
      </c>
      <c r="O5" s="21">
        <v>0</v>
      </c>
      <c r="R5" s="19">
        <v>0</v>
      </c>
      <c r="S5" s="12">
        <v>0</v>
      </c>
      <c r="T5" s="20">
        <v>0</v>
      </c>
      <c r="U5" s="12">
        <v>60</v>
      </c>
      <c r="V5" s="12">
        <v>0</v>
      </c>
      <c r="W5" s="21">
        <v>3</v>
      </c>
      <c r="X5" s="19">
        <v>0</v>
      </c>
      <c r="Y5" s="22">
        <v>0</v>
      </c>
      <c r="Z5" s="9" t="s">
        <v>3</v>
      </c>
      <c r="AA5" s="23" t="s">
        <v>173</v>
      </c>
      <c r="AC5" s="4">
        <v>55.05</v>
      </c>
      <c r="AD5" s="3">
        <v>45819</v>
      </c>
    </row>
    <row r="6" spans="1:31">
      <c r="A6" s="2" t="s">
        <v>174</v>
      </c>
      <c r="B6" s="9">
        <v>220</v>
      </c>
      <c r="C6" s="2" t="s">
        <v>175</v>
      </c>
      <c r="D6" s="2" t="s">
        <v>154</v>
      </c>
      <c r="E6" s="14">
        <v>45821</v>
      </c>
      <c r="F6" s="9" t="s">
        <v>155</v>
      </c>
      <c r="G6" s="9" t="s">
        <v>156</v>
      </c>
      <c r="H6" s="2" t="s">
        <v>176</v>
      </c>
      <c r="I6" s="2" t="s">
        <v>177</v>
      </c>
      <c r="J6" s="2">
        <v>10018659</v>
      </c>
      <c r="K6" s="2" t="s">
        <v>178</v>
      </c>
      <c r="L6" s="21">
        <v>1</v>
      </c>
      <c r="M6" s="21">
        <v>0</v>
      </c>
      <c r="N6" s="21">
        <v>0</v>
      </c>
      <c r="O6" s="21">
        <v>0</v>
      </c>
      <c r="R6" s="19">
        <v>0</v>
      </c>
      <c r="S6" s="12">
        <v>0</v>
      </c>
      <c r="T6" s="20">
        <v>0</v>
      </c>
      <c r="U6" s="12">
        <v>18.899999999999999</v>
      </c>
      <c r="V6" s="12">
        <v>0</v>
      </c>
      <c r="W6" s="21">
        <v>1</v>
      </c>
      <c r="X6" s="19">
        <v>0</v>
      </c>
      <c r="Y6" s="22">
        <v>0</v>
      </c>
      <c r="Z6" s="9" t="s">
        <v>6</v>
      </c>
      <c r="AA6" s="23" t="s">
        <v>179</v>
      </c>
      <c r="AC6" s="4">
        <v>27.41</v>
      </c>
      <c r="AD6" s="3">
        <v>45824</v>
      </c>
    </row>
    <row r="7" spans="1:31">
      <c r="A7" s="2" t="s">
        <v>180</v>
      </c>
      <c r="B7" s="9">
        <v>30</v>
      </c>
      <c r="C7" s="2" t="s">
        <v>181</v>
      </c>
      <c r="D7" s="2" t="s">
        <v>154</v>
      </c>
      <c r="E7" s="14">
        <v>45825</v>
      </c>
      <c r="F7" s="9" t="s">
        <v>155</v>
      </c>
      <c r="G7" s="9" t="s">
        <v>156</v>
      </c>
      <c r="H7" s="2" t="s">
        <v>182</v>
      </c>
      <c r="I7" s="2" t="s">
        <v>183</v>
      </c>
      <c r="J7" s="2">
        <v>10052114</v>
      </c>
      <c r="K7" s="2" t="s">
        <v>184</v>
      </c>
      <c r="L7" s="21">
        <v>41</v>
      </c>
      <c r="M7" s="21">
        <v>0</v>
      </c>
      <c r="N7" s="21">
        <v>0</v>
      </c>
      <c r="O7" s="21">
        <v>0</v>
      </c>
      <c r="R7" s="19">
        <v>0</v>
      </c>
      <c r="S7" s="12">
        <v>0</v>
      </c>
      <c r="T7" s="20">
        <v>0</v>
      </c>
      <c r="U7" s="12">
        <v>41</v>
      </c>
      <c r="V7" s="12">
        <v>0</v>
      </c>
      <c r="W7" s="21">
        <v>41</v>
      </c>
      <c r="X7" s="19">
        <v>0</v>
      </c>
      <c r="Y7" s="22">
        <v>0</v>
      </c>
      <c r="Z7" s="9" t="s">
        <v>4</v>
      </c>
      <c r="AA7" s="23" t="s">
        <v>185</v>
      </c>
      <c r="AC7" s="4">
        <v>3019.65</v>
      </c>
      <c r="AD7" s="3">
        <v>45826</v>
      </c>
    </row>
    <row r="8" spans="1:31">
      <c r="A8" s="2" t="s">
        <v>186</v>
      </c>
      <c r="B8" s="9">
        <v>20</v>
      </c>
      <c r="C8" s="2" t="s">
        <v>187</v>
      </c>
      <c r="D8" s="2" t="s">
        <v>154</v>
      </c>
      <c r="E8" s="14">
        <v>45828</v>
      </c>
      <c r="F8" s="9" t="s">
        <v>155</v>
      </c>
      <c r="G8" s="9" t="s">
        <v>156</v>
      </c>
      <c r="H8" s="2" t="s">
        <v>188</v>
      </c>
      <c r="I8" s="2" t="s">
        <v>189</v>
      </c>
      <c r="J8" s="2">
        <v>10019778</v>
      </c>
      <c r="K8" s="2" t="s">
        <v>164</v>
      </c>
      <c r="L8" s="21">
        <v>30</v>
      </c>
      <c r="M8" s="21">
        <v>0</v>
      </c>
      <c r="N8" s="21">
        <v>0</v>
      </c>
      <c r="O8" s="21">
        <v>0</v>
      </c>
      <c r="R8" s="19">
        <v>0</v>
      </c>
      <c r="S8" s="12">
        <v>0</v>
      </c>
      <c r="T8" s="20">
        <v>0</v>
      </c>
      <c r="U8" s="12">
        <v>510</v>
      </c>
      <c r="V8" s="12">
        <v>0</v>
      </c>
      <c r="W8" s="21">
        <v>30</v>
      </c>
      <c r="X8" s="19">
        <v>0</v>
      </c>
      <c r="Y8" s="22">
        <v>0</v>
      </c>
      <c r="Z8" s="9" t="s">
        <v>3</v>
      </c>
      <c r="AA8" s="23" t="s">
        <v>190</v>
      </c>
      <c r="AC8" s="4">
        <v>550.5</v>
      </c>
      <c r="AD8" s="3">
        <v>45833</v>
      </c>
    </row>
    <row r="9" spans="1:31">
      <c r="A9" s="2" t="s">
        <v>191</v>
      </c>
      <c r="B9" s="9">
        <v>30</v>
      </c>
      <c r="C9" s="2" t="s">
        <v>192</v>
      </c>
      <c r="D9" s="2" t="s">
        <v>154</v>
      </c>
      <c r="E9" s="14">
        <v>45831</v>
      </c>
      <c r="F9" s="9" t="s">
        <v>155</v>
      </c>
      <c r="G9" s="9" t="s">
        <v>156</v>
      </c>
      <c r="H9" s="2" t="s">
        <v>193</v>
      </c>
      <c r="I9" s="2" t="s">
        <v>194</v>
      </c>
      <c r="J9" s="2">
        <v>10018053</v>
      </c>
      <c r="K9" s="2" t="s">
        <v>195</v>
      </c>
      <c r="L9" s="21">
        <v>8</v>
      </c>
      <c r="M9" s="21">
        <v>0</v>
      </c>
      <c r="N9" s="21">
        <v>0</v>
      </c>
      <c r="O9" s="21">
        <v>0</v>
      </c>
      <c r="R9" s="19">
        <v>0</v>
      </c>
      <c r="S9" s="12">
        <v>0</v>
      </c>
      <c r="T9" s="20">
        <v>0</v>
      </c>
      <c r="U9" s="12">
        <v>448.4</v>
      </c>
      <c r="V9" s="12">
        <v>0</v>
      </c>
      <c r="W9" s="21">
        <v>8</v>
      </c>
      <c r="X9" s="19">
        <v>40</v>
      </c>
      <c r="Y9" s="22">
        <v>0</v>
      </c>
      <c r="Z9" s="9" t="s">
        <v>3</v>
      </c>
      <c r="AA9" s="23" t="s">
        <v>196</v>
      </c>
      <c r="AC9" s="4">
        <v>524.79999999999995</v>
      </c>
      <c r="AD9" s="3">
        <v>45835</v>
      </c>
    </row>
    <row r="10" spans="1:31">
      <c r="A10" s="2" t="s">
        <v>197</v>
      </c>
      <c r="B10" s="9">
        <v>20</v>
      </c>
      <c r="C10" s="2" t="s">
        <v>192</v>
      </c>
      <c r="D10" s="2" t="s">
        <v>154</v>
      </c>
      <c r="E10" s="14">
        <v>45833</v>
      </c>
      <c r="G10" s="9" t="s">
        <v>156</v>
      </c>
      <c r="H10" s="2" t="s">
        <v>198</v>
      </c>
      <c r="I10" s="2" t="s">
        <v>199</v>
      </c>
      <c r="J10" s="2">
        <v>10019778</v>
      </c>
      <c r="K10" s="2" t="s">
        <v>164</v>
      </c>
      <c r="L10" s="21">
        <v>30</v>
      </c>
      <c r="M10" s="21">
        <v>0</v>
      </c>
      <c r="N10" s="21">
        <v>0</v>
      </c>
      <c r="O10" s="21">
        <v>0</v>
      </c>
      <c r="R10" s="19">
        <v>0</v>
      </c>
      <c r="S10" s="12">
        <v>0</v>
      </c>
      <c r="T10" s="20">
        <v>0</v>
      </c>
      <c r="U10" s="12">
        <v>510</v>
      </c>
      <c r="V10" s="12">
        <v>0</v>
      </c>
      <c r="W10" s="21">
        <v>30</v>
      </c>
      <c r="X10" s="19">
        <v>0</v>
      </c>
      <c r="Y10" s="22">
        <v>0</v>
      </c>
      <c r="Z10" s="9" t="s">
        <v>3</v>
      </c>
      <c r="AA10" s="23" t="s">
        <v>200</v>
      </c>
      <c r="AC10" s="4">
        <v>550.5</v>
      </c>
      <c r="AD10" s="3">
        <v>45838</v>
      </c>
    </row>
    <row r="11" spans="1:31">
      <c r="A11" s="2" t="s">
        <v>197</v>
      </c>
      <c r="B11" s="9">
        <v>70</v>
      </c>
      <c r="C11" s="2" t="s">
        <v>192</v>
      </c>
      <c r="D11" s="2" t="s">
        <v>154</v>
      </c>
      <c r="E11" s="14">
        <v>45833</v>
      </c>
      <c r="G11" s="9" t="s">
        <v>156</v>
      </c>
      <c r="H11" s="2" t="s">
        <v>198</v>
      </c>
      <c r="I11" s="2" t="s">
        <v>199</v>
      </c>
      <c r="J11" s="2">
        <v>10018053</v>
      </c>
      <c r="K11" s="2" t="s">
        <v>195</v>
      </c>
      <c r="L11" s="21">
        <v>10</v>
      </c>
      <c r="M11" s="21">
        <v>0</v>
      </c>
      <c r="N11" s="21">
        <v>0</v>
      </c>
      <c r="O11" s="21">
        <v>0</v>
      </c>
      <c r="R11" s="19">
        <v>0</v>
      </c>
      <c r="S11" s="12">
        <v>0</v>
      </c>
      <c r="T11" s="20">
        <v>0</v>
      </c>
      <c r="U11" s="12">
        <v>560.5</v>
      </c>
      <c r="V11" s="12">
        <v>0</v>
      </c>
      <c r="W11" s="21">
        <v>10</v>
      </c>
      <c r="X11" s="19">
        <v>50</v>
      </c>
      <c r="Y11" s="22">
        <v>0</v>
      </c>
      <c r="Z11" s="9" t="s">
        <v>3</v>
      </c>
      <c r="AA11" s="23" t="s">
        <v>200</v>
      </c>
      <c r="AC11" s="4">
        <v>656</v>
      </c>
      <c r="AD11" s="3">
        <v>45838</v>
      </c>
    </row>
    <row r="12" spans="1:31">
      <c r="A12" s="2" t="s">
        <v>201</v>
      </c>
      <c r="B12" s="9">
        <v>40</v>
      </c>
      <c r="C12" s="2" t="s">
        <v>153</v>
      </c>
      <c r="D12" s="2" t="s">
        <v>154</v>
      </c>
      <c r="E12" s="14">
        <v>45840</v>
      </c>
      <c r="F12" s="9" t="s">
        <v>155</v>
      </c>
      <c r="G12" s="9" t="s">
        <v>156</v>
      </c>
      <c r="H12" s="2" t="s">
        <v>202</v>
      </c>
      <c r="I12" s="2" t="s">
        <v>203</v>
      </c>
      <c r="J12" s="2">
        <v>10019778</v>
      </c>
      <c r="K12" s="2" t="s">
        <v>164</v>
      </c>
      <c r="L12" s="21">
        <v>2</v>
      </c>
      <c r="M12" s="21">
        <v>0</v>
      </c>
      <c r="N12" s="21">
        <v>0</v>
      </c>
      <c r="O12" s="21">
        <v>0</v>
      </c>
      <c r="R12" s="19">
        <v>0</v>
      </c>
      <c r="S12" s="12">
        <v>0</v>
      </c>
      <c r="T12" s="20">
        <v>0</v>
      </c>
      <c r="U12" s="12">
        <v>32</v>
      </c>
      <c r="V12" s="12">
        <v>0</v>
      </c>
      <c r="W12" s="21">
        <v>2</v>
      </c>
      <c r="X12" s="19">
        <v>0</v>
      </c>
      <c r="Y12" s="22">
        <v>0</v>
      </c>
      <c r="Z12" s="9" t="s">
        <v>3</v>
      </c>
      <c r="AA12" s="23" t="s">
        <v>204</v>
      </c>
      <c r="AC12" s="4">
        <v>36.700000000000003</v>
      </c>
      <c r="AD12" s="3">
        <v>45842</v>
      </c>
    </row>
    <row r="13" spans="1:31">
      <c r="A13" s="2" t="s">
        <v>205</v>
      </c>
      <c r="B13" s="9">
        <v>10</v>
      </c>
      <c r="C13" s="2" t="s">
        <v>175</v>
      </c>
      <c r="D13" s="2" t="s">
        <v>154</v>
      </c>
      <c r="E13" s="14">
        <v>45849</v>
      </c>
      <c r="F13" s="9" t="s">
        <v>155</v>
      </c>
      <c r="G13" s="9" t="s">
        <v>156</v>
      </c>
      <c r="H13" s="2" t="s">
        <v>206</v>
      </c>
      <c r="I13" s="2" t="s">
        <v>207</v>
      </c>
      <c r="J13" s="2">
        <v>10061010</v>
      </c>
      <c r="K13" s="2" t="s">
        <v>208</v>
      </c>
      <c r="L13" s="21">
        <v>51</v>
      </c>
      <c r="M13" s="21">
        <v>0</v>
      </c>
      <c r="N13" s="21">
        <v>0</v>
      </c>
      <c r="O13" s="21">
        <v>0</v>
      </c>
      <c r="R13" s="19">
        <v>0</v>
      </c>
      <c r="S13" s="12">
        <v>0</v>
      </c>
      <c r="T13" s="20">
        <v>0</v>
      </c>
      <c r="U13" s="12">
        <v>459</v>
      </c>
      <c r="V13" s="12">
        <v>0</v>
      </c>
      <c r="W13" s="21">
        <v>51</v>
      </c>
      <c r="X13" s="19">
        <v>0</v>
      </c>
      <c r="Y13" s="22">
        <v>0</v>
      </c>
      <c r="Z13" s="9" t="s">
        <v>6</v>
      </c>
      <c r="AA13" s="23" t="s">
        <v>209</v>
      </c>
      <c r="AC13" s="4">
        <v>2557.65</v>
      </c>
      <c r="AD13" s="3">
        <v>45850</v>
      </c>
    </row>
    <row r="14" spans="1:31">
      <c r="A14" s="2" t="s">
        <v>205</v>
      </c>
      <c r="B14" s="9">
        <v>100</v>
      </c>
      <c r="C14" s="2" t="s">
        <v>175</v>
      </c>
      <c r="D14" s="2" t="s">
        <v>154</v>
      </c>
      <c r="E14" s="14">
        <v>45849</v>
      </c>
      <c r="F14" s="9" t="s">
        <v>155</v>
      </c>
      <c r="G14" s="9" t="s">
        <v>156</v>
      </c>
      <c r="H14" s="2" t="s">
        <v>206</v>
      </c>
      <c r="I14" s="2" t="s">
        <v>207</v>
      </c>
      <c r="J14" s="2">
        <v>10016081</v>
      </c>
      <c r="K14" s="2" t="s">
        <v>210</v>
      </c>
      <c r="L14" s="21">
        <v>4</v>
      </c>
      <c r="M14" s="21">
        <v>0</v>
      </c>
      <c r="N14" s="21">
        <v>0</v>
      </c>
      <c r="O14" s="21">
        <v>0</v>
      </c>
      <c r="R14" s="19">
        <v>0</v>
      </c>
      <c r="S14" s="12">
        <v>0</v>
      </c>
      <c r="T14" s="20">
        <v>0</v>
      </c>
      <c r="U14" s="12">
        <v>160</v>
      </c>
      <c r="V14" s="12">
        <v>0</v>
      </c>
      <c r="W14" s="21">
        <v>4</v>
      </c>
      <c r="X14" s="19">
        <v>16</v>
      </c>
      <c r="Y14" s="22">
        <v>0</v>
      </c>
      <c r="Z14" s="9" t="s">
        <v>6</v>
      </c>
      <c r="AA14" s="23" t="s">
        <v>209</v>
      </c>
      <c r="AC14" s="4">
        <v>362.4</v>
      </c>
      <c r="AD14" s="3">
        <v>45850</v>
      </c>
    </row>
    <row r="15" spans="1:31">
      <c r="A15" s="2" t="s">
        <v>211</v>
      </c>
      <c r="B15" s="9">
        <v>90</v>
      </c>
      <c r="C15" s="2" t="s">
        <v>153</v>
      </c>
      <c r="D15" s="2" t="s">
        <v>154</v>
      </c>
      <c r="E15" s="14">
        <v>45854</v>
      </c>
      <c r="F15" s="9" t="s">
        <v>155</v>
      </c>
      <c r="G15" s="9" t="s">
        <v>156</v>
      </c>
      <c r="H15" s="2" t="s">
        <v>212</v>
      </c>
      <c r="I15" s="2" t="s">
        <v>213</v>
      </c>
      <c r="J15" s="2">
        <v>10040122</v>
      </c>
      <c r="K15" s="2" t="s">
        <v>214</v>
      </c>
      <c r="L15" s="21">
        <v>30</v>
      </c>
      <c r="M15" s="21">
        <v>0</v>
      </c>
      <c r="N15" s="21">
        <v>0</v>
      </c>
      <c r="O15" s="21">
        <v>0</v>
      </c>
      <c r="R15" s="19">
        <v>0</v>
      </c>
      <c r="S15" s="12">
        <v>0</v>
      </c>
      <c r="T15" s="20">
        <v>0</v>
      </c>
      <c r="U15" s="12">
        <v>240</v>
      </c>
      <c r="V15" s="12">
        <v>0</v>
      </c>
      <c r="W15" s="21">
        <v>30</v>
      </c>
      <c r="X15" s="19">
        <v>0</v>
      </c>
      <c r="Y15" s="22">
        <v>0</v>
      </c>
      <c r="Z15" s="9" t="s">
        <v>3</v>
      </c>
      <c r="AA15" s="23" t="s">
        <v>215</v>
      </c>
      <c r="AC15" s="4">
        <v>842.1</v>
      </c>
      <c r="AD15" s="3">
        <v>45859</v>
      </c>
    </row>
    <row r="16" spans="1:31">
      <c r="A16" s="2" t="s">
        <v>216</v>
      </c>
      <c r="B16" s="9">
        <v>90</v>
      </c>
      <c r="C16" s="2" t="s">
        <v>175</v>
      </c>
      <c r="D16" s="2" t="s">
        <v>154</v>
      </c>
      <c r="E16" s="14">
        <v>45867</v>
      </c>
      <c r="F16" s="9" t="s">
        <v>155</v>
      </c>
      <c r="G16" s="9" t="s">
        <v>156</v>
      </c>
      <c r="H16" s="2" t="s">
        <v>206</v>
      </c>
      <c r="I16" s="2" t="s">
        <v>207</v>
      </c>
      <c r="J16" s="2">
        <v>10016081</v>
      </c>
      <c r="K16" s="2" t="s">
        <v>210</v>
      </c>
      <c r="L16" s="21">
        <v>7</v>
      </c>
      <c r="M16" s="21">
        <v>0</v>
      </c>
      <c r="N16" s="21">
        <v>0</v>
      </c>
      <c r="O16" s="21">
        <v>0</v>
      </c>
      <c r="R16" s="19">
        <v>0</v>
      </c>
      <c r="S16" s="12">
        <v>0</v>
      </c>
      <c r="T16" s="20">
        <v>0</v>
      </c>
      <c r="U16" s="12">
        <v>336</v>
      </c>
      <c r="V16" s="12">
        <v>0</v>
      </c>
      <c r="W16" s="21">
        <v>7</v>
      </c>
      <c r="X16" s="19">
        <v>28</v>
      </c>
      <c r="Y16" s="22">
        <v>0</v>
      </c>
      <c r="Z16" s="9" t="s">
        <v>6</v>
      </c>
      <c r="AA16" s="23" t="s">
        <v>209</v>
      </c>
      <c r="AC16" s="4">
        <v>634.20000000000005</v>
      </c>
      <c r="AD16" s="3">
        <v>45870</v>
      </c>
    </row>
    <row r="17" spans="1:30">
      <c r="A17" s="2" t="s">
        <v>217</v>
      </c>
      <c r="B17" s="9">
        <v>100</v>
      </c>
      <c r="C17" s="2" t="s">
        <v>181</v>
      </c>
      <c r="D17" s="2" t="s">
        <v>154</v>
      </c>
      <c r="E17" s="14">
        <v>45868</v>
      </c>
      <c r="F17" s="9" t="s">
        <v>155</v>
      </c>
      <c r="G17" s="9" t="s">
        <v>156</v>
      </c>
      <c r="H17" s="2" t="s">
        <v>218</v>
      </c>
      <c r="I17" s="2" t="s">
        <v>219</v>
      </c>
      <c r="J17" s="2">
        <v>10019780</v>
      </c>
      <c r="K17" s="2" t="s">
        <v>220</v>
      </c>
      <c r="L17" s="21">
        <v>9</v>
      </c>
      <c r="M17" s="21">
        <v>0</v>
      </c>
      <c r="N17" s="21">
        <v>0</v>
      </c>
      <c r="O17" s="21">
        <v>0</v>
      </c>
      <c r="R17" s="19">
        <v>0</v>
      </c>
      <c r="S17" s="12">
        <v>0</v>
      </c>
      <c r="T17" s="20">
        <v>0</v>
      </c>
      <c r="U17" s="12">
        <v>126</v>
      </c>
      <c r="V17" s="12">
        <v>0</v>
      </c>
      <c r="W17" s="21">
        <v>9</v>
      </c>
      <c r="X17" s="19">
        <v>18</v>
      </c>
      <c r="Y17" s="22">
        <v>0</v>
      </c>
      <c r="Z17" s="9" t="s">
        <v>3</v>
      </c>
      <c r="AA17" s="23" t="s">
        <v>221</v>
      </c>
      <c r="AC17" s="4">
        <v>512.82000000000005</v>
      </c>
      <c r="AD17" s="3">
        <v>45870</v>
      </c>
    </row>
    <row r="18" spans="1:30">
      <c r="A18" s="2" t="s">
        <v>217</v>
      </c>
      <c r="B18" s="9">
        <v>140</v>
      </c>
      <c r="C18" s="2" t="s">
        <v>181</v>
      </c>
      <c r="D18" s="2" t="s">
        <v>154</v>
      </c>
      <c r="E18" s="14">
        <v>45868</v>
      </c>
      <c r="F18" s="9" t="s">
        <v>155</v>
      </c>
      <c r="G18" s="9" t="s">
        <v>156</v>
      </c>
      <c r="H18" s="2" t="s">
        <v>218</v>
      </c>
      <c r="I18" s="2" t="s">
        <v>219</v>
      </c>
      <c r="J18" s="2">
        <v>10050619</v>
      </c>
      <c r="K18" s="2" t="s">
        <v>222</v>
      </c>
      <c r="L18" s="21">
        <v>2</v>
      </c>
      <c r="M18" s="21">
        <v>0</v>
      </c>
      <c r="N18" s="21">
        <v>0</v>
      </c>
      <c r="O18" s="21">
        <v>0</v>
      </c>
      <c r="R18" s="19">
        <v>0</v>
      </c>
      <c r="S18" s="12">
        <v>0</v>
      </c>
      <c r="T18" s="20">
        <v>0</v>
      </c>
      <c r="U18" s="12">
        <v>12</v>
      </c>
      <c r="V18" s="12">
        <v>0</v>
      </c>
      <c r="W18" s="21">
        <v>2</v>
      </c>
      <c r="X18" s="19">
        <v>0</v>
      </c>
      <c r="Y18" s="22">
        <v>0</v>
      </c>
      <c r="Z18" s="9" t="s">
        <v>3</v>
      </c>
      <c r="AA18" s="23" t="s">
        <v>221</v>
      </c>
      <c r="AC18" s="4">
        <v>33.520000000000003</v>
      </c>
      <c r="AD18" s="3">
        <v>45870</v>
      </c>
    </row>
    <row r="19" spans="1:30">
      <c r="A19" s="2" t="s">
        <v>223</v>
      </c>
      <c r="B19" s="9">
        <v>230</v>
      </c>
      <c r="C19" s="2" t="s">
        <v>175</v>
      </c>
      <c r="D19" s="2" t="s">
        <v>154</v>
      </c>
      <c r="E19" s="14">
        <v>45869</v>
      </c>
      <c r="F19" s="9" t="s">
        <v>155</v>
      </c>
      <c r="G19" s="9" t="s">
        <v>156</v>
      </c>
      <c r="H19" s="2" t="s">
        <v>224</v>
      </c>
      <c r="I19" s="2" t="s">
        <v>225</v>
      </c>
      <c r="J19" s="2">
        <v>10010749</v>
      </c>
      <c r="K19" s="2" t="s">
        <v>226</v>
      </c>
      <c r="L19" s="21">
        <v>3</v>
      </c>
      <c r="M19" s="21">
        <v>0</v>
      </c>
      <c r="N19" s="21">
        <v>0</v>
      </c>
      <c r="O19" s="21">
        <v>0</v>
      </c>
      <c r="R19" s="19">
        <v>0</v>
      </c>
      <c r="S19" s="12">
        <v>0</v>
      </c>
      <c r="T19" s="20">
        <v>0</v>
      </c>
      <c r="U19" s="12">
        <v>40.5</v>
      </c>
      <c r="V19" s="12">
        <v>0</v>
      </c>
      <c r="W19" s="21">
        <v>3</v>
      </c>
      <c r="X19" s="19">
        <v>13.5</v>
      </c>
      <c r="Y19" s="22">
        <v>0</v>
      </c>
      <c r="Z19" s="9" t="s">
        <v>6</v>
      </c>
      <c r="AA19" s="23" t="s">
        <v>227</v>
      </c>
      <c r="AC19" s="4">
        <v>167.27</v>
      </c>
      <c r="AD19" s="3">
        <v>45874</v>
      </c>
    </row>
    <row r="20" spans="1:30">
      <c r="A20" s="2" t="s">
        <v>223</v>
      </c>
      <c r="B20" s="9">
        <v>260</v>
      </c>
      <c r="C20" s="2" t="s">
        <v>175</v>
      </c>
      <c r="D20" s="2" t="s">
        <v>154</v>
      </c>
      <c r="E20" s="14">
        <v>45869</v>
      </c>
      <c r="F20" s="9" t="s">
        <v>155</v>
      </c>
      <c r="G20" s="9" t="s">
        <v>156</v>
      </c>
      <c r="H20" s="2" t="s">
        <v>224</v>
      </c>
      <c r="I20" s="2" t="s">
        <v>225</v>
      </c>
      <c r="J20" s="2">
        <v>10066217</v>
      </c>
      <c r="K20" s="2" t="s">
        <v>228</v>
      </c>
      <c r="L20" s="21">
        <v>18</v>
      </c>
      <c r="M20" s="21">
        <v>0</v>
      </c>
      <c r="N20" s="21">
        <v>0</v>
      </c>
      <c r="O20" s="21">
        <v>0</v>
      </c>
      <c r="R20" s="19">
        <v>0</v>
      </c>
      <c r="S20" s="12">
        <v>0</v>
      </c>
      <c r="T20" s="20">
        <v>0</v>
      </c>
      <c r="U20" s="12">
        <v>72</v>
      </c>
      <c r="V20" s="12">
        <v>0</v>
      </c>
      <c r="W20" s="21">
        <v>18</v>
      </c>
      <c r="X20" s="19">
        <v>0</v>
      </c>
      <c r="Y20" s="22">
        <v>0</v>
      </c>
      <c r="Z20" s="9" t="s">
        <v>6</v>
      </c>
      <c r="AA20" s="23" t="s">
        <v>227</v>
      </c>
      <c r="AC20" s="4">
        <v>412.56</v>
      </c>
      <c r="AD20" s="3">
        <v>45874</v>
      </c>
    </row>
    <row r="21" spans="1:30">
      <c r="A21" s="2" t="s">
        <v>229</v>
      </c>
      <c r="B21" s="9">
        <v>180</v>
      </c>
      <c r="C21" s="2" t="s">
        <v>181</v>
      </c>
      <c r="D21" s="2" t="s">
        <v>154</v>
      </c>
      <c r="E21" s="14">
        <v>45870</v>
      </c>
      <c r="F21" s="9" t="s">
        <v>155</v>
      </c>
      <c r="G21" s="9" t="s">
        <v>156</v>
      </c>
      <c r="H21" s="2" t="s">
        <v>230</v>
      </c>
      <c r="I21" s="2" t="s">
        <v>231</v>
      </c>
      <c r="J21" s="2">
        <v>10016044</v>
      </c>
      <c r="K21" s="2" t="s">
        <v>232</v>
      </c>
      <c r="L21" s="21">
        <v>20</v>
      </c>
      <c r="M21" s="21">
        <v>0</v>
      </c>
      <c r="N21" s="21">
        <v>0</v>
      </c>
      <c r="O21" s="21">
        <v>0</v>
      </c>
      <c r="R21" s="19">
        <v>0</v>
      </c>
      <c r="S21" s="12">
        <v>0</v>
      </c>
      <c r="T21" s="20">
        <v>0</v>
      </c>
      <c r="U21" s="12">
        <v>160</v>
      </c>
      <c r="V21" s="12">
        <v>0</v>
      </c>
      <c r="W21" s="21">
        <v>20</v>
      </c>
      <c r="X21" s="19">
        <v>0</v>
      </c>
      <c r="Y21" s="22">
        <v>0</v>
      </c>
      <c r="Z21" s="9" t="s">
        <v>3</v>
      </c>
      <c r="AA21" s="23" t="s">
        <v>233</v>
      </c>
      <c r="AC21" s="4">
        <v>653.20000000000005</v>
      </c>
      <c r="AD21" s="3">
        <v>45876</v>
      </c>
    </row>
    <row r="22" spans="1:30">
      <c r="A22" s="2" t="s">
        <v>234</v>
      </c>
      <c r="B22" s="9">
        <v>10</v>
      </c>
      <c r="C22" s="2" t="s">
        <v>181</v>
      </c>
      <c r="D22" s="2" t="s">
        <v>154</v>
      </c>
      <c r="E22" s="14">
        <v>45880</v>
      </c>
      <c r="F22" s="9" t="s">
        <v>155</v>
      </c>
      <c r="G22" s="9" t="s">
        <v>156</v>
      </c>
      <c r="H22" s="2" t="s">
        <v>235</v>
      </c>
      <c r="I22" s="2" t="s">
        <v>236</v>
      </c>
      <c r="J22" s="2">
        <v>10063102</v>
      </c>
      <c r="K22" s="2" t="s">
        <v>237</v>
      </c>
      <c r="L22" s="21">
        <v>4</v>
      </c>
      <c r="M22" s="21">
        <v>0</v>
      </c>
      <c r="N22" s="21">
        <v>0</v>
      </c>
      <c r="O22" s="21">
        <v>0</v>
      </c>
      <c r="R22" s="19">
        <v>0</v>
      </c>
      <c r="S22" s="12">
        <v>0</v>
      </c>
      <c r="T22" s="20">
        <v>0</v>
      </c>
      <c r="U22" s="12">
        <v>12</v>
      </c>
      <c r="V22" s="12">
        <v>0</v>
      </c>
      <c r="W22" s="21">
        <v>4</v>
      </c>
      <c r="X22" s="19">
        <v>0</v>
      </c>
      <c r="Y22" s="22">
        <v>0</v>
      </c>
      <c r="Z22" s="9" t="s">
        <v>6</v>
      </c>
      <c r="AA22" s="23" t="s">
        <v>238</v>
      </c>
      <c r="AC22" s="4">
        <v>149.72</v>
      </c>
      <c r="AD22" s="3">
        <v>45883</v>
      </c>
    </row>
    <row r="23" spans="1:30">
      <c r="A23" s="2" t="s">
        <v>239</v>
      </c>
      <c r="B23" s="9">
        <v>10</v>
      </c>
      <c r="C23" s="2" t="s">
        <v>153</v>
      </c>
      <c r="D23" s="2" t="s">
        <v>154</v>
      </c>
      <c r="E23" s="14">
        <v>45888</v>
      </c>
      <c r="F23" s="9" t="s">
        <v>155</v>
      </c>
      <c r="G23" s="9" t="s">
        <v>156</v>
      </c>
      <c r="H23" s="2" t="s">
        <v>240</v>
      </c>
      <c r="I23" s="2" t="s">
        <v>241</v>
      </c>
      <c r="J23" s="2">
        <v>10019780</v>
      </c>
      <c r="K23" s="2" t="s">
        <v>220</v>
      </c>
      <c r="L23" s="21">
        <v>6</v>
      </c>
      <c r="M23" s="21">
        <v>0</v>
      </c>
      <c r="N23" s="21">
        <v>0</v>
      </c>
      <c r="O23" s="21">
        <v>0</v>
      </c>
      <c r="R23" s="19">
        <v>0</v>
      </c>
      <c r="S23" s="12">
        <v>0</v>
      </c>
      <c r="T23" s="20">
        <v>0</v>
      </c>
      <c r="U23" s="12">
        <v>228</v>
      </c>
      <c r="V23" s="12">
        <v>0</v>
      </c>
      <c r="W23" s="21">
        <v>6</v>
      </c>
      <c r="X23" s="19">
        <v>12</v>
      </c>
      <c r="Y23" s="22">
        <v>0</v>
      </c>
      <c r="Z23" s="9" t="s">
        <v>3</v>
      </c>
      <c r="AA23" s="23" t="s">
        <v>242</v>
      </c>
      <c r="AC23" s="4">
        <v>311.39999999999998</v>
      </c>
      <c r="AD23" s="3">
        <v>45889</v>
      </c>
    </row>
    <row r="24" spans="1:30">
      <c r="A24" s="2" t="s">
        <v>243</v>
      </c>
      <c r="B24" s="9">
        <v>20</v>
      </c>
      <c r="C24" s="2" t="s">
        <v>153</v>
      </c>
      <c r="D24" s="2" t="s">
        <v>154</v>
      </c>
      <c r="E24" s="14">
        <v>45888</v>
      </c>
      <c r="F24" s="9" t="s">
        <v>155</v>
      </c>
      <c r="G24" s="9" t="s">
        <v>156</v>
      </c>
      <c r="H24" s="2" t="s">
        <v>244</v>
      </c>
      <c r="I24" s="2" t="s">
        <v>245</v>
      </c>
      <c r="J24" s="2">
        <v>10019780</v>
      </c>
      <c r="K24" s="2" t="s">
        <v>220</v>
      </c>
      <c r="L24" s="21">
        <v>4</v>
      </c>
      <c r="M24" s="21">
        <v>0</v>
      </c>
      <c r="N24" s="21">
        <v>0</v>
      </c>
      <c r="O24" s="21">
        <v>0</v>
      </c>
      <c r="R24" s="19">
        <v>0</v>
      </c>
      <c r="S24" s="12">
        <v>0</v>
      </c>
      <c r="T24" s="20">
        <v>0</v>
      </c>
      <c r="U24" s="12">
        <v>168</v>
      </c>
      <c r="V24" s="12">
        <v>0</v>
      </c>
      <c r="W24" s="21">
        <v>4</v>
      </c>
      <c r="X24" s="19">
        <v>8</v>
      </c>
      <c r="Y24" s="22">
        <v>0</v>
      </c>
      <c r="Z24" s="9" t="s">
        <v>3</v>
      </c>
      <c r="AA24" s="23" t="s">
        <v>246</v>
      </c>
      <c r="AC24" s="4">
        <v>207.6</v>
      </c>
      <c r="AD24" s="3">
        <v>45891</v>
      </c>
    </row>
    <row r="25" spans="1:30">
      <c r="A25" s="2" t="s">
        <v>247</v>
      </c>
      <c r="B25" s="9">
        <v>240</v>
      </c>
      <c r="C25" s="2" t="s">
        <v>153</v>
      </c>
      <c r="D25" s="2" t="s">
        <v>154</v>
      </c>
      <c r="E25" s="14">
        <v>45888</v>
      </c>
      <c r="F25" s="9" t="s">
        <v>155</v>
      </c>
      <c r="G25" s="9" t="s">
        <v>156</v>
      </c>
      <c r="H25" s="2" t="s">
        <v>212</v>
      </c>
      <c r="I25" s="2" t="s">
        <v>213</v>
      </c>
      <c r="J25" s="2">
        <v>10013128</v>
      </c>
      <c r="K25" s="2" t="s">
        <v>248</v>
      </c>
      <c r="L25" s="21">
        <v>1</v>
      </c>
      <c r="M25" s="21">
        <v>0</v>
      </c>
      <c r="N25" s="21">
        <v>0</v>
      </c>
      <c r="O25" s="21">
        <v>0</v>
      </c>
      <c r="R25" s="19">
        <v>0</v>
      </c>
      <c r="S25" s="12">
        <v>0</v>
      </c>
      <c r="T25" s="20">
        <v>0</v>
      </c>
      <c r="U25" s="12">
        <v>4</v>
      </c>
      <c r="V25" s="12">
        <v>0</v>
      </c>
      <c r="W25" s="21">
        <v>1</v>
      </c>
      <c r="X25" s="19">
        <v>0</v>
      </c>
      <c r="Y25" s="22">
        <v>0</v>
      </c>
      <c r="Z25" s="9" t="s">
        <v>3</v>
      </c>
      <c r="AA25" s="23" t="s">
        <v>215</v>
      </c>
      <c r="AC25" s="4">
        <v>30.19</v>
      </c>
      <c r="AD25" s="3">
        <v>45894</v>
      </c>
    </row>
    <row r="26" spans="1:30">
      <c r="A26" s="2" t="s">
        <v>249</v>
      </c>
      <c r="B26" s="9">
        <v>60</v>
      </c>
      <c r="C26" s="2" t="s">
        <v>181</v>
      </c>
      <c r="D26" s="2" t="s">
        <v>154</v>
      </c>
      <c r="E26" s="14">
        <v>45889</v>
      </c>
      <c r="F26" s="9" t="s">
        <v>155</v>
      </c>
      <c r="G26" s="9" t="s">
        <v>156</v>
      </c>
      <c r="H26" s="2" t="s">
        <v>218</v>
      </c>
      <c r="I26" s="2" t="s">
        <v>219</v>
      </c>
      <c r="J26" s="2">
        <v>10052076</v>
      </c>
      <c r="K26" s="2" t="s">
        <v>250</v>
      </c>
      <c r="L26" s="21">
        <v>60</v>
      </c>
      <c r="M26" s="21">
        <v>0</v>
      </c>
      <c r="N26" s="21">
        <v>0</v>
      </c>
      <c r="O26" s="21">
        <v>0</v>
      </c>
      <c r="R26" s="19">
        <v>0</v>
      </c>
      <c r="S26" s="12">
        <v>0</v>
      </c>
      <c r="T26" s="20">
        <v>0</v>
      </c>
      <c r="U26" s="12">
        <v>300</v>
      </c>
      <c r="V26" s="12">
        <v>0</v>
      </c>
      <c r="W26" s="21">
        <v>60</v>
      </c>
      <c r="X26" s="19">
        <v>0</v>
      </c>
      <c r="Y26" s="22">
        <v>0</v>
      </c>
      <c r="Z26" s="9" t="s">
        <v>3</v>
      </c>
      <c r="AA26" s="23" t="s">
        <v>221</v>
      </c>
      <c r="AC26" s="4">
        <v>1823.4</v>
      </c>
      <c r="AD26" s="3">
        <v>45890</v>
      </c>
    </row>
    <row r="27" spans="1:30">
      <c r="A27" s="2" t="s">
        <v>249</v>
      </c>
      <c r="B27" s="9">
        <v>70</v>
      </c>
      <c r="C27" s="2" t="s">
        <v>181</v>
      </c>
      <c r="D27" s="2" t="s">
        <v>154</v>
      </c>
      <c r="E27" s="14">
        <v>45889</v>
      </c>
      <c r="F27" s="9" t="s">
        <v>155</v>
      </c>
      <c r="G27" s="9" t="s">
        <v>156</v>
      </c>
      <c r="H27" s="2" t="s">
        <v>218</v>
      </c>
      <c r="I27" s="2" t="s">
        <v>219</v>
      </c>
      <c r="J27" s="2">
        <v>10023483</v>
      </c>
      <c r="K27" s="2" t="s">
        <v>251</v>
      </c>
      <c r="L27" s="21">
        <v>20</v>
      </c>
      <c r="M27" s="21">
        <v>0</v>
      </c>
      <c r="N27" s="21">
        <v>0</v>
      </c>
      <c r="O27" s="21">
        <v>0</v>
      </c>
      <c r="R27" s="19">
        <v>0</v>
      </c>
      <c r="S27" s="12">
        <v>0</v>
      </c>
      <c r="T27" s="20">
        <v>0</v>
      </c>
      <c r="U27" s="12">
        <v>160</v>
      </c>
      <c r="V27" s="12">
        <v>0</v>
      </c>
      <c r="W27" s="21">
        <v>20</v>
      </c>
      <c r="X27" s="19">
        <v>0</v>
      </c>
      <c r="Y27" s="22">
        <v>0</v>
      </c>
      <c r="Z27" s="9" t="s">
        <v>3</v>
      </c>
      <c r="AA27" s="23" t="s">
        <v>221</v>
      </c>
      <c r="AC27" s="4">
        <v>1199.4000000000001</v>
      </c>
      <c r="AD27" s="3">
        <v>45890</v>
      </c>
    </row>
    <row r="28" spans="1:30">
      <c r="A28" s="2" t="s">
        <v>249</v>
      </c>
      <c r="B28" s="9">
        <v>90</v>
      </c>
      <c r="C28" s="2" t="s">
        <v>181</v>
      </c>
      <c r="D28" s="2" t="s">
        <v>154</v>
      </c>
      <c r="E28" s="14">
        <v>45889</v>
      </c>
      <c r="F28" s="9" t="s">
        <v>155</v>
      </c>
      <c r="G28" s="9" t="s">
        <v>156</v>
      </c>
      <c r="H28" s="2" t="s">
        <v>218</v>
      </c>
      <c r="I28" s="2" t="s">
        <v>219</v>
      </c>
      <c r="J28" s="2">
        <v>10023481</v>
      </c>
      <c r="K28" s="2" t="s">
        <v>252</v>
      </c>
      <c r="L28" s="21">
        <v>11</v>
      </c>
      <c r="M28" s="21">
        <v>0</v>
      </c>
      <c r="N28" s="21">
        <v>0</v>
      </c>
      <c r="O28" s="21">
        <v>0</v>
      </c>
      <c r="R28" s="19">
        <v>0</v>
      </c>
      <c r="S28" s="12">
        <v>0</v>
      </c>
      <c r="T28" s="20">
        <v>0</v>
      </c>
      <c r="U28" s="12">
        <v>88</v>
      </c>
      <c r="V28" s="12">
        <v>0</v>
      </c>
      <c r="W28" s="21">
        <v>11</v>
      </c>
      <c r="X28" s="19">
        <v>0</v>
      </c>
      <c r="Y28" s="22">
        <v>0</v>
      </c>
      <c r="Z28" s="9" t="s">
        <v>3</v>
      </c>
      <c r="AA28" s="23" t="s">
        <v>221</v>
      </c>
      <c r="AC28" s="4">
        <v>661.87</v>
      </c>
      <c r="AD28" s="3">
        <v>45890</v>
      </c>
    </row>
    <row r="29" spans="1:30">
      <c r="A29" s="2" t="s">
        <v>249</v>
      </c>
      <c r="B29" s="9">
        <v>100</v>
      </c>
      <c r="C29" s="2" t="s">
        <v>181</v>
      </c>
      <c r="D29" s="2" t="s">
        <v>154</v>
      </c>
      <c r="E29" s="14">
        <v>45889</v>
      </c>
      <c r="F29" s="9" t="s">
        <v>155</v>
      </c>
      <c r="G29" s="9" t="s">
        <v>156</v>
      </c>
      <c r="H29" s="2" t="s">
        <v>218</v>
      </c>
      <c r="I29" s="2" t="s">
        <v>219</v>
      </c>
      <c r="J29" s="2">
        <v>10020851</v>
      </c>
      <c r="K29" s="2" t="s">
        <v>253</v>
      </c>
      <c r="L29" s="21">
        <v>4</v>
      </c>
      <c r="M29" s="21">
        <v>0</v>
      </c>
      <c r="N29" s="21">
        <v>0</v>
      </c>
      <c r="O29" s="21">
        <v>0</v>
      </c>
      <c r="R29" s="19">
        <v>0</v>
      </c>
      <c r="S29" s="12">
        <v>0</v>
      </c>
      <c r="T29" s="20">
        <v>0</v>
      </c>
      <c r="U29" s="12">
        <v>32</v>
      </c>
      <c r="V29" s="12">
        <v>0</v>
      </c>
      <c r="W29" s="21">
        <v>4</v>
      </c>
      <c r="X29" s="19">
        <v>0</v>
      </c>
      <c r="Y29" s="22">
        <v>0</v>
      </c>
      <c r="Z29" s="9" t="s">
        <v>3</v>
      </c>
      <c r="AA29" s="23" t="s">
        <v>221</v>
      </c>
      <c r="AC29" s="4">
        <v>133</v>
      </c>
      <c r="AD29" s="3">
        <v>45890</v>
      </c>
    </row>
    <row r="30" spans="1:30">
      <c r="A30" s="2" t="s">
        <v>254</v>
      </c>
      <c r="B30" s="9">
        <v>70</v>
      </c>
      <c r="C30" s="2" t="s">
        <v>175</v>
      </c>
      <c r="D30" s="2" t="s">
        <v>154</v>
      </c>
      <c r="E30" s="14">
        <v>45889</v>
      </c>
      <c r="F30" s="9" t="s">
        <v>155</v>
      </c>
      <c r="G30" s="9" t="s">
        <v>156</v>
      </c>
      <c r="H30" s="2" t="s">
        <v>224</v>
      </c>
      <c r="I30" s="2" t="s">
        <v>225</v>
      </c>
      <c r="J30" s="2">
        <v>10050486</v>
      </c>
      <c r="K30" s="2" t="s">
        <v>255</v>
      </c>
      <c r="L30" s="21">
        <v>13</v>
      </c>
      <c r="M30" s="21">
        <v>0</v>
      </c>
      <c r="N30" s="21">
        <v>0</v>
      </c>
      <c r="O30" s="21">
        <v>0</v>
      </c>
      <c r="R30" s="19">
        <v>0</v>
      </c>
      <c r="S30" s="12">
        <v>0</v>
      </c>
      <c r="T30" s="20">
        <v>0</v>
      </c>
      <c r="U30" s="12">
        <v>78</v>
      </c>
      <c r="V30" s="12">
        <v>0</v>
      </c>
      <c r="W30" s="21">
        <v>13</v>
      </c>
      <c r="X30" s="19">
        <v>0</v>
      </c>
      <c r="Y30" s="22">
        <v>0</v>
      </c>
      <c r="Z30" s="9" t="s">
        <v>6</v>
      </c>
      <c r="AA30" s="23" t="s">
        <v>227</v>
      </c>
      <c r="AC30" s="4">
        <v>198.9</v>
      </c>
      <c r="AD30" s="3">
        <v>45891</v>
      </c>
    </row>
    <row r="31" spans="1:30">
      <c r="A31" s="2" t="s">
        <v>256</v>
      </c>
      <c r="B31" s="9">
        <v>20</v>
      </c>
      <c r="C31" s="2" t="s">
        <v>153</v>
      </c>
      <c r="D31" s="2" t="s">
        <v>154</v>
      </c>
      <c r="E31" s="14">
        <v>45908</v>
      </c>
      <c r="F31" s="9" t="s">
        <v>155</v>
      </c>
      <c r="G31" s="9" t="s">
        <v>156</v>
      </c>
      <c r="H31" s="2" t="s">
        <v>240</v>
      </c>
      <c r="I31" s="2" t="s">
        <v>241</v>
      </c>
      <c r="J31" s="2">
        <v>10019780</v>
      </c>
      <c r="K31" s="2" t="s">
        <v>220</v>
      </c>
      <c r="L31" s="21">
        <v>20</v>
      </c>
      <c r="M31" s="21">
        <v>0</v>
      </c>
      <c r="N31" s="21">
        <v>0</v>
      </c>
      <c r="O31" s="21">
        <v>0</v>
      </c>
      <c r="R31" s="19">
        <v>0</v>
      </c>
      <c r="S31" s="12">
        <v>0</v>
      </c>
      <c r="T31" s="20">
        <v>0</v>
      </c>
      <c r="U31" s="12">
        <v>760</v>
      </c>
      <c r="V31" s="12">
        <v>0</v>
      </c>
      <c r="W31" s="21">
        <v>20</v>
      </c>
      <c r="X31" s="19">
        <v>40</v>
      </c>
      <c r="Y31" s="22">
        <v>0</v>
      </c>
      <c r="Z31" s="9" t="s">
        <v>3</v>
      </c>
      <c r="AA31" s="23" t="s">
        <v>242</v>
      </c>
      <c r="AC31" s="4">
        <v>1038</v>
      </c>
      <c r="AD31" s="3">
        <v>45910</v>
      </c>
    </row>
    <row r="32" spans="1:30">
      <c r="A32" s="2" t="s">
        <v>257</v>
      </c>
      <c r="B32" s="9">
        <v>150</v>
      </c>
      <c r="C32" s="2" t="s">
        <v>181</v>
      </c>
      <c r="D32" s="2" t="s">
        <v>154</v>
      </c>
      <c r="E32" s="14">
        <v>45909</v>
      </c>
      <c r="F32" s="9" t="s">
        <v>155</v>
      </c>
      <c r="G32" s="9" t="s">
        <v>156</v>
      </c>
      <c r="H32" s="2" t="s">
        <v>235</v>
      </c>
      <c r="I32" s="2" t="s">
        <v>236</v>
      </c>
      <c r="J32" s="2">
        <v>10017114</v>
      </c>
      <c r="K32" s="2" t="s">
        <v>258</v>
      </c>
      <c r="L32" s="21">
        <v>22</v>
      </c>
      <c r="M32" s="21">
        <v>0</v>
      </c>
      <c r="N32" s="21">
        <v>0</v>
      </c>
      <c r="O32" s="21">
        <v>0</v>
      </c>
      <c r="R32" s="19">
        <v>0</v>
      </c>
      <c r="S32" s="12">
        <v>0</v>
      </c>
      <c r="T32" s="20">
        <v>0</v>
      </c>
      <c r="U32" s="12">
        <v>55</v>
      </c>
      <c r="V32" s="12">
        <v>0</v>
      </c>
      <c r="W32" s="21">
        <v>22</v>
      </c>
      <c r="X32" s="19">
        <v>0</v>
      </c>
      <c r="Y32" s="22">
        <v>0</v>
      </c>
      <c r="Z32" s="9" t="s">
        <v>6</v>
      </c>
      <c r="AA32" s="23" t="s">
        <v>238</v>
      </c>
      <c r="AC32" s="4">
        <v>743.38</v>
      </c>
      <c r="AD32" s="3">
        <v>45912</v>
      </c>
    </row>
    <row r="33" spans="1:30">
      <c r="A33" s="2" t="s">
        <v>259</v>
      </c>
      <c r="B33" s="9">
        <v>20</v>
      </c>
      <c r="C33" s="2" t="s">
        <v>192</v>
      </c>
      <c r="D33" s="2" t="s">
        <v>154</v>
      </c>
      <c r="E33" s="14">
        <v>45910</v>
      </c>
      <c r="F33" s="9" t="s">
        <v>155</v>
      </c>
      <c r="G33" s="9" t="s">
        <v>156</v>
      </c>
      <c r="H33" s="2" t="s">
        <v>198</v>
      </c>
      <c r="I33" s="2" t="s">
        <v>199</v>
      </c>
      <c r="J33" s="2">
        <v>10016081</v>
      </c>
      <c r="K33" s="2" t="s">
        <v>210</v>
      </c>
      <c r="L33" s="21">
        <v>21</v>
      </c>
      <c r="M33" s="21">
        <v>0</v>
      </c>
      <c r="N33" s="21">
        <v>0</v>
      </c>
      <c r="O33" s="21">
        <v>0</v>
      </c>
      <c r="R33" s="19">
        <v>0</v>
      </c>
      <c r="S33" s="12">
        <v>0</v>
      </c>
      <c r="T33" s="20">
        <v>0</v>
      </c>
      <c r="U33" s="12">
        <v>1554</v>
      </c>
      <c r="V33" s="12">
        <v>0</v>
      </c>
      <c r="W33" s="21">
        <v>21</v>
      </c>
      <c r="X33" s="19">
        <v>84</v>
      </c>
      <c r="Y33" s="22">
        <v>0</v>
      </c>
      <c r="Z33" s="9" t="s">
        <v>3</v>
      </c>
      <c r="AA33" s="23" t="s">
        <v>200</v>
      </c>
      <c r="AC33" s="4">
        <v>2033.64</v>
      </c>
      <c r="AD33" s="3">
        <v>45915</v>
      </c>
    </row>
    <row r="34" spans="1:30">
      <c r="A34" s="2" t="s">
        <v>260</v>
      </c>
      <c r="B34" s="9">
        <v>50</v>
      </c>
      <c r="C34" s="2" t="s">
        <v>175</v>
      </c>
      <c r="D34" s="2" t="s">
        <v>154</v>
      </c>
      <c r="E34" s="14">
        <v>45912</v>
      </c>
      <c r="F34" s="9" t="s">
        <v>155</v>
      </c>
      <c r="G34" s="9" t="s">
        <v>156</v>
      </c>
      <c r="H34" s="2" t="s">
        <v>224</v>
      </c>
      <c r="I34" s="2" t="s">
        <v>225</v>
      </c>
      <c r="J34" s="2">
        <v>10003061</v>
      </c>
      <c r="K34" s="2" t="s">
        <v>261</v>
      </c>
      <c r="L34" s="21">
        <v>14</v>
      </c>
      <c r="M34" s="21">
        <v>0</v>
      </c>
      <c r="N34" s="21">
        <v>0</v>
      </c>
      <c r="O34" s="21">
        <v>0</v>
      </c>
      <c r="R34" s="19">
        <v>0</v>
      </c>
      <c r="S34" s="12">
        <v>0</v>
      </c>
      <c r="T34" s="20">
        <v>0</v>
      </c>
      <c r="U34" s="12">
        <v>70</v>
      </c>
      <c r="V34" s="12">
        <v>0</v>
      </c>
      <c r="W34" s="21">
        <v>14</v>
      </c>
      <c r="X34" s="19">
        <v>0</v>
      </c>
      <c r="Y34" s="22">
        <v>0</v>
      </c>
      <c r="Z34" s="9" t="s">
        <v>6</v>
      </c>
      <c r="AA34" s="23" t="s">
        <v>227</v>
      </c>
      <c r="AC34" s="4">
        <v>290.92</v>
      </c>
      <c r="AD34" s="3">
        <v>45916</v>
      </c>
    </row>
    <row r="35" spans="1:30">
      <c r="A35" s="2" t="s">
        <v>262</v>
      </c>
      <c r="B35" s="9">
        <v>120</v>
      </c>
      <c r="C35" s="2" t="s">
        <v>175</v>
      </c>
      <c r="D35" s="2" t="s">
        <v>154</v>
      </c>
      <c r="E35" s="14">
        <v>45915</v>
      </c>
      <c r="F35" s="9" t="s">
        <v>155</v>
      </c>
      <c r="G35" s="9" t="s">
        <v>156</v>
      </c>
      <c r="H35" s="2" t="s">
        <v>224</v>
      </c>
      <c r="I35" s="2" t="s">
        <v>225</v>
      </c>
      <c r="J35" s="2">
        <v>10023483</v>
      </c>
      <c r="K35" s="2" t="s">
        <v>251</v>
      </c>
      <c r="L35" s="21">
        <v>2</v>
      </c>
      <c r="M35" s="21">
        <v>0</v>
      </c>
      <c r="N35" s="21">
        <v>0</v>
      </c>
      <c r="O35" s="21">
        <v>0</v>
      </c>
      <c r="R35" s="19">
        <v>0</v>
      </c>
      <c r="S35" s="12">
        <v>0</v>
      </c>
      <c r="T35" s="20">
        <v>0</v>
      </c>
      <c r="U35" s="12">
        <v>6</v>
      </c>
      <c r="V35" s="12">
        <v>0</v>
      </c>
      <c r="W35" s="21">
        <v>2</v>
      </c>
      <c r="X35" s="19">
        <v>0</v>
      </c>
      <c r="Y35" s="22">
        <v>0</v>
      </c>
      <c r="Z35" s="9" t="s">
        <v>6</v>
      </c>
      <c r="AA35" s="23" t="s">
        <v>227</v>
      </c>
      <c r="AC35" s="4">
        <v>118.4</v>
      </c>
      <c r="AD35" s="3">
        <v>45916</v>
      </c>
    </row>
    <row r="36" spans="1:30">
      <c r="A36" s="2" t="s">
        <v>263</v>
      </c>
      <c r="B36" s="9">
        <v>130</v>
      </c>
      <c r="C36" s="2" t="s">
        <v>181</v>
      </c>
      <c r="D36" s="2" t="s">
        <v>154</v>
      </c>
      <c r="E36" s="14">
        <v>45922</v>
      </c>
      <c r="F36" s="9" t="s">
        <v>155</v>
      </c>
      <c r="G36" s="9" t="s">
        <v>156</v>
      </c>
      <c r="H36" s="2" t="s">
        <v>218</v>
      </c>
      <c r="I36" s="2" t="s">
        <v>219</v>
      </c>
      <c r="J36" s="2">
        <v>10038139</v>
      </c>
      <c r="K36" s="2" t="s">
        <v>264</v>
      </c>
      <c r="L36" s="21">
        <v>18</v>
      </c>
      <c r="M36" s="21">
        <v>0</v>
      </c>
      <c r="N36" s="21">
        <v>0</v>
      </c>
      <c r="O36" s="21">
        <v>0</v>
      </c>
      <c r="R36" s="19">
        <v>0</v>
      </c>
      <c r="S36" s="12">
        <v>0</v>
      </c>
      <c r="T36" s="20">
        <v>0</v>
      </c>
      <c r="U36" s="12">
        <v>54</v>
      </c>
      <c r="V36" s="12">
        <v>0</v>
      </c>
      <c r="W36" s="21">
        <v>18</v>
      </c>
      <c r="X36" s="19">
        <v>0</v>
      </c>
      <c r="Y36" s="22">
        <v>0</v>
      </c>
      <c r="Z36" s="9" t="s">
        <v>3</v>
      </c>
      <c r="AA36" s="23" t="s">
        <v>221</v>
      </c>
      <c r="AC36" s="4">
        <v>483.48</v>
      </c>
      <c r="AD36" s="3">
        <v>45924</v>
      </c>
    </row>
    <row r="37" spans="1:30">
      <c r="A37" s="2" t="s">
        <v>265</v>
      </c>
      <c r="B37" s="9">
        <v>10</v>
      </c>
      <c r="C37" s="2" t="s">
        <v>175</v>
      </c>
      <c r="D37" s="2" t="s">
        <v>154</v>
      </c>
      <c r="E37" s="14">
        <v>45926</v>
      </c>
      <c r="F37" s="9" t="s">
        <v>266</v>
      </c>
      <c r="G37" s="9" t="s">
        <v>156</v>
      </c>
      <c r="H37" s="2" t="s">
        <v>224</v>
      </c>
      <c r="I37" s="2" t="s">
        <v>225</v>
      </c>
      <c r="J37" s="2">
        <v>10050609</v>
      </c>
      <c r="K37" s="2" t="s">
        <v>267</v>
      </c>
      <c r="L37" s="21">
        <v>99</v>
      </c>
      <c r="M37" s="21">
        <v>99</v>
      </c>
      <c r="N37" s="21">
        <v>0</v>
      </c>
      <c r="O37" s="21">
        <v>0</v>
      </c>
      <c r="R37" s="19">
        <v>0</v>
      </c>
      <c r="S37" s="12">
        <v>0</v>
      </c>
      <c r="T37" s="20">
        <v>0</v>
      </c>
      <c r="U37" s="12">
        <v>198</v>
      </c>
      <c r="V37" s="12">
        <v>198</v>
      </c>
      <c r="W37" s="21">
        <v>99</v>
      </c>
      <c r="X37" s="19">
        <v>0</v>
      </c>
      <c r="Y37" s="22">
        <v>0</v>
      </c>
      <c r="Z37" s="9" t="s">
        <v>6</v>
      </c>
      <c r="AA37" s="23" t="s">
        <v>227</v>
      </c>
      <c r="AC37" s="4">
        <v>1696.86</v>
      </c>
      <c r="AD37" s="3">
        <v>45931</v>
      </c>
    </row>
    <row r="38" spans="1:30">
      <c r="A38" s="2" t="s">
        <v>268</v>
      </c>
      <c r="B38" s="9">
        <v>100</v>
      </c>
      <c r="C38" s="2" t="s">
        <v>181</v>
      </c>
      <c r="D38" s="2" t="s">
        <v>154</v>
      </c>
      <c r="E38" s="14">
        <v>45952</v>
      </c>
      <c r="F38" s="9" t="s">
        <v>155</v>
      </c>
      <c r="G38" s="9" t="s">
        <v>156</v>
      </c>
      <c r="H38" s="2" t="s">
        <v>218</v>
      </c>
      <c r="I38" s="2" t="s">
        <v>219</v>
      </c>
      <c r="J38" s="2">
        <v>10016401</v>
      </c>
      <c r="K38" s="2" t="s">
        <v>269</v>
      </c>
      <c r="L38" s="21">
        <v>48</v>
      </c>
      <c r="M38" s="21">
        <v>0</v>
      </c>
      <c r="N38" s="21">
        <v>0</v>
      </c>
      <c r="O38" s="21">
        <v>0</v>
      </c>
      <c r="R38" s="19">
        <v>0</v>
      </c>
      <c r="S38" s="12">
        <v>0</v>
      </c>
      <c r="T38" s="20">
        <v>0</v>
      </c>
      <c r="U38" s="12">
        <v>240</v>
      </c>
      <c r="V38" s="12">
        <v>0</v>
      </c>
      <c r="W38" s="21">
        <v>48</v>
      </c>
      <c r="X38" s="19">
        <v>0</v>
      </c>
      <c r="Y38" s="22">
        <v>0</v>
      </c>
      <c r="Z38" s="9" t="s">
        <v>3</v>
      </c>
      <c r="AA38" s="23" t="s">
        <v>221</v>
      </c>
      <c r="AC38" s="4">
        <v>1191.8399999999999</v>
      </c>
      <c r="AD38" s="3">
        <v>45954</v>
      </c>
    </row>
    <row r="39" spans="1:30">
      <c r="A39" s="2" t="s">
        <v>270</v>
      </c>
      <c r="B39" s="9">
        <v>450</v>
      </c>
      <c r="C39" s="2" t="s">
        <v>175</v>
      </c>
      <c r="D39" s="2" t="s">
        <v>154</v>
      </c>
      <c r="E39" s="14">
        <v>45958</v>
      </c>
      <c r="F39" s="9" t="s">
        <v>155</v>
      </c>
      <c r="G39" s="9" t="s">
        <v>156</v>
      </c>
      <c r="H39" s="2" t="s">
        <v>224</v>
      </c>
      <c r="I39" s="2" t="s">
        <v>225</v>
      </c>
      <c r="J39" s="2">
        <v>10016404</v>
      </c>
      <c r="K39" s="2" t="s">
        <v>258</v>
      </c>
      <c r="L39" s="21">
        <v>8</v>
      </c>
      <c r="M39" s="21">
        <v>0</v>
      </c>
      <c r="N39" s="21">
        <v>0</v>
      </c>
      <c r="O39" s="21">
        <v>0</v>
      </c>
      <c r="R39" s="19">
        <v>0</v>
      </c>
      <c r="S39" s="12">
        <v>0</v>
      </c>
      <c r="T39" s="20">
        <v>0</v>
      </c>
      <c r="U39" s="12">
        <v>40</v>
      </c>
      <c r="V39" s="12">
        <v>0</v>
      </c>
      <c r="W39" s="21">
        <v>8</v>
      </c>
      <c r="X39" s="19">
        <v>0</v>
      </c>
      <c r="Y39" s="22">
        <v>0</v>
      </c>
      <c r="Z39" s="9" t="s">
        <v>6</v>
      </c>
      <c r="AA39" s="23" t="s">
        <v>227</v>
      </c>
      <c r="AC39" s="4">
        <v>211.44</v>
      </c>
      <c r="AD39" s="3">
        <v>45961</v>
      </c>
    </row>
    <row r="40" spans="1:30">
      <c r="A40" s="2" t="s">
        <v>271</v>
      </c>
      <c r="B40" s="9">
        <v>30</v>
      </c>
      <c r="C40" s="2" t="s">
        <v>153</v>
      </c>
      <c r="D40" s="2" t="s">
        <v>154</v>
      </c>
      <c r="E40" s="14">
        <v>45967</v>
      </c>
      <c r="F40" s="9" t="s">
        <v>155</v>
      </c>
      <c r="G40" s="9" t="s">
        <v>156</v>
      </c>
      <c r="H40" s="2" t="s">
        <v>272</v>
      </c>
      <c r="I40" s="2" t="s">
        <v>273</v>
      </c>
      <c r="J40" s="2">
        <v>10061010</v>
      </c>
      <c r="K40" s="2" t="s">
        <v>208</v>
      </c>
      <c r="L40" s="21">
        <v>2</v>
      </c>
      <c r="M40" s="21">
        <v>0</v>
      </c>
      <c r="N40" s="21">
        <v>0</v>
      </c>
      <c r="O40" s="21">
        <v>0</v>
      </c>
      <c r="R40" s="19">
        <v>0</v>
      </c>
      <c r="S40" s="12">
        <v>0</v>
      </c>
      <c r="T40" s="20">
        <v>0</v>
      </c>
      <c r="U40" s="12">
        <v>24.78</v>
      </c>
      <c r="V40" s="12">
        <v>0</v>
      </c>
      <c r="W40" s="21">
        <v>2</v>
      </c>
      <c r="X40" s="19">
        <v>0</v>
      </c>
      <c r="Y40" s="22">
        <v>0</v>
      </c>
      <c r="Z40" s="9" t="s">
        <v>3</v>
      </c>
      <c r="AA40" s="23" t="s">
        <v>274</v>
      </c>
      <c r="AC40" s="4">
        <v>99.14</v>
      </c>
      <c r="AD40" s="3">
        <v>45968</v>
      </c>
    </row>
    <row r="41" spans="1:30">
      <c r="A41" s="2" t="s">
        <v>275</v>
      </c>
      <c r="B41" s="9">
        <v>50</v>
      </c>
      <c r="C41" s="2" t="s">
        <v>181</v>
      </c>
      <c r="D41" s="2" t="s">
        <v>154</v>
      </c>
      <c r="E41" s="14">
        <v>45968</v>
      </c>
      <c r="F41" s="9" t="s">
        <v>155</v>
      </c>
      <c r="G41" s="9" t="s">
        <v>156</v>
      </c>
      <c r="H41" s="2" t="s">
        <v>230</v>
      </c>
      <c r="I41" s="2" t="s">
        <v>231</v>
      </c>
      <c r="J41" s="2">
        <v>10061010</v>
      </c>
      <c r="K41" s="2" t="s">
        <v>208</v>
      </c>
      <c r="L41" s="21">
        <v>2</v>
      </c>
      <c r="M41" s="21">
        <v>0</v>
      </c>
      <c r="N41" s="21">
        <v>0</v>
      </c>
      <c r="O41" s="21">
        <v>0</v>
      </c>
      <c r="R41" s="19">
        <v>0</v>
      </c>
      <c r="S41" s="12">
        <v>0</v>
      </c>
      <c r="T41" s="20">
        <v>0</v>
      </c>
      <c r="U41" s="12">
        <v>24.78</v>
      </c>
      <c r="V41" s="12">
        <v>0</v>
      </c>
      <c r="W41" s="21">
        <v>2</v>
      </c>
      <c r="X41" s="19">
        <v>0</v>
      </c>
      <c r="Y41" s="22">
        <v>0</v>
      </c>
      <c r="Z41" s="9" t="s">
        <v>3</v>
      </c>
      <c r="AA41" s="23" t="s">
        <v>233</v>
      </c>
      <c r="AC41" s="4">
        <v>99.14</v>
      </c>
      <c r="AD41" s="3">
        <v>45972</v>
      </c>
    </row>
    <row r="42" spans="1:30">
      <c r="A42" s="2" t="s">
        <v>276</v>
      </c>
      <c r="B42" s="9">
        <v>50</v>
      </c>
      <c r="C42" s="2" t="s">
        <v>187</v>
      </c>
      <c r="D42" s="2" t="s">
        <v>154</v>
      </c>
      <c r="E42" s="14">
        <v>45975</v>
      </c>
      <c r="F42" s="9" t="s">
        <v>155</v>
      </c>
      <c r="G42" s="9" t="s">
        <v>156</v>
      </c>
      <c r="H42" s="2" t="s">
        <v>188</v>
      </c>
      <c r="I42" s="2" t="s">
        <v>189</v>
      </c>
      <c r="J42" s="2">
        <v>10013105</v>
      </c>
      <c r="K42" s="2" t="s">
        <v>277</v>
      </c>
      <c r="L42" s="21">
        <v>9</v>
      </c>
      <c r="M42" s="21">
        <v>0</v>
      </c>
      <c r="N42" s="21">
        <v>0</v>
      </c>
      <c r="O42" s="21">
        <v>0</v>
      </c>
      <c r="R42" s="19">
        <v>0</v>
      </c>
      <c r="S42" s="12">
        <v>0</v>
      </c>
      <c r="T42" s="20">
        <v>0</v>
      </c>
      <c r="U42" s="12">
        <v>972</v>
      </c>
      <c r="V42" s="12">
        <v>0</v>
      </c>
      <c r="W42" s="21">
        <v>9</v>
      </c>
      <c r="X42" s="19">
        <v>54</v>
      </c>
      <c r="Y42" s="22">
        <v>0</v>
      </c>
      <c r="Z42" s="9" t="s">
        <v>4</v>
      </c>
      <c r="AA42" s="23" t="s">
        <v>190</v>
      </c>
      <c r="AC42" s="4">
        <v>1062.18</v>
      </c>
      <c r="AD42" s="3">
        <v>45979</v>
      </c>
    </row>
    <row r="43" spans="1:30">
      <c r="A43" s="2" t="s">
        <v>276</v>
      </c>
      <c r="B43" s="9">
        <v>60</v>
      </c>
      <c r="C43" s="2" t="s">
        <v>187</v>
      </c>
      <c r="D43" s="2" t="s">
        <v>154</v>
      </c>
      <c r="E43" s="14">
        <v>45975</v>
      </c>
      <c r="F43" s="9" t="s">
        <v>155</v>
      </c>
      <c r="G43" s="9" t="s">
        <v>156</v>
      </c>
      <c r="H43" s="2" t="s">
        <v>188</v>
      </c>
      <c r="I43" s="2" t="s">
        <v>189</v>
      </c>
      <c r="J43" s="2">
        <v>10013039</v>
      </c>
      <c r="K43" s="2" t="s">
        <v>278</v>
      </c>
      <c r="L43" s="21">
        <v>4</v>
      </c>
      <c r="M43" s="21">
        <v>0</v>
      </c>
      <c r="N43" s="21">
        <v>0</v>
      </c>
      <c r="O43" s="21">
        <v>0</v>
      </c>
      <c r="R43" s="19">
        <v>0</v>
      </c>
      <c r="S43" s="12">
        <v>0</v>
      </c>
      <c r="T43" s="20">
        <v>0</v>
      </c>
      <c r="U43" s="12">
        <v>192</v>
      </c>
      <c r="V43" s="12">
        <v>0</v>
      </c>
      <c r="W43" s="21">
        <v>4</v>
      </c>
      <c r="X43" s="19">
        <v>16</v>
      </c>
      <c r="Y43" s="22">
        <v>0</v>
      </c>
      <c r="Z43" s="9" t="s">
        <v>4</v>
      </c>
      <c r="AA43" s="23" t="s">
        <v>190</v>
      </c>
      <c r="AC43" s="4">
        <v>363.84</v>
      </c>
      <c r="AD43" s="3">
        <v>45979</v>
      </c>
    </row>
    <row r="44" spans="1:30">
      <c r="A44" s="2" t="s">
        <v>276</v>
      </c>
      <c r="B44" s="9">
        <v>110</v>
      </c>
      <c r="C44" s="2" t="s">
        <v>187</v>
      </c>
      <c r="D44" s="2" t="s">
        <v>154</v>
      </c>
      <c r="E44" s="14">
        <v>45975</v>
      </c>
      <c r="F44" s="9" t="s">
        <v>155</v>
      </c>
      <c r="G44" s="9" t="s">
        <v>156</v>
      </c>
      <c r="H44" s="2" t="s">
        <v>188</v>
      </c>
      <c r="I44" s="2" t="s">
        <v>189</v>
      </c>
      <c r="J44" s="2">
        <v>10016204</v>
      </c>
      <c r="K44" s="2" t="s">
        <v>279</v>
      </c>
      <c r="L44" s="21">
        <v>137</v>
      </c>
      <c r="M44" s="21">
        <v>0</v>
      </c>
      <c r="N44" s="21">
        <v>0</v>
      </c>
      <c r="O44" s="21">
        <v>0</v>
      </c>
      <c r="R44" s="19">
        <v>0</v>
      </c>
      <c r="S44" s="12">
        <v>0</v>
      </c>
      <c r="T44" s="20">
        <v>0</v>
      </c>
      <c r="U44" s="12">
        <v>1644</v>
      </c>
      <c r="V44" s="12">
        <v>0</v>
      </c>
      <c r="W44" s="21">
        <v>137</v>
      </c>
      <c r="X44" s="19">
        <v>0</v>
      </c>
      <c r="Y44" s="22">
        <v>0</v>
      </c>
      <c r="Z44" s="9" t="s">
        <v>4</v>
      </c>
      <c r="AA44" s="23" t="s">
        <v>190</v>
      </c>
      <c r="AC44" s="4">
        <v>6011.56</v>
      </c>
      <c r="AD44" s="3">
        <v>45979</v>
      </c>
    </row>
    <row r="45" spans="1:30">
      <c r="A45" s="2" t="s">
        <v>280</v>
      </c>
      <c r="B45" s="9">
        <v>90</v>
      </c>
      <c r="C45" s="2" t="s">
        <v>153</v>
      </c>
      <c r="D45" s="2" t="s">
        <v>154</v>
      </c>
      <c r="E45" s="14">
        <v>45982</v>
      </c>
      <c r="F45" s="9" t="s">
        <v>155</v>
      </c>
      <c r="G45" s="9" t="s">
        <v>156</v>
      </c>
      <c r="H45" s="2" t="s">
        <v>272</v>
      </c>
      <c r="I45" s="2" t="s">
        <v>273</v>
      </c>
      <c r="J45" s="2">
        <v>10016204</v>
      </c>
      <c r="K45" s="2" t="s">
        <v>279</v>
      </c>
      <c r="L45" s="21">
        <v>1</v>
      </c>
      <c r="M45" s="21">
        <v>0</v>
      </c>
      <c r="N45" s="21">
        <v>0</v>
      </c>
      <c r="O45" s="21">
        <v>0</v>
      </c>
      <c r="R45" s="19">
        <v>0</v>
      </c>
      <c r="S45" s="12">
        <v>0</v>
      </c>
      <c r="T45" s="20">
        <v>0</v>
      </c>
      <c r="U45" s="12">
        <v>20.94</v>
      </c>
      <c r="V45" s="12">
        <v>0</v>
      </c>
      <c r="W45" s="21">
        <v>1</v>
      </c>
      <c r="X45" s="19">
        <v>0</v>
      </c>
      <c r="Y45" s="22">
        <v>0</v>
      </c>
      <c r="Z45" s="9" t="s">
        <v>3</v>
      </c>
      <c r="AA45" s="23" t="s">
        <v>274</v>
      </c>
      <c r="AC45" s="4">
        <v>44.13</v>
      </c>
      <c r="AD45" s="3">
        <v>45985</v>
      </c>
    </row>
    <row r="46" spans="1:30">
      <c r="A46" s="2" t="s">
        <v>281</v>
      </c>
      <c r="B46" s="9">
        <v>40</v>
      </c>
      <c r="C46" s="2" t="s">
        <v>181</v>
      </c>
      <c r="D46" s="2" t="s">
        <v>154</v>
      </c>
      <c r="E46" s="14">
        <v>45986</v>
      </c>
      <c r="F46" s="9" t="s">
        <v>155</v>
      </c>
      <c r="G46" s="9" t="s">
        <v>156</v>
      </c>
      <c r="H46" s="2" t="s">
        <v>282</v>
      </c>
      <c r="I46" s="2" t="s">
        <v>283</v>
      </c>
      <c r="J46" s="2">
        <v>10019648</v>
      </c>
      <c r="K46" s="2" t="s">
        <v>284</v>
      </c>
      <c r="L46" s="21">
        <v>2</v>
      </c>
      <c r="M46" s="21">
        <v>0</v>
      </c>
      <c r="N46" s="21">
        <v>0</v>
      </c>
      <c r="O46" s="21">
        <v>0</v>
      </c>
      <c r="R46" s="19">
        <v>0</v>
      </c>
      <c r="S46" s="12">
        <v>0</v>
      </c>
      <c r="T46" s="20">
        <v>0</v>
      </c>
      <c r="U46" s="12">
        <v>8</v>
      </c>
      <c r="V46" s="12">
        <v>0</v>
      </c>
      <c r="W46" s="21">
        <v>2</v>
      </c>
      <c r="X46" s="19">
        <v>0</v>
      </c>
      <c r="Y46" s="22">
        <v>0</v>
      </c>
      <c r="Z46" s="9" t="s">
        <v>3</v>
      </c>
      <c r="AA46" s="23" t="s">
        <v>285</v>
      </c>
      <c r="AC46" s="4">
        <v>79.16</v>
      </c>
      <c r="AD46" s="3">
        <v>45989</v>
      </c>
    </row>
    <row r="47" spans="1:30">
      <c r="A47" s="2" t="s">
        <v>286</v>
      </c>
      <c r="B47" s="9">
        <v>20</v>
      </c>
      <c r="C47" s="2" t="s">
        <v>192</v>
      </c>
      <c r="D47" s="2" t="s">
        <v>154</v>
      </c>
      <c r="E47" s="14">
        <v>45986</v>
      </c>
      <c r="F47" s="9" t="s">
        <v>155</v>
      </c>
      <c r="G47" s="9" t="s">
        <v>156</v>
      </c>
      <c r="H47" s="2" t="s">
        <v>287</v>
      </c>
      <c r="I47" s="2" t="s">
        <v>288</v>
      </c>
      <c r="J47" s="2">
        <v>10010755</v>
      </c>
      <c r="K47" s="2" t="s">
        <v>289</v>
      </c>
      <c r="L47" s="21">
        <v>5</v>
      </c>
      <c r="M47" s="21">
        <v>0</v>
      </c>
      <c r="N47" s="21">
        <v>0</v>
      </c>
      <c r="O47" s="21">
        <v>0</v>
      </c>
      <c r="R47" s="19">
        <v>0</v>
      </c>
      <c r="S47" s="12">
        <v>0</v>
      </c>
      <c r="T47" s="20">
        <v>0</v>
      </c>
      <c r="U47" s="12">
        <v>220.56</v>
      </c>
      <c r="V47" s="12">
        <v>0</v>
      </c>
      <c r="W47" s="21">
        <v>5</v>
      </c>
      <c r="X47" s="19">
        <v>24</v>
      </c>
      <c r="Y47" s="22">
        <v>0</v>
      </c>
      <c r="Z47" s="9" t="s">
        <v>3</v>
      </c>
      <c r="AA47" s="23" t="s">
        <v>290</v>
      </c>
      <c r="AC47" s="4">
        <v>464.4</v>
      </c>
      <c r="AD47" s="3">
        <v>45993</v>
      </c>
    </row>
    <row r="48" spans="1:30">
      <c r="A48" s="2" t="s">
        <v>291</v>
      </c>
      <c r="B48" s="9">
        <v>60</v>
      </c>
      <c r="C48" s="2" t="s">
        <v>181</v>
      </c>
      <c r="D48" s="2" t="s">
        <v>154</v>
      </c>
      <c r="E48" s="14">
        <v>45987</v>
      </c>
      <c r="F48" s="9" t="s">
        <v>155</v>
      </c>
      <c r="G48" s="9" t="s">
        <v>156</v>
      </c>
      <c r="H48" s="2" t="s">
        <v>218</v>
      </c>
      <c r="I48" s="2" t="s">
        <v>219</v>
      </c>
      <c r="J48" s="2">
        <v>10016204</v>
      </c>
      <c r="K48" s="2" t="s">
        <v>279</v>
      </c>
      <c r="L48" s="21">
        <v>1</v>
      </c>
      <c r="M48" s="21">
        <v>0</v>
      </c>
      <c r="N48" s="21">
        <v>0</v>
      </c>
      <c r="O48" s="21">
        <v>0</v>
      </c>
      <c r="R48" s="19">
        <v>0</v>
      </c>
      <c r="S48" s="12">
        <v>0</v>
      </c>
      <c r="T48" s="20">
        <v>0</v>
      </c>
      <c r="U48" s="12">
        <v>14</v>
      </c>
      <c r="V48" s="12">
        <v>0</v>
      </c>
      <c r="W48" s="21">
        <v>1</v>
      </c>
      <c r="X48" s="19">
        <v>0</v>
      </c>
      <c r="Y48" s="22">
        <v>0</v>
      </c>
      <c r="Z48" s="9" t="s">
        <v>3</v>
      </c>
      <c r="AA48" s="23" t="s">
        <v>221</v>
      </c>
      <c r="AC48" s="4">
        <v>44.13</v>
      </c>
      <c r="AD48" s="3">
        <v>45989</v>
      </c>
    </row>
    <row r="49" spans="1:30">
      <c r="A49" s="2" t="s">
        <v>292</v>
      </c>
      <c r="B49" s="9">
        <v>40</v>
      </c>
      <c r="C49" s="2" t="s">
        <v>175</v>
      </c>
      <c r="D49" s="2" t="s">
        <v>154</v>
      </c>
      <c r="E49" s="14">
        <v>45987</v>
      </c>
      <c r="F49" s="9" t="s">
        <v>155</v>
      </c>
      <c r="G49" s="9" t="s">
        <v>156</v>
      </c>
      <c r="H49" s="2" t="s">
        <v>293</v>
      </c>
      <c r="I49" s="2" t="s">
        <v>294</v>
      </c>
      <c r="J49" s="2">
        <v>10019706</v>
      </c>
      <c r="K49" s="2" t="s">
        <v>295</v>
      </c>
      <c r="L49" s="21">
        <v>2</v>
      </c>
      <c r="M49" s="21">
        <v>0</v>
      </c>
      <c r="N49" s="21">
        <v>0</v>
      </c>
      <c r="O49" s="21">
        <v>0</v>
      </c>
      <c r="R49" s="19">
        <v>0</v>
      </c>
      <c r="S49" s="12">
        <v>0</v>
      </c>
      <c r="T49" s="20">
        <v>0</v>
      </c>
      <c r="U49" s="12">
        <v>144.85</v>
      </c>
      <c r="V49" s="12">
        <v>0</v>
      </c>
      <c r="W49" s="21">
        <v>2</v>
      </c>
      <c r="X49" s="19">
        <v>5</v>
      </c>
      <c r="Y49" s="22">
        <v>0</v>
      </c>
      <c r="Z49" s="9" t="s">
        <v>6</v>
      </c>
      <c r="AA49" s="23" t="s">
        <v>296</v>
      </c>
      <c r="AC49" s="4">
        <v>149.35</v>
      </c>
      <c r="AD49" s="3">
        <v>46001</v>
      </c>
    </row>
    <row r="50" spans="1:30">
      <c r="A50" s="2" t="s">
        <v>297</v>
      </c>
      <c r="B50" s="9">
        <v>20</v>
      </c>
      <c r="C50" s="2" t="s">
        <v>187</v>
      </c>
      <c r="D50" s="2" t="s">
        <v>154</v>
      </c>
      <c r="E50" s="14">
        <v>46003</v>
      </c>
      <c r="F50" s="9" t="s">
        <v>155</v>
      </c>
      <c r="G50" s="9" t="s">
        <v>156</v>
      </c>
      <c r="H50" s="2" t="s">
        <v>188</v>
      </c>
      <c r="I50" s="2" t="s">
        <v>189</v>
      </c>
      <c r="J50" s="2">
        <v>10018053</v>
      </c>
      <c r="K50" s="2" t="s">
        <v>195</v>
      </c>
      <c r="L50" s="21">
        <v>77</v>
      </c>
      <c r="M50" s="21">
        <v>0</v>
      </c>
      <c r="N50" s="21">
        <v>0</v>
      </c>
      <c r="O50" s="21">
        <v>0</v>
      </c>
      <c r="R50" s="19">
        <v>0</v>
      </c>
      <c r="S50" s="12">
        <v>0</v>
      </c>
      <c r="T50" s="20">
        <v>0</v>
      </c>
      <c r="U50" s="12">
        <v>2310</v>
      </c>
      <c r="V50" s="12">
        <v>0</v>
      </c>
      <c r="W50" s="21">
        <v>77</v>
      </c>
      <c r="X50" s="19">
        <v>385</v>
      </c>
      <c r="Y50" s="22">
        <v>0</v>
      </c>
      <c r="Z50" s="9" t="s">
        <v>3</v>
      </c>
      <c r="AA50" s="23" t="s">
        <v>190</v>
      </c>
      <c r="AC50" s="4">
        <v>5143.6000000000004</v>
      </c>
      <c r="AD50" s="3">
        <v>46008</v>
      </c>
    </row>
    <row r="51" spans="1:30">
      <c r="A51" s="2" t="s">
        <v>298</v>
      </c>
      <c r="B51" s="9">
        <v>30</v>
      </c>
      <c r="C51" s="2" t="s">
        <v>153</v>
      </c>
      <c r="D51" s="2" t="s">
        <v>154</v>
      </c>
      <c r="E51" s="14">
        <v>46003</v>
      </c>
      <c r="F51" s="9" t="s">
        <v>155</v>
      </c>
      <c r="G51" s="9" t="s">
        <v>156</v>
      </c>
      <c r="H51" s="2" t="s">
        <v>299</v>
      </c>
      <c r="I51" s="2" t="s">
        <v>300</v>
      </c>
      <c r="J51" s="2">
        <v>10076782</v>
      </c>
      <c r="K51" s="2" t="s">
        <v>301</v>
      </c>
      <c r="L51" s="21">
        <v>1</v>
      </c>
      <c r="M51" s="21">
        <v>0</v>
      </c>
      <c r="N51" s="21">
        <v>0</v>
      </c>
      <c r="O51" s="21">
        <v>0</v>
      </c>
      <c r="R51" s="19">
        <v>0</v>
      </c>
      <c r="S51" s="12">
        <v>0</v>
      </c>
      <c r="T51" s="20">
        <v>0</v>
      </c>
      <c r="U51" s="12">
        <v>22</v>
      </c>
      <c r="V51" s="12">
        <v>0</v>
      </c>
      <c r="W51" s="21">
        <v>1</v>
      </c>
      <c r="X51" s="19">
        <v>0</v>
      </c>
      <c r="Y51" s="22">
        <v>0</v>
      </c>
      <c r="Z51" s="9" t="s">
        <v>3</v>
      </c>
      <c r="AA51" s="23" t="s">
        <v>302</v>
      </c>
      <c r="AC51" s="4">
        <v>0</v>
      </c>
      <c r="AD51" s="3">
        <v>46009</v>
      </c>
    </row>
    <row r="52" spans="1:30">
      <c r="A52" s="2" t="s">
        <v>303</v>
      </c>
      <c r="B52" s="9">
        <v>10</v>
      </c>
      <c r="C52" s="2" t="s">
        <v>153</v>
      </c>
      <c r="D52" s="2" t="s">
        <v>154</v>
      </c>
      <c r="E52" s="14">
        <v>46008</v>
      </c>
      <c r="F52" s="9" t="s">
        <v>155</v>
      </c>
      <c r="G52" s="9" t="s">
        <v>156</v>
      </c>
      <c r="H52" s="2" t="s">
        <v>212</v>
      </c>
      <c r="I52" s="2" t="s">
        <v>213</v>
      </c>
      <c r="J52" s="2">
        <v>10100031</v>
      </c>
      <c r="K52" s="2" t="s">
        <v>304</v>
      </c>
      <c r="L52" s="21">
        <v>1</v>
      </c>
      <c r="M52" s="21">
        <v>0</v>
      </c>
      <c r="N52" s="21">
        <v>0</v>
      </c>
      <c r="O52" s="21">
        <v>0</v>
      </c>
      <c r="R52" s="19">
        <v>0</v>
      </c>
      <c r="S52" s="12">
        <v>0</v>
      </c>
      <c r="T52" s="20">
        <v>0</v>
      </c>
      <c r="U52" s="12">
        <v>8.2799999999999994</v>
      </c>
      <c r="V52" s="12">
        <v>0</v>
      </c>
      <c r="W52" s="21">
        <v>1</v>
      </c>
      <c r="X52" s="19">
        <v>0</v>
      </c>
      <c r="Y52" s="22">
        <v>0</v>
      </c>
      <c r="Z52" s="9" t="s">
        <v>3</v>
      </c>
      <c r="AA52" s="23" t="s">
        <v>215</v>
      </c>
      <c r="AC52" s="4">
        <v>33.1</v>
      </c>
      <c r="AD52" s="3">
        <v>46013</v>
      </c>
    </row>
    <row r="53" spans="1:30">
      <c r="A53" s="2" t="s">
        <v>303</v>
      </c>
      <c r="B53" s="9">
        <v>160</v>
      </c>
      <c r="C53" s="2" t="s">
        <v>153</v>
      </c>
      <c r="D53" s="2" t="s">
        <v>154</v>
      </c>
      <c r="E53" s="14">
        <v>46008</v>
      </c>
      <c r="F53" s="9" t="s">
        <v>155</v>
      </c>
      <c r="G53" s="9" t="s">
        <v>156</v>
      </c>
      <c r="H53" s="2" t="s">
        <v>212</v>
      </c>
      <c r="I53" s="2" t="s">
        <v>213</v>
      </c>
      <c r="J53" s="2">
        <v>10018016</v>
      </c>
      <c r="K53" s="2" t="s">
        <v>305</v>
      </c>
      <c r="L53" s="21">
        <v>26</v>
      </c>
      <c r="M53" s="21">
        <v>0</v>
      </c>
      <c r="N53" s="21">
        <v>0</v>
      </c>
      <c r="O53" s="21">
        <v>0</v>
      </c>
      <c r="R53" s="19">
        <v>0</v>
      </c>
      <c r="S53" s="12">
        <v>0</v>
      </c>
      <c r="T53" s="20">
        <v>0</v>
      </c>
      <c r="U53" s="12">
        <v>432.64</v>
      </c>
      <c r="V53" s="12">
        <v>0</v>
      </c>
      <c r="W53" s="21">
        <v>26</v>
      </c>
      <c r="X53" s="19">
        <v>83.2</v>
      </c>
      <c r="Y53" s="22">
        <v>0</v>
      </c>
      <c r="Z53" s="9" t="s">
        <v>3</v>
      </c>
      <c r="AA53" s="23" t="s">
        <v>215</v>
      </c>
      <c r="AC53" s="4">
        <v>1731.39</v>
      </c>
      <c r="AD53" s="3">
        <v>46013</v>
      </c>
    </row>
    <row r="54" spans="1:30">
      <c r="A54" s="2" t="s">
        <v>306</v>
      </c>
      <c r="B54" s="9">
        <v>40</v>
      </c>
      <c r="C54" s="2" t="s">
        <v>153</v>
      </c>
      <c r="D54" s="2" t="s">
        <v>154</v>
      </c>
      <c r="E54" s="14">
        <v>46034</v>
      </c>
      <c r="F54" s="9" t="s">
        <v>155</v>
      </c>
      <c r="G54" s="9" t="s">
        <v>156</v>
      </c>
      <c r="H54" s="2" t="s">
        <v>272</v>
      </c>
      <c r="I54" s="2" t="s">
        <v>273</v>
      </c>
      <c r="J54" s="2">
        <v>10061010</v>
      </c>
      <c r="K54" s="2" t="s">
        <v>208</v>
      </c>
      <c r="L54" s="21">
        <v>56</v>
      </c>
      <c r="M54" s="21">
        <v>0</v>
      </c>
      <c r="N54" s="21">
        <v>0</v>
      </c>
      <c r="O54" s="21">
        <v>0</v>
      </c>
      <c r="R54" s="19">
        <v>0</v>
      </c>
      <c r="S54" s="12">
        <v>0</v>
      </c>
      <c r="T54" s="20">
        <v>0</v>
      </c>
      <c r="U54" s="12">
        <v>969.36</v>
      </c>
      <c r="V54" s="12">
        <v>0</v>
      </c>
      <c r="W54" s="21">
        <v>56</v>
      </c>
      <c r="X54" s="19">
        <v>0</v>
      </c>
      <c r="Y54" s="22">
        <v>0</v>
      </c>
      <c r="Z54" s="9" t="s">
        <v>3</v>
      </c>
      <c r="AA54" s="23" t="s">
        <v>274</v>
      </c>
      <c r="AC54" s="4">
        <v>2791.04</v>
      </c>
      <c r="AD54" s="3">
        <v>46035</v>
      </c>
    </row>
    <row r="55" spans="1:30">
      <c r="A55" s="2" t="s">
        <v>307</v>
      </c>
      <c r="B55" s="9">
        <v>30</v>
      </c>
      <c r="C55" s="2" t="s">
        <v>153</v>
      </c>
      <c r="D55" s="2" t="s">
        <v>154</v>
      </c>
      <c r="E55" s="14">
        <v>46041</v>
      </c>
      <c r="F55" s="9" t="s">
        <v>155</v>
      </c>
      <c r="G55" s="9" t="s">
        <v>156</v>
      </c>
      <c r="H55" s="2" t="s">
        <v>308</v>
      </c>
      <c r="I55" s="2" t="s">
        <v>309</v>
      </c>
      <c r="J55" s="2">
        <v>10019648</v>
      </c>
      <c r="K55" s="2" t="s">
        <v>284</v>
      </c>
      <c r="L55" s="21">
        <v>11</v>
      </c>
      <c r="M55" s="21">
        <v>0</v>
      </c>
      <c r="N55" s="21">
        <v>0</v>
      </c>
      <c r="O55" s="21">
        <v>0</v>
      </c>
      <c r="R55" s="19">
        <v>0</v>
      </c>
      <c r="S55" s="12">
        <v>0</v>
      </c>
      <c r="T55" s="20">
        <v>0</v>
      </c>
      <c r="U55" s="12">
        <v>107.14</v>
      </c>
      <c r="V55" s="12">
        <v>0</v>
      </c>
      <c r="W55" s="21">
        <v>11</v>
      </c>
      <c r="X55" s="19">
        <v>0</v>
      </c>
      <c r="Y55" s="22">
        <v>0</v>
      </c>
      <c r="Z55" s="9" t="s">
        <v>3</v>
      </c>
      <c r="AA55" s="23" t="s">
        <v>274</v>
      </c>
      <c r="AC55" s="4">
        <v>434.28</v>
      </c>
      <c r="AD55" s="3">
        <v>46043</v>
      </c>
    </row>
    <row r="56" spans="1:30">
      <c r="A56" s="2" t="s">
        <v>307</v>
      </c>
      <c r="B56" s="9">
        <v>50</v>
      </c>
      <c r="C56" s="2" t="s">
        <v>153</v>
      </c>
      <c r="D56" s="2" t="s">
        <v>154</v>
      </c>
      <c r="E56" s="14">
        <v>46041</v>
      </c>
      <c r="F56" s="9" t="s">
        <v>155</v>
      </c>
      <c r="G56" s="9" t="s">
        <v>156</v>
      </c>
      <c r="H56" s="2" t="s">
        <v>308</v>
      </c>
      <c r="I56" s="2" t="s">
        <v>309</v>
      </c>
      <c r="J56" s="2">
        <v>10100028</v>
      </c>
      <c r="K56" s="2" t="s">
        <v>310</v>
      </c>
      <c r="L56" s="21">
        <v>35</v>
      </c>
      <c r="M56" s="21">
        <v>0</v>
      </c>
      <c r="N56" s="21">
        <v>0</v>
      </c>
      <c r="O56" s="21">
        <v>0</v>
      </c>
      <c r="R56" s="19">
        <v>0</v>
      </c>
      <c r="S56" s="12">
        <v>0</v>
      </c>
      <c r="T56" s="20">
        <v>0</v>
      </c>
      <c r="U56" s="12">
        <v>401.8</v>
      </c>
      <c r="V56" s="12">
        <v>0</v>
      </c>
      <c r="W56" s="21">
        <v>35</v>
      </c>
      <c r="X56" s="19">
        <v>0</v>
      </c>
      <c r="Y56" s="22">
        <v>0</v>
      </c>
      <c r="Z56" s="9" t="s">
        <v>3</v>
      </c>
      <c r="AA56" s="23" t="s">
        <v>274</v>
      </c>
      <c r="AC56" s="4">
        <v>1309</v>
      </c>
      <c r="AD56" s="3">
        <v>46043</v>
      </c>
    </row>
    <row r="57" spans="1:30">
      <c r="A57" s="2" t="s">
        <v>311</v>
      </c>
      <c r="B57" s="9">
        <v>30</v>
      </c>
      <c r="C57" s="2" t="s">
        <v>181</v>
      </c>
      <c r="D57" s="2" t="s">
        <v>154</v>
      </c>
      <c r="E57" s="14">
        <v>46041</v>
      </c>
      <c r="F57" s="9" t="s">
        <v>155</v>
      </c>
      <c r="G57" s="9" t="s">
        <v>156</v>
      </c>
      <c r="H57" s="2" t="s">
        <v>282</v>
      </c>
      <c r="I57" s="2" t="s">
        <v>283</v>
      </c>
      <c r="J57" s="2">
        <v>10100028</v>
      </c>
      <c r="K57" s="2" t="s">
        <v>310</v>
      </c>
      <c r="L57" s="21">
        <v>10</v>
      </c>
      <c r="M57" s="21">
        <v>0</v>
      </c>
      <c r="N57" s="21">
        <v>0</v>
      </c>
      <c r="O57" s="21">
        <v>0</v>
      </c>
      <c r="R57" s="19">
        <v>0</v>
      </c>
      <c r="S57" s="12">
        <v>0</v>
      </c>
      <c r="T57" s="20">
        <v>0</v>
      </c>
      <c r="U57" s="12">
        <v>114.8</v>
      </c>
      <c r="V57" s="12">
        <v>0</v>
      </c>
      <c r="W57" s="21">
        <v>10</v>
      </c>
      <c r="X57" s="19">
        <v>0</v>
      </c>
      <c r="Y57" s="22">
        <v>0</v>
      </c>
      <c r="Z57" s="9" t="s">
        <v>3</v>
      </c>
      <c r="AA57" s="23" t="s">
        <v>285</v>
      </c>
      <c r="AC57" s="4">
        <v>374</v>
      </c>
      <c r="AD57" s="3">
        <v>46044</v>
      </c>
    </row>
    <row r="58" spans="1:30">
      <c r="A58" s="2" t="s">
        <v>311</v>
      </c>
      <c r="B58" s="9">
        <v>40</v>
      </c>
      <c r="C58" s="2" t="s">
        <v>181</v>
      </c>
      <c r="D58" s="2" t="s">
        <v>154</v>
      </c>
      <c r="E58" s="14">
        <v>46041</v>
      </c>
      <c r="F58" s="9" t="s">
        <v>155</v>
      </c>
      <c r="G58" s="9" t="s">
        <v>156</v>
      </c>
      <c r="H58" s="2" t="s">
        <v>282</v>
      </c>
      <c r="I58" s="2" t="s">
        <v>283</v>
      </c>
      <c r="J58" s="2">
        <v>10100030</v>
      </c>
      <c r="K58" s="2" t="s">
        <v>312</v>
      </c>
      <c r="L58" s="21">
        <v>20</v>
      </c>
      <c r="M58" s="21">
        <v>0</v>
      </c>
      <c r="N58" s="21">
        <v>0</v>
      </c>
      <c r="O58" s="21">
        <v>0</v>
      </c>
      <c r="R58" s="19">
        <v>0</v>
      </c>
      <c r="S58" s="12">
        <v>0</v>
      </c>
      <c r="T58" s="20">
        <v>0</v>
      </c>
      <c r="U58" s="12">
        <v>215.2</v>
      </c>
      <c r="V58" s="12">
        <v>0</v>
      </c>
      <c r="W58" s="21">
        <v>20</v>
      </c>
      <c r="X58" s="19">
        <v>0</v>
      </c>
      <c r="Y58" s="22">
        <v>0</v>
      </c>
      <c r="Z58" s="9" t="s">
        <v>3</v>
      </c>
      <c r="AA58" s="23" t="s">
        <v>285</v>
      </c>
      <c r="AC58" s="4">
        <v>699.6</v>
      </c>
      <c r="AD58" s="3">
        <v>46044</v>
      </c>
    </row>
    <row r="59" spans="1:30">
      <c r="A59" s="2" t="s">
        <v>313</v>
      </c>
      <c r="B59" s="9">
        <v>10</v>
      </c>
      <c r="C59" s="2" t="s">
        <v>192</v>
      </c>
      <c r="D59" s="2" t="s">
        <v>154</v>
      </c>
      <c r="E59" s="14">
        <v>46042</v>
      </c>
      <c r="F59" s="9" t="s">
        <v>155</v>
      </c>
      <c r="G59" s="9" t="s">
        <v>156</v>
      </c>
      <c r="H59" s="2" t="s">
        <v>314</v>
      </c>
      <c r="I59" s="2" t="s">
        <v>315</v>
      </c>
      <c r="J59" s="2">
        <v>10019690</v>
      </c>
      <c r="K59" s="2" t="s">
        <v>316</v>
      </c>
      <c r="L59" s="21">
        <v>3</v>
      </c>
      <c r="M59" s="21">
        <v>0</v>
      </c>
      <c r="N59" s="21">
        <v>0</v>
      </c>
      <c r="O59" s="21">
        <v>0</v>
      </c>
      <c r="R59" s="19">
        <v>0</v>
      </c>
      <c r="S59" s="12">
        <v>0</v>
      </c>
      <c r="T59" s="20">
        <v>0</v>
      </c>
      <c r="U59" s="12">
        <v>22.53</v>
      </c>
      <c r="V59" s="12">
        <v>0</v>
      </c>
      <c r="W59" s="21">
        <v>3</v>
      </c>
      <c r="X59" s="19">
        <v>0</v>
      </c>
      <c r="Y59" s="22">
        <v>0</v>
      </c>
      <c r="Z59" s="9" t="s">
        <v>3</v>
      </c>
      <c r="AA59" s="23" t="s">
        <v>317</v>
      </c>
      <c r="AC59" s="4">
        <v>90.99</v>
      </c>
      <c r="AD59" s="3">
        <v>46045</v>
      </c>
    </row>
    <row r="60" spans="1:30">
      <c r="A60" s="2" t="s">
        <v>313</v>
      </c>
      <c r="B60" s="9">
        <v>20</v>
      </c>
      <c r="C60" s="2" t="s">
        <v>192</v>
      </c>
      <c r="D60" s="2" t="s">
        <v>154</v>
      </c>
      <c r="E60" s="14">
        <v>46042</v>
      </c>
      <c r="F60" s="9" t="s">
        <v>155</v>
      </c>
      <c r="G60" s="9" t="s">
        <v>156</v>
      </c>
      <c r="H60" s="2" t="s">
        <v>314</v>
      </c>
      <c r="I60" s="2" t="s">
        <v>315</v>
      </c>
      <c r="J60" s="2">
        <v>10019703</v>
      </c>
      <c r="K60" s="2" t="s">
        <v>318</v>
      </c>
      <c r="L60" s="21">
        <v>6</v>
      </c>
      <c r="M60" s="21">
        <v>0</v>
      </c>
      <c r="N60" s="21">
        <v>0</v>
      </c>
      <c r="O60" s="21">
        <v>0</v>
      </c>
      <c r="R60" s="19">
        <v>0</v>
      </c>
      <c r="S60" s="12">
        <v>0</v>
      </c>
      <c r="T60" s="20">
        <v>0</v>
      </c>
      <c r="U60" s="12">
        <v>195.48</v>
      </c>
      <c r="V60" s="12">
        <v>0</v>
      </c>
      <c r="W60" s="21">
        <v>6</v>
      </c>
      <c r="X60" s="19">
        <v>27</v>
      </c>
      <c r="Y60" s="22">
        <v>0</v>
      </c>
      <c r="Z60" s="9" t="s">
        <v>3</v>
      </c>
      <c r="AA60" s="23" t="s">
        <v>317</v>
      </c>
      <c r="AC60" s="4">
        <v>787.86</v>
      </c>
      <c r="AD60" s="3">
        <v>46045</v>
      </c>
    </row>
    <row r="61" spans="1:30">
      <c r="A61" s="2" t="s">
        <v>313</v>
      </c>
      <c r="B61" s="9">
        <v>30</v>
      </c>
      <c r="C61" s="2" t="s">
        <v>192</v>
      </c>
      <c r="D61" s="2" t="s">
        <v>154</v>
      </c>
      <c r="E61" s="14">
        <v>46042</v>
      </c>
      <c r="F61" s="9" t="s">
        <v>155</v>
      </c>
      <c r="G61" s="9" t="s">
        <v>156</v>
      </c>
      <c r="H61" s="2" t="s">
        <v>314</v>
      </c>
      <c r="I61" s="2" t="s">
        <v>315</v>
      </c>
      <c r="J61" s="2">
        <v>10019707</v>
      </c>
      <c r="K61" s="2" t="s">
        <v>319</v>
      </c>
      <c r="L61" s="21">
        <v>6</v>
      </c>
      <c r="M61" s="21">
        <v>0</v>
      </c>
      <c r="N61" s="21">
        <v>0</v>
      </c>
      <c r="O61" s="21">
        <v>0</v>
      </c>
      <c r="R61" s="19">
        <v>0</v>
      </c>
      <c r="S61" s="12">
        <v>0</v>
      </c>
      <c r="T61" s="20">
        <v>0</v>
      </c>
      <c r="U61" s="12">
        <v>99.75</v>
      </c>
      <c r="V61" s="12">
        <v>0</v>
      </c>
      <c r="W61" s="21">
        <v>6</v>
      </c>
      <c r="X61" s="19">
        <v>15</v>
      </c>
      <c r="Y61" s="22">
        <v>0</v>
      </c>
      <c r="Z61" s="9" t="s">
        <v>3</v>
      </c>
      <c r="AA61" s="23" t="s">
        <v>317</v>
      </c>
      <c r="AC61" s="4">
        <v>401.85</v>
      </c>
      <c r="AD61" s="3">
        <v>46045</v>
      </c>
    </row>
    <row r="62" spans="1:30">
      <c r="A62" s="2" t="s">
        <v>313</v>
      </c>
      <c r="B62" s="9">
        <v>50</v>
      </c>
      <c r="C62" s="2" t="s">
        <v>192</v>
      </c>
      <c r="D62" s="2" t="s">
        <v>154</v>
      </c>
      <c r="E62" s="14">
        <v>46042</v>
      </c>
      <c r="F62" s="9" t="s">
        <v>155</v>
      </c>
      <c r="G62" s="9" t="s">
        <v>156</v>
      </c>
      <c r="H62" s="2" t="s">
        <v>314</v>
      </c>
      <c r="I62" s="2" t="s">
        <v>315</v>
      </c>
      <c r="J62" s="2">
        <v>10100028</v>
      </c>
      <c r="K62" s="2" t="s">
        <v>310</v>
      </c>
      <c r="L62" s="21">
        <v>15</v>
      </c>
      <c r="M62" s="21">
        <v>0</v>
      </c>
      <c r="N62" s="21">
        <v>0</v>
      </c>
      <c r="O62" s="21">
        <v>0</v>
      </c>
      <c r="R62" s="19">
        <v>0</v>
      </c>
      <c r="S62" s="12">
        <v>0</v>
      </c>
      <c r="T62" s="20">
        <v>0</v>
      </c>
      <c r="U62" s="12">
        <v>172.2</v>
      </c>
      <c r="V62" s="12">
        <v>0</v>
      </c>
      <c r="W62" s="21">
        <v>15</v>
      </c>
      <c r="X62" s="19">
        <v>0</v>
      </c>
      <c r="Y62" s="22">
        <v>0</v>
      </c>
      <c r="Z62" s="9" t="s">
        <v>3</v>
      </c>
      <c r="AA62" s="23" t="s">
        <v>317</v>
      </c>
      <c r="AC62" s="4">
        <v>561</v>
      </c>
      <c r="AD62" s="3">
        <v>46045</v>
      </c>
    </row>
    <row r="63" spans="1:30">
      <c r="A63" s="2" t="s">
        <v>313</v>
      </c>
      <c r="B63" s="9">
        <v>60</v>
      </c>
      <c r="C63" s="2" t="s">
        <v>192</v>
      </c>
      <c r="D63" s="2" t="s">
        <v>154</v>
      </c>
      <c r="E63" s="14">
        <v>46042</v>
      </c>
      <c r="F63" s="9" t="s">
        <v>155</v>
      </c>
      <c r="G63" s="9" t="s">
        <v>156</v>
      </c>
      <c r="H63" s="2" t="s">
        <v>314</v>
      </c>
      <c r="I63" s="2" t="s">
        <v>315</v>
      </c>
      <c r="J63" s="2">
        <v>10100030</v>
      </c>
      <c r="K63" s="2" t="s">
        <v>312</v>
      </c>
      <c r="L63" s="21">
        <v>30</v>
      </c>
      <c r="M63" s="21">
        <v>0</v>
      </c>
      <c r="N63" s="21">
        <v>0</v>
      </c>
      <c r="O63" s="21">
        <v>0</v>
      </c>
      <c r="R63" s="19">
        <v>0</v>
      </c>
      <c r="S63" s="12">
        <v>0</v>
      </c>
      <c r="T63" s="20">
        <v>0</v>
      </c>
      <c r="U63" s="12">
        <v>322.8</v>
      </c>
      <c r="V63" s="12">
        <v>0</v>
      </c>
      <c r="W63" s="21">
        <v>30</v>
      </c>
      <c r="X63" s="19">
        <v>0</v>
      </c>
      <c r="Y63" s="22">
        <v>0</v>
      </c>
      <c r="Z63" s="9" t="s">
        <v>3</v>
      </c>
      <c r="AA63" s="23" t="s">
        <v>317</v>
      </c>
      <c r="AC63" s="4">
        <v>1049.4000000000001</v>
      </c>
      <c r="AD63" s="3">
        <v>46045</v>
      </c>
    </row>
    <row r="64" spans="1:30">
      <c r="A64" s="2" t="s">
        <v>313</v>
      </c>
      <c r="B64" s="9">
        <v>70</v>
      </c>
      <c r="C64" s="2" t="s">
        <v>192</v>
      </c>
      <c r="D64" s="2" t="s">
        <v>154</v>
      </c>
      <c r="E64" s="14">
        <v>46042</v>
      </c>
      <c r="F64" s="9" t="s">
        <v>155</v>
      </c>
      <c r="G64" s="9" t="s">
        <v>156</v>
      </c>
      <c r="H64" s="2" t="s">
        <v>314</v>
      </c>
      <c r="I64" s="2" t="s">
        <v>315</v>
      </c>
      <c r="J64" s="2">
        <v>10100031</v>
      </c>
      <c r="K64" s="2" t="s">
        <v>304</v>
      </c>
      <c r="L64" s="21">
        <v>20</v>
      </c>
      <c r="M64" s="21">
        <v>0</v>
      </c>
      <c r="N64" s="21">
        <v>0</v>
      </c>
      <c r="O64" s="21">
        <v>0</v>
      </c>
      <c r="R64" s="19">
        <v>0</v>
      </c>
      <c r="S64" s="12">
        <v>0</v>
      </c>
      <c r="T64" s="20">
        <v>0</v>
      </c>
      <c r="U64" s="12">
        <v>204.8</v>
      </c>
      <c r="V64" s="12">
        <v>0</v>
      </c>
      <c r="W64" s="21">
        <v>20</v>
      </c>
      <c r="X64" s="19">
        <v>0</v>
      </c>
      <c r="Y64" s="22">
        <v>0</v>
      </c>
      <c r="Z64" s="9" t="s">
        <v>3</v>
      </c>
      <c r="AA64" s="23" t="s">
        <v>317</v>
      </c>
      <c r="AC64" s="4">
        <v>662</v>
      </c>
      <c r="AD64" s="3">
        <v>46045</v>
      </c>
    </row>
    <row r="65" spans="1:30">
      <c r="A65" s="2" t="s">
        <v>320</v>
      </c>
      <c r="B65" s="9">
        <v>20</v>
      </c>
      <c r="C65" s="2" t="s">
        <v>175</v>
      </c>
      <c r="D65" s="2" t="s">
        <v>154</v>
      </c>
      <c r="E65" s="14">
        <v>46048</v>
      </c>
      <c r="F65" s="9" t="s">
        <v>155</v>
      </c>
      <c r="G65" s="9" t="s">
        <v>156</v>
      </c>
      <c r="H65" s="2" t="s">
        <v>224</v>
      </c>
      <c r="I65" s="2" t="s">
        <v>225</v>
      </c>
      <c r="J65" s="2">
        <v>10019703</v>
      </c>
      <c r="K65" s="2" t="s">
        <v>318</v>
      </c>
      <c r="L65" s="21">
        <v>1</v>
      </c>
      <c r="M65" s="21">
        <v>0</v>
      </c>
      <c r="N65" s="21">
        <v>0</v>
      </c>
      <c r="O65" s="21">
        <v>0</v>
      </c>
      <c r="R65" s="19">
        <v>0</v>
      </c>
      <c r="S65" s="12">
        <v>0</v>
      </c>
      <c r="T65" s="20">
        <v>0</v>
      </c>
      <c r="U65" s="12">
        <v>13.5</v>
      </c>
      <c r="V65" s="12">
        <v>0</v>
      </c>
      <c r="W65" s="21">
        <v>1</v>
      </c>
      <c r="X65" s="19">
        <v>4.5</v>
      </c>
      <c r="Y65" s="22">
        <v>0</v>
      </c>
      <c r="Z65" s="9" t="s">
        <v>6</v>
      </c>
      <c r="AA65" s="23" t="s">
        <v>227</v>
      </c>
      <c r="AC65" s="4">
        <v>135.27000000000001</v>
      </c>
      <c r="AD65" s="3">
        <v>46050</v>
      </c>
    </row>
    <row r="66" spans="1:30">
      <c r="A66" s="2" t="s">
        <v>320</v>
      </c>
      <c r="B66" s="9">
        <v>30</v>
      </c>
      <c r="C66" s="2" t="s">
        <v>175</v>
      </c>
      <c r="D66" s="2" t="s">
        <v>154</v>
      </c>
      <c r="E66" s="14">
        <v>46048</v>
      </c>
      <c r="F66" s="9" t="s">
        <v>155</v>
      </c>
      <c r="G66" s="9" t="s">
        <v>156</v>
      </c>
      <c r="H66" s="2" t="s">
        <v>224</v>
      </c>
      <c r="I66" s="2" t="s">
        <v>225</v>
      </c>
      <c r="J66" s="2">
        <v>10019707</v>
      </c>
      <c r="K66" s="2" t="s">
        <v>319</v>
      </c>
      <c r="L66" s="21">
        <v>2</v>
      </c>
      <c r="M66" s="21">
        <v>0</v>
      </c>
      <c r="N66" s="21">
        <v>0</v>
      </c>
      <c r="O66" s="21">
        <v>0</v>
      </c>
      <c r="R66" s="19">
        <v>0</v>
      </c>
      <c r="S66" s="12">
        <v>0</v>
      </c>
      <c r="T66" s="20">
        <v>0</v>
      </c>
      <c r="U66" s="12">
        <v>15</v>
      </c>
      <c r="V66" s="12">
        <v>0</v>
      </c>
      <c r="W66" s="21">
        <v>2</v>
      </c>
      <c r="X66" s="19">
        <v>5</v>
      </c>
      <c r="Y66" s="22">
        <v>0</v>
      </c>
      <c r="Z66" s="9" t="s">
        <v>6</v>
      </c>
      <c r="AA66" s="23" t="s">
        <v>227</v>
      </c>
      <c r="AC66" s="4">
        <v>133.75</v>
      </c>
      <c r="AD66" s="3">
        <v>46050</v>
      </c>
    </row>
    <row r="67" spans="1:30">
      <c r="A67" s="2" t="s">
        <v>321</v>
      </c>
      <c r="B67" s="9">
        <v>20</v>
      </c>
      <c r="C67" s="2" t="s">
        <v>175</v>
      </c>
      <c r="D67" s="2" t="s">
        <v>154</v>
      </c>
      <c r="E67" s="14">
        <v>46048</v>
      </c>
      <c r="F67" s="9" t="s">
        <v>155</v>
      </c>
      <c r="G67" s="9" t="s">
        <v>156</v>
      </c>
      <c r="H67" s="2" t="s">
        <v>224</v>
      </c>
      <c r="I67" s="2" t="s">
        <v>225</v>
      </c>
      <c r="J67" s="2">
        <v>10019641</v>
      </c>
      <c r="K67" s="2" t="s">
        <v>322</v>
      </c>
      <c r="L67" s="21">
        <v>24</v>
      </c>
      <c r="M67" s="21">
        <v>0</v>
      </c>
      <c r="N67" s="21">
        <v>0</v>
      </c>
      <c r="O67" s="21">
        <v>0</v>
      </c>
      <c r="R67" s="19">
        <v>0</v>
      </c>
      <c r="S67" s="12">
        <v>0</v>
      </c>
      <c r="T67" s="20">
        <v>0</v>
      </c>
      <c r="U67" s="12">
        <v>413.09</v>
      </c>
      <c r="V67" s="12">
        <v>0</v>
      </c>
      <c r="W67" s="21">
        <v>24</v>
      </c>
      <c r="X67" s="19">
        <v>62.4</v>
      </c>
      <c r="Y67" s="22">
        <v>0</v>
      </c>
      <c r="Z67" s="9" t="s">
        <v>4</v>
      </c>
      <c r="AA67" s="23" t="s">
        <v>227</v>
      </c>
      <c r="AC67" s="4">
        <v>1717.25</v>
      </c>
      <c r="AD67" s="3">
        <v>46050</v>
      </c>
    </row>
    <row r="68" spans="1:30">
      <c r="A68" s="2" t="s">
        <v>321</v>
      </c>
      <c r="B68" s="9">
        <v>40</v>
      </c>
      <c r="C68" s="2" t="s">
        <v>175</v>
      </c>
      <c r="D68" s="2" t="s">
        <v>154</v>
      </c>
      <c r="E68" s="14">
        <v>46048</v>
      </c>
      <c r="F68" s="9" t="s">
        <v>155</v>
      </c>
      <c r="G68" s="9" t="s">
        <v>156</v>
      </c>
      <c r="H68" s="2" t="s">
        <v>224</v>
      </c>
      <c r="I68" s="2" t="s">
        <v>225</v>
      </c>
      <c r="J68" s="2">
        <v>10019704</v>
      </c>
      <c r="K68" s="2" t="s">
        <v>323</v>
      </c>
      <c r="L68" s="21">
        <v>5</v>
      </c>
      <c r="M68" s="21">
        <v>0</v>
      </c>
      <c r="N68" s="21">
        <v>0</v>
      </c>
      <c r="O68" s="21">
        <v>0</v>
      </c>
      <c r="R68" s="19">
        <v>0</v>
      </c>
      <c r="S68" s="12">
        <v>0</v>
      </c>
      <c r="T68" s="20">
        <v>0</v>
      </c>
      <c r="U68" s="12">
        <v>83.13</v>
      </c>
      <c r="V68" s="12">
        <v>0</v>
      </c>
      <c r="W68" s="21">
        <v>5</v>
      </c>
      <c r="X68" s="19">
        <v>12.5</v>
      </c>
      <c r="Y68" s="22">
        <v>0</v>
      </c>
      <c r="Z68" s="9" t="s">
        <v>4</v>
      </c>
      <c r="AA68" s="23" t="s">
        <v>227</v>
      </c>
      <c r="AC68" s="4">
        <v>352.5</v>
      </c>
      <c r="AD68" s="3">
        <v>46050</v>
      </c>
    </row>
    <row r="69" spans="1:30">
      <c r="A69" s="2" t="s">
        <v>321</v>
      </c>
      <c r="B69" s="9">
        <v>80</v>
      </c>
      <c r="C69" s="2" t="s">
        <v>175</v>
      </c>
      <c r="D69" s="2" t="s">
        <v>154</v>
      </c>
      <c r="E69" s="14">
        <v>46048</v>
      </c>
      <c r="F69" s="9" t="s">
        <v>155</v>
      </c>
      <c r="G69" s="9" t="s">
        <v>156</v>
      </c>
      <c r="H69" s="2" t="s">
        <v>224</v>
      </c>
      <c r="I69" s="2" t="s">
        <v>225</v>
      </c>
      <c r="J69" s="2">
        <v>10033021</v>
      </c>
      <c r="K69" s="2" t="s">
        <v>324</v>
      </c>
      <c r="L69" s="21">
        <v>10</v>
      </c>
      <c r="M69" s="21">
        <v>0</v>
      </c>
      <c r="N69" s="21">
        <v>0</v>
      </c>
      <c r="O69" s="21">
        <v>0</v>
      </c>
      <c r="R69" s="19">
        <v>0</v>
      </c>
      <c r="S69" s="12">
        <v>0</v>
      </c>
      <c r="T69" s="20">
        <v>0</v>
      </c>
      <c r="U69" s="12">
        <v>129.19999999999999</v>
      </c>
      <c r="V69" s="12">
        <v>0</v>
      </c>
      <c r="W69" s="21">
        <v>10</v>
      </c>
      <c r="X69" s="19">
        <v>0</v>
      </c>
      <c r="Y69" s="22">
        <v>0</v>
      </c>
      <c r="Z69" s="9" t="s">
        <v>4</v>
      </c>
      <c r="AA69" s="23" t="s">
        <v>227</v>
      </c>
      <c r="AC69" s="4">
        <v>393</v>
      </c>
      <c r="AD69" s="3">
        <v>46050</v>
      </c>
    </row>
    <row r="70" spans="1:30">
      <c r="A70" s="2" t="s">
        <v>321</v>
      </c>
      <c r="B70" s="9">
        <v>170</v>
      </c>
      <c r="C70" s="2" t="s">
        <v>175</v>
      </c>
      <c r="D70" s="2" t="s">
        <v>154</v>
      </c>
      <c r="E70" s="14">
        <v>46048</v>
      </c>
      <c r="F70" s="9" t="s">
        <v>155</v>
      </c>
      <c r="G70" s="9" t="s">
        <v>156</v>
      </c>
      <c r="H70" s="2" t="s">
        <v>224</v>
      </c>
      <c r="I70" s="2" t="s">
        <v>225</v>
      </c>
      <c r="J70" s="2">
        <v>10018659</v>
      </c>
      <c r="K70" s="2" t="s">
        <v>178</v>
      </c>
      <c r="L70" s="21">
        <v>8</v>
      </c>
      <c r="M70" s="21">
        <v>0</v>
      </c>
      <c r="N70" s="21">
        <v>0</v>
      </c>
      <c r="O70" s="21">
        <v>0</v>
      </c>
      <c r="R70" s="19">
        <v>0</v>
      </c>
      <c r="S70" s="12">
        <v>0</v>
      </c>
      <c r="T70" s="20">
        <v>0</v>
      </c>
      <c r="U70" s="12">
        <v>56</v>
      </c>
      <c r="V70" s="12">
        <v>0</v>
      </c>
      <c r="W70" s="21">
        <v>8</v>
      </c>
      <c r="X70" s="19">
        <v>0</v>
      </c>
      <c r="Y70" s="22">
        <v>0</v>
      </c>
      <c r="Z70" s="9" t="s">
        <v>4</v>
      </c>
      <c r="AA70" s="23" t="s">
        <v>227</v>
      </c>
      <c r="AC70" s="4">
        <v>207.2</v>
      </c>
      <c r="AD70" s="3">
        <v>46050</v>
      </c>
    </row>
    <row r="71" spans="1:30">
      <c r="A71" s="2" t="s">
        <v>321</v>
      </c>
      <c r="B71" s="9">
        <v>190</v>
      </c>
      <c r="C71" s="2" t="s">
        <v>175</v>
      </c>
      <c r="D71" s="2" t="s">
        <v>154</v>
      </c>
      <c r="E71" s="14">
        <v>46048</v>
      </c>
      <c r="F71" s="9" t="s">
        <v>155</v>
      </c>
      <c r="G71" s="9" t="s">
        <v>156</v>
      </c>
      <c r="H71" s="2" t="s">
        <v>224</v>
      </c>
      <c r="I71" s="2" t="s">
        <v>225</v>
      </c>
      <c r="J71" s="2">
        <v>10020851</v>
      </c>
      <c r="K71" s="2" t="s">
        <v>253</v>
      </c>
      <c r="L71" s="21">
        <v>2</v>
      </c>
      <c r="M71" s="21">
        <v>0</v>
      </c>
      <c r="N71" s="21">
        <v>0</v>
      </c>
      <c r="O71" s="21">
        <v>0</v>
      </c>
      <c r="R71" s="19">
        <v>0</v>
      </c>
      <c r="S71" s="12">
        <v>0</v>
      </c>
      <c r="T71" s="20">
        <v>0</v>
      </c>
      <c r="U71" s="12">
        <v>10</v>
      </c>
      <c r="V71" s="12">
        <v>0</v>
      </c>
      <c r="W71" s="21">
        <v>2</v>
      </c>
      <c r="X71" s="19">
        <v>0</v>
      </c>
      <c r="Y71" s="22">
        <v>0</v>
      </c>
      <c r="Z71" s="9" t="s">
        <v>4</v>
      </c>
      <c r="AA71" s="23" t="s">
        <v>227</v>
      </c>
      <c r="AC71" s="4">
        <v>65.66</v>
      </c>
      <c r="AD71" s="3">
        <v>46050</v>
      </c>
    </row>
    <row r="72" spans="1:30">
      <c r="A72" s="2" t="s">
        <v>325</v>
      </c>
      <c r="B72" s="9">
        <v>130</v>
      </c>
      <c r="C72" s="2" t="s">
        <v>153</v>
      </c>
      <c r="D72" s="2" t="s">
        <v>154</v>
      </c>
      <c r="E72" s="14">
        <v>46049</v>
      </c>
      <c r="F72" s="9" t="s">
        <v>155</v>
      </c>
      <c r="G72" s="9" t="s">
        <v>156</v>
      </c>
      <c r="H72" s="2" t="s">
        <v>212</v>
      </c>
      <c r="I72" s="2" t="s">
        <v>213</v>
      </c>
      <c r="J72" s="2">
        <v>10019703</v>
      </c>
      <c r="K72" s="2" t="s">
        <v>318</v>
      </c>
      <c r="L72" s="21">
        <v>6</v>
      </c>
      <c r="M72" s="21">
        <v>0</v>
      </c>
      <c r="N72" s="21">
        <v>0</v>
      </c>
      <c r="O72" s="21">
        <v>0</v>
      </c>
      <c r="R72" s="19">
        <v>0</v>
      </c>
      <c r="S72" s="12">
        <v>0</v>
      </c>
      <c r="T72" s="20">
        <v>0</v>
      </c>
      <c r="U72" s="12">
        <v>195.48</v>
      </c>
      <c r="V72" s="12">
        <v>0</v>
      </c>
      <c r="W72" s="21">
        <v>6</v>
      </c>
      <c r="X72" s="19">
        <v>27</v>
      </c>
      <c r="Y72" s="22">
        <v>0</v>
      </c>
      <c r="Z72" s="9" t="s">
        <v>3</v>
      </c>
      <c r="AA72" s="23" t="s">
        <v>215</v>
      </c>
      <c r="AC72" s="4">
        <v>788.13</v>
      </c>
      <c r="AD72" s="3">
        <v>46055</v>
      </c>
    </row>
    <row r="73" spans="1:30">
      <c r="A73" s="2" t="s">
        <v>326</v>
      </c>
      <c r="B73" s="9">
        <v>90</v>
      </c>
      <c r="C73" s="2" t="s">
        <v>175</v>
      </c>
      <c r="D73" s="2" t="s">
        <v>154</v>
      </c>
      <c r="E73" s="14">
        <v>46050</v>
      </c>
      <c r="F73" s="9" t="s">
        <v>155</v>
      </c>
      <c r="G73" s="9" t="s">
        <v>156</v>
      </c>
      <c r="H73" s="2" t="s">
        <v>224</v>
      </c>
      <c r="I73" s="2" t="s">
        <v>225</v>
      </c>
      <c r="J73" s="2">
        <v>10018656</v>
      </c>
      <c r="K73" s="2" t="s">
        <v>327</v>
      </c>
      <c r="L73" s="21">
        <v>21</v>
      </c>
      <c r="M73" s="21">
        <v>0</v>
      </c>
      <c r="N73" s="21">
        <v>0</v>
      </c>
      <c r="O73" s="21">
        <v>0</v>
      </c>
      <c r="R73" s="19">
        <v>0</v>
      </c>
      <c r="S73" s="12">
        <v>0</v>
      </c>
      <c r="T73" s="20">
        <v>0</v>
      </c>
      <c r="U73" s="12">
        <v>126</v>
      </c>
      <c r="V73" s="12">
        <v>0</v>
      </c>
      <c r="W73" s="21">
        <v>21</v>
      </c>
      <c r="X73" s="19">
        <v>0</v>
      </c>
      <c r="Y73" s="22">
        <v>0</v>
      </c>
      <c r="Z73" s="9" t="s">
        <v>4</v>
      </c>
      <c r="AA73" s="23" t="s">
        <v>227</v>
      </c>
      <c r="AC73" s="4">
        <v>541.16999999999996</v>
      </c>
      <c r="AD73" s="3">
        <v>46052</v>
      </c>
    </row>
    <row r="74" spans="1:30">
      <c r="A74" s="2" t="s">
        <v>328</v>
      </c>
      <c r="B74" s="9">
        <v>60</v>
      </c>
      <c r="C74" s="2" t="s">
        <v>153</v>
      </c>
      <c r="D74" s="2" t="s">
        <v>154</v>
      </c>
      <c r="E74" s="14">
        <v>46055</v>
      </c>
      <c r="F74" s="9" t="s">
        <v>155</v>
      </c>
      <c r="G74" s="9" t="s">
        <v>156</v>
      </c>
      <c r="H74" s="2" t="s">
        <v>308</v>
      </c>
      <c r="I74" s="2" t="s">
        <v>309</v>
      </c>
      <c r="J74" s="2">
        <v>10019648</v>
      </c>
      <c r="K74" s="2" t="s">
        <v>284</v>
      </c>
      <c r="L74" s="21">
        <v>9</v>
      </c>
      <c r="M74" s="21">
        <v>0</v>
      </c>
      <c r="N74" s="21">
        <v>0</v>
      </c>
      <c r="O74" s="21">
        <v>0</v>
      </c>
      <c r="R74" s="19">
        <v>0</v>
      </c>
      <c r="S74" s="12">
        <v>0</v>
      </c>
      <c r="T74" s="20">
        <v>0</v>
      </c>
      <c r="U74" s="12">
        <v>90</v>
      </c>
      <c r="V74" s="12">
        <v>0</v>
      </c>
      <c r="W74" s="21">
        <v>9</v>
      </c>
      <c r="X74" s="19">
        <v>0</v>
      </c>
      <c r="Y74" s="22">
        <v>0</v>
      </c>
      <c r="Z74" s="9" t="s">
        <v>3</v>
      </c>
      <c r="AA74" s="23" t="s">
        <v>274</v>
      </c>
      <c r="AC74" s="4">
        <v>355.59</v>
      </c>
      <c r="AD74" s="3">
        <v>46056</v>
      </c>
    </row>
    <row r="75" spans="1:30">
      <c r="A75" s="2" t="s">
        <v>329</v>
      </c>
      <c r="B75" s="9">
        <v>30</v>
      </c>
      <c r="C75" s="2" t="s">
        <v>153</v>
      </c>
      <c r="D75" s="2" t="s">
        <v>154</v>
      </c>
      <c r="E75" s="14">
        <v>46055</v>
      </c>
      <c r="F75" s="9" t="s">
        <v>155</v>
      </c>
      <c r="G75" s="9" t="s">
        <v>156</v>
      </c>
      <c r="H75" s="2" t="s">
        <v>330</v>
      </c>
      <c r="I75" s="2" t="s">
        <v>331</v>
      </c>
      <c r="J75" s="2">
        <v>10019648</v>
      </c>
      <c r="K75" s="2" t="s">
        <v>284</v>
      </c>
      <c r="L75" s="21">
        <v>9</v>
      </c>
      <c r="M75" s="21">
        <v>0</v>
      </c>
      <c r="N75" s="21">
        <v>0</v>
      </c>
      <c r="O75" s="21">
        <v>0</v>
      </c>
      <c r="R75" s="19">
        <v>0</v>
      </c>
      <c r="S75" s="12">
        <v>0</v>
      </c>
      <c r="T75" s="20">
        <v>0</v>
      </c>
      <c r="U75" s="12">
        <v>90</v>
      </c>
      <c r="V75" s="12">
        <v>0</v>
      </c>
      <c r="W75" s="21">
        <v>9</v>
      </c>
      <c r="X75" s="19">
        <v>0</v>
      </c>
      <c r="Y75" s="22">
        <v>0</v>
      </c>
      <c r="Z75" s="9" t="s">
        <v>3</v>
      </c>
      <c r="AA75" s="23" t="s">
        <v>165</v>
      </c>
      <c r="AC75" s="4">
        <v>355.59</v>
      </c>
      <c r="AD75" s="3">
        <v>46057</v>
      </c>
    </row>
    <row r="76" spans="1:30">
      <c r="A76" s="2" t="s">
        <v>332</v>
      </c>
      <c r="B76" s="9">
        <v>100</v>
      </c>
      <c r="C76" s="2" t="s">
        <v>192</v>
      </c>
      <c r="D76" s="2" t="s">
        <v>154</v>
      </c>
      <c r="E76" s="14">
        <v>46055</v>
      </c>
      <c r="F76" s="9" t="s">
        <v>155</v>
      </c>
      <c r="G76" s="9" t="s">
        <v>156</v>
      </c>
      <c r="H76" s="2" t="s">
        <v>314</v>
      </c>
      <c r="I76" s="2" t="s">
        <v>315</v>
      </c>
      <c r="J76" s="2">
        <v>10019648</v>
      </c>
      <c r="K76" s="2" t="s">
        <v>284</v>
      </c>
      <c r="L76" s="21">
        <v>8</v>
      </c>
      <c r="M76" s="21">
        <v>0</v>
      </c>
      <c r="N76" s="21">
        <v>0</v>
      </c>
      <c r="O76" s="21">
        <v>0</v>
      </c>
      <c r="R76" s="19">
        <v>0</v>
      </c>
      <c r="S76" s="12">
        <v>0</v>
      </c>
      <c r="T76" s="20">
        <v>0</v>
      </c>
      <c r="U76" s="12">
        <v>80</v>
      </c>
      <c r="V76" s="12">
        <v>0</v>
      </c>
      <c r="W76" s="21">
        <v>8</v>
      </c>
      <c r="X76" s="19">
        <v>0</v>
      </c>
      <c r="Y76" s="22">
        <v>0</v>
      </c>
      <c r="Z76" s="9" t="s">
        <v>3</v>
      </c>
      <c r="AA76" s="23" t="s">
        <v>317</v>
      </c>
      <c r="AC76" s="4">
        <v>316.08</v>
      </c>
      <c r="AD76" s="3">
        <v>46059</v>
      </c>
    </row>
    <row r="77" spans="1:30">
      <c r="A77" s="2" t="s">
        <v>333</v>
      </c>
      <c r="B77" s="9">
        <v>40</v>
      </c>
      <c r="C77" s="2" t="s">
        <v>181</v>
      </c>
      <c r="D77" s="2" t="s">
        <v>154</v>
      </c>
      <c r="E77" s="14">
        <v>46057</v>
      </c>
      <c r="F77" s="9" t="s">
        <v>155</v>
      </c>
      <c r="G77" s="9" t="s">
        <v>156</v>
      </c>
      <c r="H77" s="2" t="s">
        <v>282</v>
      </c>
      <c r="I77" s="2" t="s">
        <v>283</v>
      </c>
      <c r="J77" s="2">
        <v>10019648</v>
      </c>
      <c r="K77" s="2" t="s">
        <v>284</v>
      </c>
      <c r="L77" s="21">
        <v>9</v>
      </c>
      <c r="M77" s="21">
        <v>0</v>
      </c>
      <c r="N77" s="21">
        <v>0</v>
      </c>
      <c r="O77" s="21">
        <v>0</v>
      </c>
      <c r="R77" s="19">
        <v>0</v>
      </c>
      <c r="S77" s="12">
        <v>0</v>
      </c>
      <c r="T77" s="20">
        <v>0</v>
      </c>
      <c r="U77" s="12">
        <v>90</v>
      </c>
      <c r="V77" s="12">
        <v>0</v>
      </c>
      <c r="W77" s="21">
        <v>9</v>
      </c>
      <c r="X77" s="19">
        <v>0</v>
      </c>
      <c r="Y77" s="22">
        <v>0</v>
      </c>
      <c r="Z77" s="9" t="s">
        <v>3</v>
      </c>
      <c r="AA77" s="23" t="s">
        <v>285</v>
      </c>
      <c r="AC77" s="4">
        <v>355.59</v>
      </c>
      <c r="AD77" s="3">
        <v>46059</v>
      </c>
    </row>
    <row r="78" spans="1:30">
      <c r="A78" s="2" t="s">
        <v>333</v>
      </c>
      <c r="B78" s="9">
        <v>100</v>
      </c>
      <c r="C78" s="2" t="s">
        <v>181</v>
      </c>
      <c r="D78" s="2" t="s">
        <v>154</v>
      </c>
      <c r="E78" s="14">
        <v>46057</v>
      </c>
      <c r="F78" s="9" t="s">
        <v>155</v>
      </c>
      <c r="G78" s="9" t="s">
        <v>156</v>
      </c>
      <c r="H78" s="2" t="s">
        <v>282</v>
      </c>
      <c r="I78" s="2" t="s">
        <v>283</v>
      </c>
      <c r="J78" s="2">
        <v>10019648</v>
      </c>
      <c r="K78" s="2" t="s">
        <v>284</v>
      </c>
      <c r="L78" s="21">
        <v>9</v>
      </c>
      <c r="M78" s="21">
        <v>0</v>
      </c>
      <c r="N78" s="21">
        <v>0</v>
      </c>
      <c r="O78" s="21">
        <v>0</v>
      </c>
      <c r="R78" s="19">
        <v>0</v>
      </c>
      <c r="S78" s="12">
        <v>0</v>
      </c>
      <c r="T78" s="20">
        <v>0</v>
      </c>
      <c r="U78" s="12">
        <v>90</v>
      </c>
      <c r="V78" s="12">
        <v>0</v>
      </c>
      <c r="W78" s="21">
        <v>9</v>
      </c>
      <c r="X78" s="19">
        <v>0</v>
      </c>
      <c r="Y78" s="22">
        <v>0</v>
      </c>
      <c r="Z78" s="9" t="s">
        <v>3</v>
      </c>
      <c r="AA78" s="23" t="s">
        <v>285</v>
      </c>
      <c r="AC78" s="4">
        <v>355.59</v>
      </c>
      <c r="AD78" s="3">
        <v>46059</v>
      </c>
    </row>
    <row r="79" spans="1:30">
      <c r="A79" s="2" t="s">
        <v>334</v>
      </c>
      <c r="B79" s="9">
        <v>50</v>
      </c>
      <c r="C79" s="2" t="s">
        <v>153</v>
      </c>
      <c r="D79" s="2" t="s">
        <v>154</v>
      </c>
      <c r="E79" s="14">
        <v>46062</v>
      </c>
      <c r="F79" s="9" t="s">
        <v>155</v>
      </c>
      <c r="G79" s="9" t="s">
        <v>156</v>
      </c>
      <c r="H79" s="2" t="s">
        <v>308</v>
      </c>
      <c r="I79" s="2" t="s">
        <v>309</v>
      </c>
      <c r="J79" s="2">
        <v>10061010</v>
      </c>
      <c r="K79" s="2" t="s">
        <v>208</v>
      </c>
      <c r="L79" s="21">
        <v>116</v>
      </c>
      <c r="M79" s="21">
        <v>0</v>
      </c>
      <c r="N79" s="21">
        <v>0</v>
      </c>
      <c r="O79" s="21">
        <v>0</v>
      </c>
      <c r="R79" s="19">
        <v>0</v>
      </c>
      <c r="S79" s="12">
        <v>0</v>
      </c>
      <c r="T79" s="20">
        <v>0</v>
      </c>
      <c r="U79" s="12">
        <v>2061.3200000000002</v>
      </c>
      <c r="V79" s="12">
        <v>0</v>
      </c>
      <c r="W79" s="21">
        <v>116</v>
      </c>
      <c r="X79" s="19">
        <v>0</v>
      </c>
      <c r="Y79" s="22">
        <v>0</v>
      </c>
      <c r="Z79" s="9" t="s">
        <v>3</v>
      </c>
      <c r="AA79" s="23" t="s">
        <v>274</v>
      </c>
      <c r="AC79" s="4">
        <v>5809.28</v>
      </c>
      <c r="AD79" s="3">
        <v>46064</v>
      </c>
    </row>
    <row r="80" spans="1:30">
      <c r="A80" s="2" t="s">
        <v>335</v>
      </c>
      <c r="B80" s="9">
        <v>30</v>
      </c>
      <c r="C80" s="2" t="s">
        <v>153</v>
      </c>
      <c r="D80" s="2" t="s">
        <v>154</v>
      </c>
      <c r="E80" s="14">
        <v>46062</v>
      </c>
      <c r="G80" s="9" t="s">
        <v>156</v>
      </c>
      <c r="H80" s="2" t="s">
        <v>330</v>
      </c>
      <c r="I80" s="2" t="s">
        <v>331</v>
      </c>
      <c r="J80" s="2">
        <v>10016081</v>
      </c>
      <c r="K80" s="2" t="s">
        <v>210</v>
      </c>
      <c r="L80" s="21">
        <v>28</v>
      </c>
      <c r="M80" s="21">
        <v>0</v>
      </c>
      <c r="N80" s="21">
        <v>0</v>
      </c>
      <c r="O80" s="21">
        <v>0</v>
      </c>
      <c r="R80" s="19">
        <v>0</v>
      </c>
      <c r="S80" s="12">
        <v>0</v>
      </c>
      <c r="T80" s="20">
        <v>0</v>
      </c>
      <c r="U80" s="12">
        <v>1237.5999999999999</v>
      </c>
      <c r="V80" s="12">
        <v>0</v>
      </c>
      <c r="W80" s="21">
        <v>28</v>
      </c>
      <c r="X80" s="19">
        <v>112</v>
      </c>
      <c r="Y80" s="22">
        <v>0</v>
      </c>
      <c r="Z80" s="9" t="s">
        <v>3</v>
      </c>
      <c r="AA80" s="23" t="s">
        <v>165</v>
      </c>
      <c r="AC80" s="4">
        <v>2736.16</v>
      </c>
      <c r="AD80" s="3">
        <v>46064</v>
      </c>
    </row>
    <row r="81" spans="1:30">
      <c r="A81" s="2" t="s">
        <v>336</v>
      </c>
      <c r="B81" s="9">
        <v>70</v>
      </c>
      <c r="C81" s="2" t="s">
        <v>192</v>
      </c>
      <c r="D81" s="2" t="s">
        <v>154</v>
      </c>
      <c r="E81" s="14">
        <v>46062</v>
      </c>
      <c r="F81" s="9" t="s">
        <v>155</v>
      </c>
      <c r="G81" s="9" t="s">
        <v>156</v>
      </c>
      <c r="H81" s="2" t="s">
        <v>314</v>
      </c>
      <c r="I81" s="2" t="s">
        <v>315</v>
      </c>
      <c r="J81" s="2">
        <v>10061010</v>
      </c>
      <c r="K81" s="2" t="s">
        <v>208</v>
      </c>
      <c r="L81" s="21">
        <v>50</v>
      </c>
      <c r="M81" s="21">
        <v>0</v>
      </c>
      <c r="N81" s="21">
        <v>0</v>
      </c>
      <c r="O81" s="21">
        <v>0</v>
      </c>
      <c r="R81" s="19">
        <v>0</v>
      </c>
      <c r="S81" s="12">
        <v>0</v>
      </c>
      <c r="T81" s="20">
        <v>0</v>
      </c>
      <c r="U81" s="12">
        <v>888.5</v>
      </c>
      <c r="V81" s="12">
        <v>0</v>
      </c>
      <c r="W81" s="21">
        <v>50</v>
      </c>
      <c r="X81" s="19">
        <v>0</v>
      </c>
      <c r="Y81" s="22">
        <v>0</v>
      </c>
      <c r="Z81" s="9" t="s">
        <v>3</v>
      </c>
      <c r="AA81" s="23" t="s">
        <v>317</v>
      </c>
      <c r="AC81" s="4">
        <v>2504</v>
      </c>
      <c r="AD81" s="3">
        <v>46070</v>
      </c>
    </row>
    <row r="82" spans="1:30">
      <c r="A82" s="2" t="s">
        <v>337</v>
      </c>
      <c r="B82" s="9">
        <v>20</v>
      </c>
      <c r="C82" s="2" t="s">
        <v>181</v>
      </c>
      <c r="D82" s="2" t="s">
        <v>154</v>
      </c>
      <c r="E82" s="14">
        <v>46062</v>
      </c>
      <c r="F82" s="9" t="s">
        <v>155</v>
      </c>
      <c r="G82" s="9" t="s">
        <v>156</v>
      </c>
      <c r="H82" s="2" t="s">
        <v>282</v>
      </c>
      <c r="I82" s="2" t="s">
        <v>283</v>
      </c>
      <c r="J82" s="2">
        <v>10061010</v>
      </c>
      <c r="K82" s="2" t="s">
        <v>208</v>
      </c>
      <c r="L82" s="21">
        <v>50</v>
      </c>
      <c r="M82" s="21">
        <v>0</v>
      </c>
      <c r="N82" s="21">
        <v>0</v>
      </c>
      <c r="O82" s="21">
        <v>0</v>
      </c>
      <c r="R82" s="19">
        <v>0</v>
      </c>
      <c r="S82" s="12">
        <v>0</v>
      </c>
      <c r="T82" s="20">
        <v>0</v>
      </c>
      <c r="U82" s="12">
        <v>888.5</v>
      </c>
      <c r="V82" s="12">
        <v>0</v>
      </c>
      <c r="W82" s="21">
        <v>50</v>
      </c>
      <c r="X82" s="19">
        <v>0</v>
      </c>
      <c r="Y82" s="22">
        <v>0</v>
      </c>
      <c r="Z82" s="9" t="s">
        <v>3</v>
      </c>
      <c r="AA82" s="23" t="s">
        <v>285</v>
      </c>
      <c r="AC82" s="4">
        <v>2504</v>
      </c>
      <c r="AD82" s="3">
        <v>46065</v>
      </c>
    </row>
    <row r="83" spans="1:30">
      <c r="A83" s="2" t="s">
        <v>338</v>
      </c>
      <c r="B83" s="9">
        <v>30</v>
      </c>
      <c r="C83" s="2" t="s">
        <v>153</v>
      </c>
      <c r="D83" s="2" t="s">
        <v>154</v>
      </c>
      <c r="E83" s="14">
        <v>46063</v>
      </c>
      <c r="G83" s="9" t="s">
        <v>156</v>
      </c>
      <c r="H83" s="2" t="s">
        <v>339</v>
      </c>
      <c r="I83" s="2" t="s">
        <v>340</v>
      </c>
      <c r="J83" s="2">
        <v>10019703</v>
      </c>
      <c r="K83" s="2" t="s">
        <v>318</v>
      </c>
      <c r="L83" s="21">
        <v>5</v>
      </c>
      <c r="M83" s="21">
        <v>0</v>
      </c>
      <c r="N83" s="21">
        <v>0</v>
      </c>
      <c r="O83" s="21">
        <v>0</v>
      </c>
      <c r="R83" s="19">
        <v>0</v>
      </c>
      <c r="S83" s="12">
        <v>0</v>
      </c>
      <c r="T83" s="20">
        <v>0</v>
      </c>
      <c r="U83" s="12">
        <v>167.18</v>
      </c>
      <c r="V83" s="12">
        <v>0</v>
      </c>
      <c r="W83" s="21">
        <v>5</v>
      </c>
      <c r="X83" s="19">
        <v>22.5</v>
      </c>
      <c r="Y83" s="22">
        <v>0</v>
      </c>
      <c r="Z83" s="9" t="s">
        <v>3</v>
      </c>
      <c r="AA83" s="23" t="s">
        <v>341</v>
      </c>
      <c r="AC83" s="4">
        <v>486.68</v>
      </c>
      <c r="AD83" s="3">
        <v>46065</v>
      </c>
    </row>
    <row r="84" spans="1:30">
      <c r="A84" s="2" t="s">
        <v>338</v>
      </c>
      <c r="B84" s="9">
        <v>40</v>
      </c>
      <c r="C84" s="2" t="s">
        <v>153</v>
      </c>
      <c r="D84" s="2" t="s">
        <v>154</v>
      </c>
      <c r="E84" s="14">
        <v>46063</v>
      </c>
      <c r="G84" s="9" t="s">
        <v>156</v>
      </c>
      <c r="H84" s="2" t="s">
        <v>339</v>
      </c>
      <c r="I84" s="2" t="s">
        <v>340</v>
      </c>
      <c r="J84" s="2">
        <v>10016081</v>
      </c>
      <c r="K84" s="2" t="s">
        <v>210</v>
      </c>
      <c r="L84" s="21">
        <v>28</v>
      </c>
      <c r="M84" s="21">
        <v>0</v>
      </c>
      <c r="N84" s="21">
        <v>0</v>
      </c>
      <c r="O84" s="21">
        <v>0</v>
      </c>
      <c r="R84" s="19">
        <v>0</v>
      </c>
      <c r="S84" s="12">
        <v>0</v>
      </c>
      <c r="T84" s="20">
        <v>0</v>
      </c>
      <c r="U84" s="12">
        <v>1237.5999999999999</v>
      </c>
      <c r="V84" s="12">
        <v>0</v>
      </c>
      <c r="W84" s="21">
        <v>28</v>
      </c>
      <c r="X84" s="19">
        <v>112</v>
      </c>
      <c r="Y84" s="22">
        <v>0</v>
      </c>
      <c r="Z84" s="9" t="s">
        <v>3</v>
      </c>
      <c r="AA84" s="23" t="s">
        <v>341</v>
      </c>
      <c r="AC84" s="4">
        <v>2736.16</v>
      </c>
      <c r="AD84" s="3">
        <v>46065</v>
      </c>
    </row>
    <row r="85" spans="1:30">
      <c r="A85" s="2" t="s">
        <v>342</v>
      </c>
      <c r="B85" s="9">
        <v>20</v>
      </c>
      <c r="C85" s="2" t="s">
        <v>192</v>
      </c>
      <c r="D85" s="2" t="s">
        <v>154</v>
      </c>
      <c r="E85" s="14">
        <v>46063</v>
      </c>
      <c r="F85" s="9" t="s">
        <v>155</v>
      </c>
      <c r="G85" s="9" t="s">
        <v>156</v>
      </c>
      <c r="H85" s="2" t="s">
        <v>343</v>
      </c>
      <c r="I85" s="2" t="s">
        <v>344</v>
      </c>
      <c r="J85" s="2">
        <v>10016081</v>
      </c>
      <c r="K85" s="2" t="s">
        <v>210</v>
      </c>
      <c r="L85" s="21">
        <v>2</v>
      </c>
      <c r="M85" s="21">
        <v>0</v>
      </c>
      <c r="N85" s="21">
        <v>0</v>
      </c>
      <c r="O85" s="21">
        <v>0</v>
      </c>
      <c r="R85" s="19">
        <v>0</v>
      </c>
      <c r="S85" s="12">
        <v>0</v>
      </c>
      <c r="T85" s="20">
        <v>0</v>
      </c>
      <c r="U85" s="12">
        <v>88.4</v>
      </c>
      <c r="V85" s="12">
        <v>0</v>
      </c>
      <c r="W85" s="21">
        <v>2</v>
      </c>
      <c r="X85" s="19">
        <v>8</v>
      </c>
      <c r="Y85" s="22">
        <v>0</v>
      </c>
      <c r="Z85" s="9" t="s">
        <v>3</v>
      </c>
      <c r="AA85" s="23" t="s">
        <v>345</v>
      </c>
      <c r="AC85" s="4">
        <v>195.44</v>
      </c>
      <c r="AD85" s="3">
        <v>46070</v>
      </c>
    </row>
    <row r="86" spans="1:30">
      <c r="A86" s="2" t="s">
        <v>346</v>
      </c>
      <c r="B86" s="9">
        <v>170</v>
      </c>
      <c r="C86" s="2" t="s">
        <v>153</v>
      </c>
      <c r="D86" s="2" t="s">
        <v>154</v>
      </c>
      <c r="E86" s="14">
        <v>46063</v>
      </c>
      <c r="F86" s="9" t="s">
        <v>155</v>
      </c>
      <c r="G86" s="9" t="s">
        <v>156</v>
      </c>
      <c r="H86" s="2" t="s">
        <v>212</v>
      </c>
      <c r="I86" s="2" t="s">
        <v>213</v>
      </c>
      <c r="J86" s="2">
        <v>10061010</v>
      </c>
      <c r="K86" s="2" t="s">
        <v>208</v>
      </c>
      <c r="L86" s="21">
        <v>116</v>
      </c>
      <c r="M86" s="21">
        <v>0</v>
      </c>
      <c r="N86" s="21">
        <v>0</v>
      </c>
      <c r="O86" s="21">
        <v>0</v>
      </c>
      <c r="R86" s="19">
        <v>0</v>
      </c>
      <c r="S86" s="12">
        <v>0</v>
      </c>
      <c r="T86" s="20">
        <v>0</v>
      </c>
      <c r="U86" s="12">
        <v>2061.3200000000002</v>
      </c>
      <c r="V86" s="12">
        <v>0</v>
      </c>
      <c r="W86" s="21">
        <v>116</v>
      </c>
      <c r="X86" s="19">
        <v>0</v>
      </c>
      <c r="Y86" s="22">
        <v>0</v>
      </c>
      <c r="Z86" s="9" t="s">
        <v>3</v>
      </c>
      <c r="AA86" s="23" t="s">
        <v>215</v>
      </c>
      <c r="AC86" s="4">
        <v>5809.28</v>
      </c>
      <c r="AD86" s="3">
        <v>46070</v>
      </c>
    </row>
    <row r="87" spans="1:30">
      <c r="A87" s="2" t="s">
        <v>347</v>
      </c>
      <c r="B87" s="9">
        <v>100</v>
      </c>
      <c r="C87" s="2" t="s">
        <v>175</v>
      </c>
      <c r="D87" s="2" t="s">
        <v>154</v>
      </c>
      <c r="E87" s="14">
        <v>46063</v>
      </c>
      <c r="F87" s="9" t="s">
        <v>155</v>
      </c>
      <c r="G87" s="9" t="s">
        <v>156</v>
      </c>
      <c r="H87" s="2" t="s">
        <v>348</v>
      </c>
      <c r="I87" s="2" t="s">
        <v>349</v>
      </c>
      <c r="J87" s="2">
        <v>10066215</v>
      </c>
      <c r="K87" s="2" t="s">
        <v>350</v>
      </c>
      <c r="L87" s="21">
        <v>8</v>
      </c>
      <c r="M87" s="21">
        <v>0</v>
      </c>
      <c r="N87" s="21">
        <v>0</v>
      </c>
      <c r="O87" s="21">
        <v>0</v>
      </c>
      <c r="R87" s="19">
        <v>0</v>
      </c>
      <c r="S87" s="12">
        <v>0</v>
      </c>
      <c r="T87" s="20">
        <v>0</v>
      </c>
      <c r="U87" s="12">
        <v>53.28</v>
      </c>
      <c r="V87" s="12">
        <v>0</v>
      </c>
      <c r="W87" s="21">
        <v>8</v>
      </c>
      <c r="X87" s="19">
        <v>0</v>
      </c>
      <c r="Y87" s="22">
        <v>0</v>
      </c>
      <c r="Z87" s="9" t="s">
        <v>6</v>
      </c>
      <c r="AA87" s="23" t="s">
        <v>351</v>
      </c>
      <c r="AC87" s="4">
        <v>197.84</v>
      </c>
      <c r="AD87" s="3">
        <v>46066</v>
      </c>
    </row>
    <row r="88" spans="1:30">
      <c r="A88" s="2" t="s">
        <v>352</v>
      </c>
      <c r="B88" s="9">
        <v>160</v>
      </c>
      <c r="C88" s="2" t="s">
        <v>181</v>
      </c>
      <c r="D88" s="2" t="s">
        <v>154</v>
      </c>
      <c r="E88" s="14">
        <v>46071</v>
      </c>
      <c r="F88" s="9" t="s">
        <v>155</v>
      </c>
      <c r="G88" s="9" t="s">
        <v>156</v>
      </c>
      <c r="H88" s="2" t="s">
        <v>282</v>
      </c>
      <c r="I88" s="2" t="s">
        <v>283</v>
      </c>
      <c r="J88" s="2">
        <v>10061008</v>
      </c>
      <c r="K88" s="2" t="s">
        <v>353</v>
      </c>
      <c r="L88" s="21">
        <v>28</v>
      </c>
      <c r="M88" s="21">
        <v>0</v>
      </c>
      <c r="N88" s="21">
        <v>0</v>
      </c>
      <c r="O88" s="21">
        <v>0</v>
      </c>
      <c r="R88" s="19">
        <v>0</v>
      </c>
      <c r="S88" s="12">
        <v>0</v>
      </c>
      <c r="T88" s="20">
        <v>0</v>
      </c>
      <c r="U88" s="12">
        <v>248.92</v>
      </c>
      <c r="V88" s="12">
        <v>0</v>
      </c>
      <c r="W88" s="21">
        <v>28</v>
      </c>
      <c r="X88" s="19">
        <v>0</v>
      </c>
      <c r="Y88" s="22">
        <v>0</v>
      </c>
      <c r="Z88" s="9" t="s">
        <v>3</v>
      </c>
      <c r="AA88" s="23" t="s">
        <v>285</v>
      </c>
      <c r="AC88" s="4">
        <v>704.76</v>
      </c>
      <c r="AD88" s="3">
        <v>46073</v>
      </c>
    </row>
    <row r="89" spans="1:30">
      <c r="A89" s="2" t="s">
        <v>354</v>
      </c>
      <c r="B89" s="9">
        <v>40</v>
      </c>
      <c r="C89" s="2" t="s">
        <v>192</v>
      </c>
      <c r="D89" s="2" t="s">
        <v>154</v>
      </c>
      <c r="E89" s="14">
        <v>46072</v>
      </c>
      <c r="F89" s="9" t="s">
        <v>155</v>
      </c>
      <c r="G89" s="9" t="s">
        <v>156</v>
      </c>
      <c r="H89" s="2" t="s">
        <v>355</v>
      </c>
      <c r="I89" s="2" t="s">
        <v>356</v>
      </c>
      <c r="J89" s="2">
        <v>10019641</v>
      </c>
      <c r="K89" s="2" t="s">
        <v>322</v>
      </c>
      <c r="L89" s="21">
        <v>2</v>
      </c>
      <c r="M89" s="21">
        <v>0</v>
      </c>
      <c r="N89" s="21">
        <v>0</v>
      </c>
      <c r="O89" s="21">
        <v>0</v>
      </c>
      <c r="R89" s="19">
        <v>0</v>
      </c>
      <c r="S89" s="12">
        <v>0</v>
      </c>
      <c r="T89" s="20">
        <v>0</v>
      </c>
      <c r="U89" s="12">
        <v>35.409999999999997</v>
      </c>
      <c r="V89" s="12">
        <v>0</v>
      </c>
      <c r="W89" s="21">
        <v>2</v>
      </c>
      <c r="X89" s="19">
        <v>5.2</v>
      </c>
      <c r="Y89" s="22">
        <v>0</v>
      </c>
      <c r="Z89" s="9" t="s">
        <v>3</v>
      </c>
      <c r="AA89" s="23" t="s">
        <v>357</v>
      </c>
      <c r="AC89" s="4">
        <v>142.58000000000001</v>
      </c>
      <c r="AD89" s="3">
        <v>46077</v>
      </c>
    </row>
    <row r="90" spans="1:30">
      <c r="A90" s="2" t="s">
        <v>358</v>
      </c>
      <c r="B90" s="9">
        <v>200</v>
      </c>
      <c r="C90" s="2" t="s">
        <v>175</v>
      </c>
      <c r="D90" s="2" t="s">
        <v>154</v>
      </c>
      <c r="E90" s="14">
        <v>46073</v>
      </c>
      <c r="F90" s="9" t="s">
        <v>155</v>
      </c>
      <c r="G90" s="9" t="s">
        <v>156</v>
      </c>
      <c r="H90" s="2" t="s">
        <v>224</v>
      </c>
      <c r="I90" s="2" t="s">
        <v>225</v>
      </c>
      <c r="J90" s="2">
        <v>10033175</v>
      </c>
      <c r="K90" s="2" t="s">
        <v>359</v>
      </c>
      <c r="L90" s="21">
        <v>8</v>
      </c>
      <c r="M90" s="21">
        <v>0</v>
      </c>
      <c r="N90" s="21">
        <v>0</v>
      </c>
      <c r="O90" s="21">
        <v>0</v>
      </c>
      <c r="R90" s="19">
        <v>0</v>
      </c>
      <c r="S90" s="12">
        <v>0</v>
      </c>
      <c r="T90" s="20">
        <v>0</v>
      </c>
      <c r="U90" s="12">
        <v>160</v>
      </c>
      <c r="V90" s="12">
        <v>0</v>
      </c>
      <c r="W90" s="21">
        <v>8</v>
      </c>
      <c r="X90" s="19">
        <v>0</v>
      </c>
      <c r="Y90" s="22">
        <v>0</v>
      </c>
      <c r="Z90" s="9" t="s">
        <v>4</v>
      </c>
      <c r="AA90" s="23" t="s">
        <v>227</v>
      </c>
      <c r="AC90" s="4">
        <v>938.88</v>
      </c>
      <c r="AD90" s="3">
        <v>46077</v>
      </c>
    </row>
    <row r="91" spans="1:30">
      <c r="A91" s="2" t="s">
        <v>360</v>
      </c>
      <c r="B91" s="9">
        <v>10</v>
      </c>
      <c r="C91" s="2" t="s">
        <v>361</v>
      </c>
      <c r="D91" s="2" t="s">
        <v>154</v>
      </c>
      <c r="E91" s="14">
        <v>46076</v>
      </c>
      <c r="F91" s="9" t="s">
        <v>155</v>
      </c>
      <c r="G91" s="9" t="s">
        <v>156</v>
      </c>
      <c r="H91" s="2" t="s">
        <v>362</v>
      </c>
      <c r="I91" s="2" t="s">
        <v>363</v>
      </c>
      <c r="J91" s="2">
        <v>10065013</v>
      </c>
      <c r="K91" s="2" t="s">
        <v>364</v>
      </c>
      <c r="L91" s="21">
        <v>20</v>
      </c>
      <c r="M91" s="21">
        <v>0</v>
      </c>
      <c r="N91" s="21">
        <v>0</v>
      </c>
      <c r="O91" s="21">
        <v>0</v>
      </c>
      <c r="R91" s="19">
        <v>0</v>
      </c>
      <c r="S91" s="12">
        <v>0</v>
      </c>
      <c r="T91" s="20">
        <v>0</v>
      </c>
      <c r="U91" s="12">
        <v>259.60000000000002</v>
      </c>
      <c r="V91" s="12">
        <v>0</v>
      </c>
      <c r="W91" s="21">
        <v>20</v>
      </c>
      <c r="X91" s="19">
        <v>0</v>
      </c>
      <c r="Y91" s="22">
        <v>0</v>
      </c>
      <c r="Z91" s="9" t="s">
        <v>4</v>
      </c>
      <c r="AA91" s="23" t="s">
        <v>365</v>
      </c>
      <c r="AC91" s="4">
        <v>819</v>
      </c>
      <c r="AD91" s="3">
        <v>46079</v>
      </c>
    </row>
    <row r="92" spans="1:30">
      <c r="A92" s="2" t="s">
        <v>366</v>
      </c>
      <c r="B92" s="9">
        <v>10</v>
      </c>
      <c r="C92" s="2" t="s">
        <v>192</v>
      </c>
      <c r="D92" s="2" t="s">
        <v>154</v>
      </c>
      <c r="E92" s="14">
        <v>46077</v>
      </c>
      <c r="F92" s="9" t="s">
        <v>155</v>
      </c>
      <c r="G92" s="9" t="s">
        <v>156</v>
      </c>
      <c r="H92" s="2" t="s">
        <v>287</v>
      </c>
      <c r="I92" s="2" t="s">
        <v>288</v>
      </c>
      <c r="J92" s="2">
        <v>10019703</v>
      </c>
      <c r="K92" s="2" t="s">
        <v>318</v>
      </c>
      <c r="L92" s="21">
        <v>20</v>
      </c>
      <c r="M92" s="21">
        <v>0</v>
      </c>
      <c r="N92" s="21">
        <v>0</v>
      </c>
      <c r="O92" s="21">
        <v>0</v>
      </c>
      <c r="R92" s="19">
        <v>0</v>
      </c>
      <c r="S92" s="12">
        <v>0</v>
      </c>
      <c r="T92" s="20">
        <v>0</v>
      </c>
      <c r="U92" s="12">
        <v>668.7</v>
      </c>
      <c r="V92" s="12">
        <v>0</v>
      </c>
      <c r="W92" s="21">
        <v>20</v>
      </c>
      <c r="X92" s="19">
        <v>90</v>
      </c>
      <c r="Y92" s="22">
        <v>0</v>
      </c>
      <c r="Z92" s="9" t="s">
        <v>3</v>
      </c>
      <c r="AA92" s="23" t="s">
        <v>290</v>
      </c>
      <c r="AC92" s="4">
        <v>2009.7</v>
      </c>
      <c r="AD92" s="3">
        <v>46083</v>
      </c>
    </row>
    <row r="93" spans="1:30">
      <c r="A93" s="2" t="s">
        <v>367</v>
      </c>
      <c r="B93" s="9">
        <v>10</v>
      </c>
      <c r="C93" s="2" t="s">
        <v>153</v>
      </c>
      <c r="D93" s="2" t="s">
        <v>154</v>
      </c>
      <c r="E93" s="14">
        <v>46077</v>
      </c>
      <c r="F93" s="9" t="s">
        <v>155</v>
      </c>
      <c r="G93" s="9" t="s">
        <v>156</v>
      </c>
      <c r="H93" s="2" t="s">
        <v>212</v>
      </c>
      <c r="I93" s="2" t="s">
        <v>213</v>
      </c>
      <c r="J93" s="2">
        <v>10019703</v>
      </c>
      <c r="K93" s="2" t="s">
        <v>318</v>
      </c>
      <c r="L93" s="21">
        <v>20</v>
      </c>
      <c r="M93" s="21">
        <v>0</v>
      </c>
      <c r="N93" s="21">
        <v>0</v>
      </c>
      <c r="O93" s="21">
        <v>0</v>
      </c>
      <c r="R93" s="19">
        <v>0</v>
      </c>
      <c r="S93" s="12">
        <v>0</v>
      </c>
      <c r="T93" s="20">
        <v>0</v>
      </c>
      <c r="U93" s="12">
        <v>668.7</v>
      </c>
      <c r="V93" s="12">
        <v>0</v>
      </c>
      <c r="W93" s="21">
        <v>20</v>
      </c>
      <c r="X93" s="19">
        <v>90</v>
      </c>
      <c r="Y93" s="22">
        <v>0</v>
      </c>
      <c r="Z93" s="9" t="s">
        <v>3</v>
      </c>
      <c r="AA93" s="23" t="s">
        <v>215</v>
      </c>
      <c r="AC93" s="4">
        <v>2009.7</v>
      </c>
      <c r="AD93" s="3">
        <v>46083</v>
      </c>
    </row>
    <row r="94" spans="1:30">
      <c r="A94" s="2" t="s">
        <v>367</v>
      </c>
      <c r="B94" s="9">
        <v>130</v>
      </c>
      <c r="C94" s="2" t="s">
        <v>153</v>
      </c>
      <c r="D94" s="2" t="s">
        <v>154</v>
      </c>
      <c r="E94" s="14">
        <v>46077</v>
      </c>
      <c r="F94" s="9" t="s">
        <v>155</v>
      </c>
      <c r="G94" s="9" t="s">
        <v>156</v>
      </c>
      <c r="H94" s="2" t="s">
        <v>212</v>
      </c>
      <c r="I94" s="2" t="s">
        <v>213</v>
      </c>
      <c r="J94" s="2">
        <v>10067042</v>
      </c>
      <c r="K94" s="2" t="s">
        <v>368</v>
      </c>
      <c r="L94" s="21">
        <v>2</v>
      </c>
      <c r="M94" s="21">
        <v>0</v>
      </c>
      <c r="N94" s="21">
        <v>0</v>
      </c>
      <c r="O94" s="21">
        <v>0</v>
      </c>
      <c r="R94" s="19">
        <v>0</v>
      </c>
      <c r="S94" s="12">
        <v>0</v>
      </c>
      <c r="T94" s="20">
        <v>0</v>
      </c>
      <c r="U94" s="12">
        <v>16</v>
      </c>
      <c r="V94" s="12">
        <v>0</v>
      </c>
      <c r="W94" s="21">
        <v>2</v>
      </c>
      <c r="X94" s="19">
        <v>0</v>
      </c>
      <c r="Y94" s="22">
        <v>0</v>
      </c>
      <c r="Z94" s="9" t="s">
        <v>3</v>
      </c>
      <c r="AA94" s="23" t="s">
        <v>215</v>
      </c>
      <c r="AC94" s="4">
        <v>56.38</v>
      </c>
      <c r="AD94" s="3">
        <v>46083</v>
      </c>
    </row>
    <row r="95" spans="1:30">
      <c r="A95" s="2" t="s">
        <v>367</v>
      </c>
      <c r="B95" s="9">
        <v>170</v>
      </c>
      <c r="C95" s="2" t="s">
        <v>153</v>
      </c>
      <c r="D95" s="2" t="s">
        <v>154</v>
      </c>
      <c r="E95" s="14">
        <v>46077</v>
      </c>
      <c r="F95" s="9" t="s">
        <v>155</v>
      </c>
      <c r="G95" s="9" t="s">
        <v>156</v>
      </c>
      <c r="H95" s="2" t="s">
        <v>212</v>
      </c>
      <c r="I95" s="2" t="s">
        <v>213</v>
      </c>
      <c r="J95" s="2">
        <v>10018646</v>
      </c>
      <c r="K95" s="2" t="s">
        <v>369</v>
      </c>
      <c r="L95" s="21">
        <v>25</v>
      </c>
      <c r="M95" s="21">
        <v>0</v>
      </c>
      <c r="N95" s="21">
        <v>0</v>
      </c>
      <c r="O95" s="21">
        <v>0</v>
      </c>
      <c r="R95" s="19">
        <v>0</v>
      </c>
      <c r="S95" s="12">
        <v>0</v>
      </c>
      <c r="T95" s="20">
        <v>0</v>
      </c>
      <c r="U95" s="12">
        <v>200</v>
      </c>
      <c r="V95" s="12">
        <v>0</v>
      </c>
      <c r="W95" s="21">
        <v>25</v>
      </c>
      <c r="X95" s="19">
        <v>0</v>
      </c>
      <c r="Y95" s="22">
        <v>0</v>
      </c>
      <c r="Z95" s="9" t="s">
        <v>3</v>
      </c>
      <c r="AA95" s="23" t="s">
        <v>215</v>
      </c>
      <c r="AC95" s="4">
        <v>666.25</v>
      </c>
      <c r="AD95" s="3">
        <v>46083</v>
      </c>
    </row>
    <row r="96" spans="1:30">
      <c r="A96" s="2" t="s">
        <v>367</v>
      </c>
      <c r="B96" s="9">
        <v>210</v>
      </c>
      <c r="C96" s="2" t="s">
        <v>153</v>
      </c>
      <c r="D96" s="2" t="s">
        <v>154</v>
      </c>
      <c r="E96" s="14">
        <v>46077</v>
      </c>
      <c r="F96" s="9" t="s">
        <v>155</v>
      </c>
      <c r="G96" s="9" t="s">
        <v>156</v>
      </c>
      <c r="H96" s="2" t="s">
        <v>212</v>
      </c>
      <c r="I96" s="2" t="s">
        <v>213</v>
      </c>
      <c r="J96" s="2">
        <v>10061013</v>
      </c>
      <c r="K96" s="2" t="s">
        <v>370</v>
      </c>
      <c r="L96" s="21">
        <v>39</v>
      </c>
      <c r="M96" s="21">
        <v>0</v>
      </c>
      <c r="N96" s="21">
        <v>0</v>
      </c>
      <c r="O96" s="21">
        <v>0</v>
      </c>
      <c r="R96" s="19">
        <v>0</v>
      </c>
      <c r="S96" s="12">
        <v>0</v>
      </c>
      <c r="T96" s="20">
        <v>0</v>
      </c>
      <c r="U96" s="12">
        <v>346.71</v>
      </c>
      <c r="V96" s="12">
        <v>0</v>
      </c>
      <c r="W96" s="21">
        <v>39</v>
      </c>
      <c r="X96" s="19">
        <v>0</v>
      </c>
      <c r="Y96" s="22">
        <v>0</v>
      </c>
      <c r="Z96" s="9" t="s">
        <v>3</v>
      </c>
      <c r="AA96" s="23" t="s">
        <v>215</v>
      </c>
      <c r="AC96" s="4">
        <v>959.79</v>
      </c>
      <c r="AD96" s="3">
        <v>46083</v>
      </c>
    </row>
    <row r="97" spans="1:30">
      <c r="A97" s="2" t="s">
        <v>371</v>
      </c>
      <c r="B97" s="9">
        <v>10</v>
      </c>
      <c r="C97" s="2" t="s">
        <v>153</v>
      </c>
      <c r="D97" s="2" t="s">
        <v>154</v>
      </c>
      <c r="E97" s="14">
        <v>46077</v>
      </c>
      <c r="F97" s="9" t="s">
        <v>155</v>
      </c>
      <c r="G97" s="9" t="s">
        <v>156</v>
      </c>
      <c r="H97" s="2" t="s">
        <v>372</v>
      </c>
      <c r="I97" s="2" t="s">
        <v>373</v>
      </c>
      <c r="J97" s="2">
        <v>10019703</v>
      </c>
      <c r="K97" s="2" t="s">
        <v>318</v>
      </c>
      <c r="L97" s="21">
        <v>20</v>
      </c>
      <c r="M97" s="21">
        <v>0</v>
      </c>
      <c r="N97" s="21">
        <v>0</v>
      </c>
      <c r="O97" s="21">
        <v>0</v>
      </c>
      <c r="R97" s="19">
        <v>0</v>
      </c>
      <c r="S97" s="12">
        <v>0</v>
      </c>
      <c r="T97" s="20">
        <v>0</v>
      </c>
      <c r="U97" s="12">
        <v>270</v>
      </c>
      <c r="V97" s="12">
        <v>0</v>
      </c>
      <c r="W97" s="21">
        <v>20</v>
      </c>
      <c r="X97" s="19">
        <v>90</v>
      </c>
      <c r="Y97" s="22">
        <v>0</v>
      </c>
      <c r="Z97" s="9" t="s">
        <v>3</v>
      </c>
      <c r="AA97" s="23" t="s">
        <v>374</v>
      </c>
      <c r="AC97" s="4">
        <v>2009.7</v>
      </c>
      <c r="AD97" s="3">
        <v>46078</v>
      </c>
    </row>
    <row r="98" spans="1:30">
      <c r="A98" s="2" t="s">
        <v>371</v>
      </c>
      <c r="B98" s="9">
        <v>90</v>
      </c>
      <c r="C98" s="2" t="s">
        <v>153</v>
      </c>
      <c r="D98" s="2" t="s">
        <v>154</v>
      </c>
      <c r="E98" s="14">
        <v>46077</v>
      </c>
      <c r="F98" s="9" t="s">
        <v>155</v>
      </c>
      <c r="G98" s="9" t="s">
        <v>156</v>
      </c>
      <c r="H98" s="2" t="s">
        <v>372</v>
      </c>
      <c r="I98" s="2" t="s">
        <v>373</v>
      </c>
      <c r="J98" s="2">
        <v>10040391</v>
      </c>
      <c r="K98" s="2" t="s">
        <v>375</v>
      </c>
      <c r="L98" s="21">
        <v>127</v>
      </c>
      <c r="M98" s="21">
        <v>0</v>
      </c>
      <c r="N98" s="21">
        <v>0</v>
      </c>
      <c r="O98" s="21">
        <v>0</v>
      </c>
      <c r="R98" s="19">
        <v>0</v>
      </c>
      <c r="S98" s="12">
        <v>0</v>
      </c>
      <c r="T98" s="20">
        <v>0</v>
      </c>
      <c r="U98" s="12">
        <v>4579.62</v>
      </c>
      <c r="V98" s="12">
        <v>0</v>
      </c>
      <c r="W98" s="21">
        <v>127</v>
      </c>
      <c r="X98" s="19">
        <v>762</v>
      </c>
      <c r="Y98" s="22">
        <v>0</v>
      </c>
      <c r="Z98" s="9" t="s">
        <v>3</v>
      </c>
      <c r="AA98" s="23" t="s">
        <v>374</v>
      </c>
      <c r="AC98" s="4">
        <v>10721.34</v>
      </c>
      <c r="AD98" s="3">
        <v>46078</v>
      </c>
    </row>
    <row r="99" spans="1:30">
      <c r="A99" s="2" t="s">
        <v>376</v>
      </c>
      <c r="B99" s="9">
        <v>40</v>
      </c>
      <c r="C99" s="2" t="s">
        <v>153</v>
      </c>
      <c r="D99" s="2" t="s">
        <v>154</v>
      </c>
      <c r="E99" s="14">
        <v>46077</v>
      </c>
      <c r="F99" s="9" t="s">
        <v>155</v>
      </c>
      <c r="G99" s="9" t="s">
        <v>156</v>
      </c>
      <c r="H99" s="2" t="s">
        <v>240</v>
      </c>
      <c r="I99" s="2" t="s">
        <v>241</v>
      </c>
      <c r="J99" s="2">
        <v>10040391</v>
      </c>
      <c r="K99" s="2" t="s">
        <v>375</v>
      </c>
      <c r="L99" s="21">
        <v>10</v>
      </c>
      <c r="M99" s="21">
        <v>0</v>
      </c>
      <c r="N99" s="21">
        <v>0</v>
      </c>
      <c r="O99" s="21">
        <v>0</v>
      </c>
      <c r="R99" s="19">
        <v>0</v>
      </c>
      <c r="S99" s="12">
        <v>0</v>
      </c>
      <c r="T99" s="20">
        <v>0</v>
      </c>
      <c r="U99" s="12">
        <v>360.6</v>
      </c>
      <c r="V99" s="12">
        <v>0</v>
      </c>
      <c r="W99" s="21">
        <v>10</v>
      </c>
      <c r="X99" s="19">
        <v>60</v>
      </c>
      <c r="Y99" s="22">
        <v>0</v>
      </c>
      <c r="Z99" s="9" t="s">
        <v>3</v>
      </c>
      <c r="AA99" s="23" t="s">
        <v>242</v>
      </c>
      <c r="AC99" s="4">
        <v>844.2</v>
      </c>
      <c r="AD99" s="3">
        <v>46078</v>
      </c>
    </row>
    <row r="100" spans="1:30">
      <c r="A100" s="2" t="s">
        <v>377</v>
      </c>
      <c r="B100" s="9">
        <v>10</v>
      </c>
      <c r="C100" s="2" t="s">
        <v>192</v>
      </c>
      <c r="D100" s="2" t="s">
        <v>154</v>
      </c>
      <c r="E100" s="14">
        <v>46077</v>
      </c>
      <c r="F100" s="9" t="s">
        <v>155</v>
      </c>
      <c r="G100" s="9" t="s">
        <v>156</v>
      </c>
      <c r="H100" s="2" t="s">
        <v>314</v>
      </c>
      <c r="I100" s="2" t="s">
        <v>315</v>
      </c>
      <c r="J100" s="2">
        <v>10019703</v>
      </c>
      <c r="K100" s="2" t="s">
        <v>318</v>
      </c>
      <c r="L100" s="21">
        <v>20</v>
      </c>
      <c r="M100" s="21">
        <v>0</v>
      </c>
      <c r="N100" s="21">
        <v>0</v>
      </c>
      <c r="O100" s="21">
        <v>0</v>
      </c>
      <c r="R100" s="19">
        <v>0</v>
      </c>
      <c r="S100" s="12">
        <v>0</v>
      </c>
      <c r="T100" s="20">
        <v>0</v>
      </c>
      <c r="U100" s="12">
        <v>668.7</v>
      </c>
      <c r="V100" s="12">
        <v>0</v>
      </c>
      <c r="W100" s="21">
        <v>20</v>
      </c>
      <c r="X100" s="19">
        <v>90</v>
      </c>
      <c r="Y100" s="22">
        <v>0</v>
      </c>
      <c r="Z100" s="9" t="s">
        <v>3</v>
      </c>
      <c r="AA100" s="23" t="s">
        <v>317</v>
      </c>
      <c r="AC100" s="4">
        <v>2009.7</v>
      </c>
      <c r="AD100" s="3">
        <v>46084</v>
      </c>
    </row>
    <row r="101" spans="1:30">
      <c r="A101" s="2" t="s">
        <v>377</v>
      </c>
      <c r="B101" s="9">
        <v>170</v>
      </c>
      <c r="C101" s="2" t="s">
        <v>192</v>
      </c>
      <c r="D101" s="2" t="s">
        <v>154</v>
      </c>
      <c r="E101" s="14">
        <v>46077</v>
      </c>
      <c r="F101" s="9" t="s">
        <v>155</v>
      </c>
      <c r="G101" s="9" t="s">
        <v>156</v>
      </c>
      <c r="H101" s="2" t="s">
        <v>314</v>
      </c>
      <c r="I101" s="2" t="s">
        <v>315</v>
      </c>
      <c r="J101" s="2">
        <v>10019641</v>
      </c>
      <c r="K101" s="2" t="s">
        <v>322</v>
      </c>
      <c r="L101" s="21">
        <v>2</v>
      </c>
      <c r="M101" s="21">
        <v>0</v>
      </c>
      <c r="N101" s="21">
        <v>0</v>
      </c>
      <c r="O101" s="21">
        <v>0</v>
      </c>
      <c r="R101" s="19">
        <v>0</v>
      </c>
      <c r="S101" s="12">
        <v>0</v>
      </c>
      <c r="T101" s="20">
        <v>0</v>
      </c>
      <c r="U101" s="12">
        <v>35.409999999999997</v>
      </c>
      <c r="V101" s="12">
        <v>0</v>
      </c>
      <c r="W101" s="21">
        <v>2</v>
      </c>
      <c r="X101" s="19">
        <v>5.2</v>
      </c>
      <c r="Y101" s="22">
        <v>0</v>
      </c>
      <c r="Z101" s="9" t="s">
        <v>3</v>
      </c>
      <c r="AA101" s="23" t="s">
        <v>317</v>
      </c>
      <c r="AC101" s="4">
        <v>142.58000000000001</v>
      </c>
      <c r="AD101" s="3">
        <v>46084</v>
      </c>
    </row>
    <row r="102" spans="1:30">
      <c r="A102" s="2" t="s">
        <v>377</v>
      </c>
      <c r="B102" s="9">
        <v>200</v>
      </c>
      <c r="C102" s="2" t="s">
        <v>192</v>
      </c>
      <c r="D102" s="2" t="s">
        <v>154</v>
      </c>
      <c r="E102" s="14">
        <v>46077</v>
      </c>
      <c r="F102" s="9" t="s">
        <v>155</v>
      </c>
      <c r="G102" s="9" t="s">
        <v>156</v>
      </c>
      <c r="H102" s="2" t="s">
        <v>314</v>
      </c>
      <c r="I102" s="2" t="s">
        <v>315</v>
      </c>
      <c r="J102" s="2">
        <v>10100031</v>
      </c>
      <c r="K102" s="2" t="s">
        <v>304</v>
      </c>
      <c r="L102" s="21">
        <v>10</v>
      </c>
      <c r="M102" s="21">
        <v>0</v>
      </c>
      <c r="N102" s="21">
        <v>0</v>
      </c>
      <c r="O102" s="21">
        <v>0</v>
      </c>
      <c r="R102" s="19">
        <v>0</v>
      </c>
      <c r="S102" s="12">
        <v>0</v>
      </c>
      <c r="T102" s="20">
        <v>0</v>
      </c>
      <c r="U102" s="12">
        <v>102.4</v>
      </c>
      <c r="V102" s="12">
        <v>0</v>
      </c>
      <c r="W102" s="21">
        <v>10</v>
      </c>
      <c r="X102" s="19">
        <v>0</v>
      </c>
      <c r="Y102" s="22">
        <v>0</v>
      </c>
      <c r="Z102" s="9" t="s">
        <v>3</v>
      </c>
      <c r="AA102" s="23" t="s">
        <v>317</v>
      </c>
      <c r="AC102" s="4">
        <v>331</v>
      </c>
      <c r="AD102" s="3">
        <v>46084</v>
      </c>
    </row>
    <row r="103" spans="1:30">
      <c r="A103" s="2" t="s">
        <v>377</v>
      </c>
      <c r="B103" s="9">
        <v>350</v>
      </c>
      <c r="C103" s="2" t="s">
        <v>192</v>
      </c>
      <c r="D103" s="2" t="s">
        <v>154</v>
      </c>
      <c r="E103" s="14">
        <v>46077</v>
      </c>
      <c r="F103" s="9" t="s">
        <v>155</v>
      </c>
      <c r="G103" s="9" t="s">
        <v>156</v>
      </c>
      <c r="H103" s="2" t="s">
        <v>314</v>
      </c>
      <c r="I103" s="2" t="s">
        <v>315</v>
      </c>
      <c r="J103" s="2">
        <v>10061013</v>
      </c>
      <c r="K103" s="2" t="s">
        <v>370</v>
      </c>
      <c r="L103" s="21">
        <v>20</v>
      </c>
      <c r="M103" s="21">
        <v>0</v>
      </c>
      <c r="N103" s="21">
        <v>0</v>
      </c>
      <c r="O103" s="21">
        <v>0</v>
      </c>
      <c r="R103" s="19">
        <v>0</v>
      </c>
      <c r="S103" s="12">
        <v>0</v>
      </c>
      <c r="T103" s="20">
        <v>0</v>
      </c>
      <c r="U103" s="12">
        <v>177.8</v>
      </c>
      <c r="V103" s="12">
        <v>0</v>
      </c>
      <c r="W103" s="21">
        <v>20</v>
      </c>
      <c r="X103" s="19">
        <v>0</v>
      </c>
      <c r="Y103" s="22">
        <v>0</v>
      </c>
      <c r="Z103" s="9" t="s">
        <v>3</v>
      </c>
      <c r="AA103" s="23" t="s">
        <v>317</v>
      </c>
      <c r="AC103" s="4">
        <v>492.2</v>
      </c>
      <c r="AD103" s="3">
        <v>46084</v>
      </c>
    </row>
    <row r="104" spans="1:30">
      <c r="A104" s="2" t="s">
        <v>378</v>
      </c>
      <c r="B104" s="9">
        <v>40</v>
      </c>
      <c r="C104" s="2" t="s">
        <v>181</v>
      </c>
      <c r="D104" s="2" t="s">
        <v>154</v>
      </c>
      <c r="E104" s="14">
        <v>46079</v>
      </c>
      <c r="F104" s="9" t="s">
        <v>155</v>
      </c>
      <c r="G104" s="9" t="s">
        <v>156</v>
      </c>
      <c r="H104" s="2" t="s">
        <v>282</v>
      </c>
      <c r="I104" s="2" t="s">
        <v>236</v>
      </c>
      <c r="J104" s="2">
        <v>10050324</v>
      </c>
      <c r="K104" s="2" t="s">
        <v>379</v>
      </c>
      <c r="L104" s="21">
        <v>29</v>
      </c>
      <c r="M104" s="21">
        <v>0</v>
      </c>
      <c r="N104" s="21">
        <v>0</v>
      </c>
      <c r="O104" s="21">
        <v>0</v>
      </c>
      <c r="R104" s="19">
        <v>0</v>
      </c>
      <c r="S104" s="12">
        <v>0</v>
      </c>
      <c r="T104" s="20">
        <v>0</v>
      </c>
      <c r="U104" s="12">
        <v>58</v>
      </c>
      <c r="V104" s="12">
        <v>0</v>
      </c>
      <c r="W104" s="21">
        <v>29</v>
      </c>
      <c r="X104" s="19">
        <v>0</v>
      </c>
      <c r="Y104" s="22">
        <v>0</v>
      </c>
      <c r="Z104" s="9" t="s">
        <v>6</v>
      </c>
      <c r="AA104" s="23" t="s">
        <v>238</v>
      </c>
      <c r="AC104" s="4">
        <v>1121.1400000000001</v>
      </c>
      <c r="AD104" s="3">
        <v>46083</v>
      </c>
    </row>
    <row r="105" spans="1:30">
      <c r="A105" s="2" t="s">
        <v>380</v>
      </c>
      <c r="B105" s="9">
        <v>50</v>
      </c>
      <c r="C105" s="2" t="s">
        <v>192</v>
      </c>
      <c r="D105" s="2" t="s">
        <v>154</v>
      </c>
      <c r="E105" s="14">
        <v>46083</v>
      </c>
      <c r="F105" s="9" t="s">
        <v>155</v>
      </c>
      <c r="G105" s="9" t="s">
        <v>156</v>
      </c>
      <c r="H105" s="2" t="s">
        <v>314</v>
      </c>
      <c r="I105" s="2" t="s">
        <v>315</v>
      </c>
      <c r="J105" s="2">
        <v>10019703</v>
      </c>
      <c r="K105" s="2" t="s">
        <v>318</v>
      </c>
      <c r="L105" s="21">
        <v>20</v>
      </c>
      <c r="M105" s="21">
        <v>0</v>
      </c>
      <c r="N105" s="21">
        <v>0</v>
      </c>
      <c r="O105" s="21">
        <v>0</v>
      </c>
      <c r="R105" s="19">
        <v>0</v>
      </c>
      <c r="S105" s="12">
        <v>0</v>
      </c>
      <c r="T105" s="20">
        <v>0</v>
      </c>
      <c r="U105" s="12">
        <v>668.7</v>
      </c>
      <c r="V105" s="12">
        <v>0</v>
      </c>
      <c r="W105" s="21">
        <v>20</v>
      </c>
      <c r="X105" s="19">
        <v>90</v>
      </c>
      <c r="Y105" s="22">
        <v>0</v>
      </c>
      <c r="Z105" s="9" t="s">
        <v>3</v>
      </c>
      <c r="AA105" s="23" t="s">
        <v>317</v>
      </c>
      <c r="AC105" s="4">
        <v>2069.1</v>
      </c>
      <c r="AD105" s="3">
        <v>46087</v>
      </c>
    </row>
    <row r="106" spans="1:30">
      <c r="A106" s="2" t="s">
        <v>380</v>
      </c>
      <c r="B106" s="9">
        <v>120</v>
      </c>
      <c r="C106" s="2" t="s">
        <v>192</v>
      </c>
      <c r="D106" s="2" t="s">
        <v>154</v>
      </c>
      <c r="E106" s="14">
        <v>46083</v>
      </c>
      <c r="F106" s="9" t="s">
        <v>155</v>
      </c>
      <c r="G106" s="9" t="s">
        <v>156</v>
      </c>
      <c r="H106" s="2" t="s">
        <v>314</v>
      </c>
      <c r="I106" s="2" t="s">
        <v>315</v>
      </c>
      <c r="J106" s="2">
        <v>10061010</v>
      </c>
      <c r="K106" s="2" t="s">
        <v>208</v>
      </c>
      <c r="L106" s="21">
        <v>20</v>
      </c>
      <c r="M106" s="21">
        <v>0</v>
      </c>
      <c r="N106" s="21">
        <v>0</v>
      </c>
      <c r="O106" s="21">
        <v>0</v>
      </c>
      <c r="R106" s="19">
        <v>0</v>
      </c>
      <c r="S106" s="12">
        <v>0</v>
      </c>
      <c r="T106" s="20">
        <v>0</v>
      </c>
      <c r="U106" s="12">
        <v>355.4</v>
      </c>
      <c r="V106" s="12">
        <v>0</v>
      </c>
      <c r="W106" s="21">
        <v>20</v>
      </c>
      <c r="X106" s="19">
        <v>0</v>
      </c>
      <c r="Y106" s="22">
        <v>0</v>
      </c>
      <c r="Z106" s="9" t="s">
        <v>3</v>
      </c>
      <c r="AA106" s="23" t="s">
        <v>317</v>
      </c>
      <c r="AC106" s="4">
        <v>1021.8</v>
      </c>
      <c r="AD106" s="3">
        <v>46087</v>
      </c>
    </row>
    <row r="107" spans="1:30">
      <c r="A107" s="2" t="s">
        <v>380</v>
      </c>
      <c r="B107" s="9">
        <v>170</v>
      </c>
      <c r="C107" s="2" t="s">
        <v>192</v>
      </c>
      <c r="D107" s="2" t="s">
        <v>154</v>
      </c>
      <c r="E107" s="14">
        <v>46083</v>
      </c>
      <c r="F107" s="9" t="s">
        <v>155</v>
      </c>
      <c r="G107" s="9" t="s">
        <v>156</v>
      </c>
      <c r="H107" s="2" t="s">
        <v>314</v>
      </c>
      <c r="I107" s="2" t="s">
        <v>315</v>
      </c>
      <c r="J107" s="2">
        <v>10100030</v>
      </c>
      <c r="K107" s="2" t="s">
        <v>312</v>
      </c>
      <c r="L107" s="21">
        <v>5</v>
      </c>
      <c r="M107" s="21">
        <v>0</v>
      </c>
      <c r="N107" s="21">
        <v>0</v>
      </c>
      <c r="O107" s="21">
        <v>0</v>
      </c>
      <c r="R107" s="19">
        <v>0</v>
      </c>
      <c r="S107" s="12">
        <v>0</v>
      </c>
      <c r="T107" s="20">
        <v>0</v>
      </c>
      <c r="U107" s="12">
        <v>53.8</v>
      </c>
      <c r="V107" s="12">
        <v>0</v>
      </c>
      <c r="W107" s="21">
        <v>5</v>
      </c>
      <c r="X107" s="19">
        <v>0</v>
      </c>
      <c r="Y107" s="22">
        <v>0</v>
      </c>
      <c r="Z107" s="9" t="s">
        <v>3</v>
      </c>
      <c r="AA107" s="23" t="s">
        <v>317</v>
      </c>
      <c r="AC107" s="4">
        <v>174.9</v>
      </c>
      <c r="AD107" s="3">
        <v>46087</v>
      </c>
    </row>
    <row r="108" spans="1:30">
      <c r="A108" s="2" t="s">
        <v>381</v>
      </c>
      <c r="B108" s="9">
        <v>10</v>
      </c>
      <c r="C108" s="2" t="s">
        <v>192</v>
      </c>
      <c r="D108" s="2" t="s">
        <v>154</v>
      </c>
      <c r="E108" s="14">
        <v>46083</v>
      </c>
      <c r="F108" s="9" t="s">
        <v>155</v>
      </c>
      <c r="G108" s="9" t="s">
        <v>156</v>
      </c>
      <c r="H108" s="2" t="s">
        <v>193</v>
      </c>
      <c r="I108" s="2" t="s">
        <v>194</v>
      </c>
      <c r="J108" s="2">
        <v>10019703</v>
      </c>
      <c r="K108" s="2" t="s">
        <v>318</v>
      </c>
      <c r="L108" s="21">
        <v>1</v>
      </c>
      <c r="M108" s="21">
        <v>0</v>
      </c>
      <c r="N108" s="21">
        <v>0</v>
      </c>
      <c r="O108" s="21">
        <v>0</v>
      </c>
      <c r="R108" s="19">
        <v>0</v>
      </c>
      <c r="S108" s="12">
        <v>0</v>
      </c>
      <c r="T108" s="20">
        <v>0</v>
      </c>
      <c r="U108" s="12">
        <v>133.65</v>
      </c>
      <c r="V108" s="12">
        <v>0</v>
      </c>
      <c r="W108" s="21">
        <v>1</v>
      </c>
      <c r="X108" s="19">
        <v>4.5</v>
      </c>
      <c r="Y108" s="22">
        <v>0</v>
      </c>
      <c r="Z108" s="9" t="s">
        <v>3</v>
      </c>
      <c r="AA108" s="23" t="s">
        <v>196</v>
      </c>
      <c r="AC108" s="4">
        <v>103.46</v>
      </c>
      <c r="AD108" s="3">
        <v>46087</v>
      </c>
    </row>
    <row r="109" spans="1:30">
      <c r="A109" s="2" t="s">
        <v>382</v>
      </c>
      <c r="B109" s="9">
        <v>30</v>
      </c>
      <c r="C109" s="2" t="s">
        <v>181</v>
      </c>
      <c r="D109" s="2" t="s">
        <v>154</v>
      </c>
      <c r="E109" s="14">
        <v>46083</v>
      </c>
      <c r="F109" s="9" t="s">
        <v>155</v>
      </c>
      <c r="G109" s="9" t="s">
        <v>156</v>
      </c>
      <c r="H109" s="2" t="s">
        <v>282</v>
      </c>
      <c r="I109" s="2" t="s">
        <v>283</v>
      </c>
      <c r="J109" s="2">
        <v>10061010</v>
      </c>
      <c r="K109" s="2" t="s">
        <v>208</v>
      </c>
      <c r="L109" s="21">
        <v>86</v>
      </c>
      <c r="M109" s="21">
        <v>0</v>
      </c>
      <c r="N109" s="21">
        <v>0</v>
      </c>
      <c r="O109" s="21">
        <v>0</v>
      </c>
      <c r="R109" s="19">
        <v>0</v>
      </c>
      <c r="S109" s="12">
        <v>0</v>
      </c>
      <c r="T109" s="20">
        <v>0</v>
      </c>
      <c r="U109" s="12">
        <v>1528.22</v>
      </c>
      <c r="V109" s="12">
        <v>0</v>
      </c>
      <c r="W109" s="21">
        <v>86</v>
      </c>
      <c r="X109" s="19">
        <v>0</v>
      </c>
      <c r="Y109" s="22">
        <v>0</v>
      </c>
      <c r="Z109" s="9" t="s">
        <v>3</v>
      </c>
      <c r="AA109" s="23" t="s">
        <v>285</v>
      </c>
      <c r="AC109" s="4">
        <v>4393.74</v>
      </c>
      <c r="AD109" s="3">
        <v>46086</v>
      </c>
    </row>
    <row r="110" spans="1:30">
      <c r="A110" s="2" t="s">
        <v>382</v>
      </c>
      <c r="B110" s="9">
        <v>90</v>
      </c>
      <c r="C110" s="2" t="s">
        <v>181</v>
      </c>
      <c r="D110" s="2" t="s">
        <v>154</v>
      </c>
      <c r="E110" s="14">
        <v>46083</v>
      </c>
      <c r="F110" s="9" t="s">
        <v>155</v>
      </c>
      <c r="G110" s="9" t="s">
        <v>156</v>
      </c>
      <c r="H110" s="2" t="s">
        <v>282</v>
      </c>
      <c r="I110" s="2" t="s">
        <v>283</v>
      </c>
      <c r="J110" s="2">
        <v>10045483</v>
      </c>
      <c r="K110" s="2" t="s">
        <v>383</v>
      </c>
      <c r="L110" s="21">
        <v>5</v>
      </c>
      <c r="M110" s="21">
        <v>0</v>
      </c>
      <c r="N110" s="21">
        <v>0</v>
      </c>
      <c r="O110" s="21">
        <v>0</v>
      </c>
      <c r="R110" s="19">
        <v>0</v>
      </c>
      <c r="S110" s="12">
        <v>0</v>
      </c>
      <c r="T110" s="20">
        <v>0</v>
      </c>
      <c r="U110" s="12">
        <v>51.8</v>
      </c>
      <c r="V110" s="12">
        <v>0</v>
      </c>
      <c r="W110" s="21">
        <v>5</v>
      </c>
      <c r="X110" s="19">
        <v>0</v>
      </c>
      <c r="Y110" s="22">
        <v>0</v>
      </c>
      <c r="Z110" s="9" t="s">
        <v>3</v>
      </c>
      <c r="AA110" s="23" t="s">
        <v>285</v>
      </c>
      <c r="AC110" s="4">
        <v>150.4</v>
      </c>
      <c r="AD110" s="3">
        <v>46086</v>
      </c>
    </row>
    <row r="111" spans="1:30">
      <c r="A111" s="2" t="s">
        <v>382</v>
      </c>
      <c r="B111" s="9">
        <v>100</v>
      </c>
      <c r="C111" s="2" t="s">
        <v>181</v>
      </c>
      <c r="D111" s="2" t="s">
        <v>154</v>
      </c>
      <c r="E111" s="14">
        <v>46083</v>
      </c>
      <c r="F111" s="9" t="s">
        <v>155</v>
      </c>
      <c r="G111" s="9" t="s">
        <v>156</v>
      </c>
      <c r="H111" s="2" t="s">
        <v>282</v>
      </c>
      <c r="I111" s="2" t="s">
        <v>283</v>
      </c>
      <c r="J111" s="2">
        <v>10045483</v>
      </c>
      <c r="K111" s="2" t="s">
        <v>383</v>
      </c>
      <c r="L111" s="21">
        <v>17</v>
      </c>
      <c r="M111" s="21">
        <v>0</v>
      </c>
      <c r="N111" s="21">
        <v>0</v>
      </c>
      <c r="O111" s="21">
        <v>0</v>
      </c>
      <c r="R111" s="19">
        <v>0</v>
      </c>
      <c r="S111" s="12">
        <v>0</v>
      </c>
      <c r="T111" s="20">
        <v>0</v>
      </c>
      <c r="U111" s="12">
        <v>176.12</v>
      </c>
      <c r="V111" s="12">
        <v>0</v>
      </c>
      <c r="W111" s="21">
        <v>17</v>
      </c>
      <c r="X111" s="19">
        <v>0</v>
      </c>
      <c r="Y111" s="22">
        <v>0</v>
      </c>
      <c r="Z111" s="9" t="s">
        <v>3</v>
      </c>
      <c r="AA111" s="23" t="s">
        <v>285</v>
      </c>
      <c r="AC111" s="4">
        <v>511.36</v>
      </c>
      <c r="AD111" s="3">
        <v>46086</v>
      </c>
    </row>
    <row r="112" spans="1:30">
      <c r="A112" s="2" t="s">
        <v>384</v>
      </c>
      <c r="B112" s="9">
        <v>120</v>
      </c>
      <c r="C112" s="2" t="s">
        <v>181</v>
      </c>
      <c r="D112" s="2" t="s">
        <v>154</v>
      </c>
      <c r="E112" s="14">
        <v>46084</v>
      </c>
      <c r="F112" s="9" t="s">
        <v>155</v>
      </c>
      <c r="G112" s="9" t="s">
        <v>156</v>
      </c>
      <c r="H112" s="2" t="s">
        <v>218</v>
      </c>
      <c r="I112" s="2" t="s">
        <v>219</v>
      </c>
      <c r="J112" s="2">
        <v>10045483</v>
      </c>
      <c r="K112" s="2" t="s">
        <v>383</v>
      </c>
      <c r="L112" s="21">
        <v>5</v>
      </c>
      <c r="M112" s="21">
        <v>0</v>
      </c>
      <c r="N112" s="21">
        <v>0</v>
      </c>
      <c r="O112" s="21">
        <v>0</v>
      </c>
      <c r="R112" s="19">
        <v>0</v>
      </c>
      <c r="S112" s="12">
        <v>0</v>
      </c>
      <c r="T112" s="20">
        <v>0</v>
      </c>
      <c r="U112" s="12">
        <v>51.8</v>
      </c>
      <c r="V112" s="12">
        <v>0</v>
      </c>
      <c r="W112" s="21">
        <v>5</v>
      </c>
      <c r="X112" s="19">
        <v>0</v>
      </c>
      <c r="Y112" s="22">
        <v>0</v>
      </c>
      <c r="Z112" s="9" t="s">
        <v>3</v>
      </c>
      <c r="AA112" s="23" t="s">
        <v>221</v>
      </c>
      <c r="AC112" s="4">
        <v>150.4</v>
      </c>
      <c r="AD112" s="3">
        <v>46086</v>
      </c>
    </row>
    <row r="113" spans="1:30">
      <c r="A113" s="2" t="s">
        <v>385</v>
      </c>
      <c r="B113" s="9">
        <v>10</v>
      </c>
      <c r="C113" s="2" t="s">
        <v>192</v>
      </c>
      <c r="D113" s="2" t="s">
        <v>154</v>
      </c>
      <c r="E113" s="14">
        <v>46086</v>
      </c>
      <c r="F113" s="9" t="s">
        <v>155</v>
      </c>
      <c r="G113" s="9" t="s">
        <v>156</v>
      </c>
      <c r="H113" s="2" t="s">
        <v>355</v>
      </c>
      <c r="I113" s="2" t="s">
        <v>356</v>
      </c>
      <c r="J113" s="2">
        <v>10019703</v>
      </c>
      <c r="K113" s="2" t="s">
        <v>318</v>
      </c>
      <c r="L113" s="21">
        <v>1</v>
      </c>
      <c r="M113" s="21">
        <v>0</v>
      </c>
      <c r="N113" s="21">
        <v>0</v>
      </c>
      <c r="O113" s="21">
        <v>0</v>
      </c>
      <c r="R113" s="19">
        <v>0</v>
      </c>
      <c r="S113" s="12">
        <v>0</v>
      </c>
      <c r="T113" s="20">
        <v>0</v>
      </c>
      <c r="U113" s="12">
        <v>33.44</v>
      </c>
      <c r="V113" s="12">
        <v>0</v>
      </c>
      <c r="W113" s="21">
        <v>1</v>
      </c>
      <c r="X113" s="19">
        <v>4.5</v>
      </c>
      <c r="Y113" s="22">
        <v>0</v>
      </c>
      <c r="Z113" s="9" t="s">
        <v>3</v>
      </c>
      <c r="AA113" s="23" t="s">
        <v>357</v>
      </c>
      <c r="AC113" s="4">
        <v>103.46</v>
      </c>
      <c r="AD113" s="3">
        <v>46091</v>
      </c>
    </row>
    <row r="114" spans="1:30">
      <c r="A114" s="2" t="s">
        <v>385</v>
      </c>
      <c r="B114" s="9">
        <v>90</v>
      </c>
      <c r="C114" s="2" t="s">
        <v>192</v>
      </c>
      <c r="D114" s="2" t="s">
        <v>154</v>
      </c>
      <c r="E114" s="14">
        <v>46086</v>
      </c>
      <c r="F114" s="9" t="s">
        <v>155</v>
      </c>
      <c r="G114" s="9" t="s">
        <v>156</v>
      </c>
      <c r="H114" s="2" t="s">
        <v>355</v>
      </c>
      <c r="I114" s="2" t="s">
        <v>356</v>
      </c>
      <c r="J114" s="2">
        <v>10066216</v>
      </c>
      <c r="K114" s="2" t="s">
        <v>386</v>
      </c>
      <c r="L114" s="21">
        <v>1</v>
      </c>
      <c r="M114" s="21">
        <v>0</v>
      </c>
      <c r="N114" s="21">
        <v>0</v>
      </c>
      <c r="O114" s="21">
        <v>0</v>
      </c>
      <c r="R114" s="19">
        <v>0</v>
      </c>
      <c r="S114" s="12">
        <v>0</v>
      </c>
      <c r="T114" s="20">
        <v>0</v>
      </c>
      <c r="U114" s="12">
        <v>6.66</v>
      </c>
      <c r="V114" s="12">
        <v>0</v>
      </c>
      <c r="W114" s="21">
        <v>1</v>
      </c>
      <c r="X114" s="19">
        <v>0</v>
      </c>
      <c r="Y114" s="22">
        <v>0</v>
      </c>
      <c r="Z114" s="9" t="s">
        <v>3</v>
      </c>
      <c r="AA114" s="23" t="s">
        <v>357</v>
      </c>
      <c r="AC114" s="4">
        <v>23.14</v>
      </c>
      <c r="AD114" s="3">
        <v>46091</v>
      </c>
    </row>
    <row r="115" spans="1:30">
      <c r="A115" s="2" t="s">
        <v>385</v>
      </c>
      <c r="B115" s="9">
        <v>150</v>
      </c>
      <c r="C115" s="2" t="s">
        <v>192</v>
      </c>
      <c r="D115" s="2" t="s">
        <v>154</v>
      </c>
      <c r="E115" s="14">
        <v>46086</v>
      </c>
      <c r="F115" s="9" t="s">
        <v>155</v>
      </c>
      <c r="G115" s="9" t="s">
        <v>156</v>
      </c>
      <c r="H115" s="2" t="s">
        <v>355</v>
      </c>
      <c r="I115" s="2" t="s">
        <v>356</v>
      </c>
      <c r="J115" s="2">
        <v>10019641</v>
      </c>
      <c r="K115" s="2" t="s">
        <v>322</v>
      </c>
      <c r="L115" s="21">
        <v>2</v>
      </c>
      <c r="M115" s="21">
        <v>0</v>
      </c>
      <c r="N115" s="21">
        <v>0</v>
      </c>
      <c r="O115" s="21">
        <v>0</v>
      </c>
      <c r="R115" s="19">
        <v>0</v>
      </c>
      <c r="S115" s="12">
        <v>0</v>
      </c>
      <c r="T115" s="20">
        <v>0</v>
      </c>
      <c r="U115" s="12">
        <v>35.409999999999997</v>
      </c>
      <c r="V115" s="12">
        <v>0</v>
      </c>
      <c r="W115" s="21">
        <v>2</v>
      </c>
      <c r="X115" s="19">
        <v>5.2</v>
      </c>
      <c r="Y115" s="22">
        <v>0</v>
      </c>
      <c r="Z115" s="9" t="s">
        <v>3</v>
      </c>
      <c r="AA115" s="23" t="s">
        <v>357</v>
      </c>
      <c r="AC115" s="4">
        <v>142.74</v>
      </c>
      <c r="AD115" s="3">
        <v>46091</v>
      </c>
    </row>
    <row r="116" spans="1:30">
      <c r="A116" s="2" t="s">
        <v>385</v>
      </c>
      <c r="B116" s="9">
        <v>230</v>
      </c>
      <c r="C116" s="2" t="s">
        <v>192</v>
      </c>
      <c r="D116" s="2" t="s">
        <v>154</v>
      </c>
      <c r="E116" s="14">
        <v>46086</v>
      </c>
      <c r="F116" s="9" t="s">
        <v>155</v>
      </c>
      <c r="G116" s="9" t="s">
        <v>156</v>
      </c>
      <c r="H116" s="2" t="s">
        <v>355</v>
      </c>
      <c r="I116" s="2" t="s">
        <v>356</v>
      </c>
      <c r="J116" s="2">
        <v>10067042</v>
      </c>
      <c r="K116" s="2" t="s">
        <v>368</v>
      </c>
      <c r="L116" s="21">
        <v>1</v>
      </c>
      <c r="M116" s="21">
        <v>0</v>
      </c>
      <c r="N116" s="21">
        <v>0</v>
      </c>
      <c r="O116" s="21">
        <v>0</v>
      </c>
      <c r="R116" s="19">
        <v>0</v>
      </c>
      <c r="S116" s="12">
        <v>0</v>
      </c>
      <c r="T116" s="20">
        <v>0</v>
      </c>
      <c r="U116" s="12">
        <v>10.050000000000001</v>
      </c>
      <c r="V116" s="12">
        <v>0</v>
      </c>
      <c r="W116" s="21">
        <v>1</v>
      </c>
      <c r="X116" s="19">
        <v>0</v>
      </c>
      <c r="Y116" s="22">
        <v>0</v>
      </c>
      <c r="Z116" s="9" t="s">
        <v>3</v>
      </c>
      <c r="AA116" s="23" t="s">
        <v>357</v>
      </c>
      <c r="AC116" s="4">
        <v>28.19</v>
      </c>
      <c r="AD116" s="3">
        <v>46091</v>
      </c>
    </row>
    <row r="117" spans="1:30">
      <c r="A117" s="2" t="s">
        <v>385</v>
      </c>
      <c r="B117" s="9">
        <v>300</v>
      </c>
      <c r="C117" s="2" t="s">
        <v>192</v>
      </c>
      <c r="D117" s="2" t="s">
        <v>154</v>
      </c>
      <c r="E117" s="14">
        <v>46086</v>
      </c>
      <c r="F117" s="9" t="s">
        <v>155</v>
      </c>
      <c r="G117" s="9" t="s">
        <v>156</v>
      </c>
      <c r="H117" s="2" t="s">
        <v>355</v>
      </c>
      <c r="I117" s="2" t="s">
        <v>356</v>
      </c>
      <c r="J117" s="2">
        <v>10019690</v>
      </c>
      <c r="K117" s="2" t="s">
        <v>316</v>
      </c>
      <c r="L117" s="21">
        <v>3</v>
      </c>
      <c r="M117" s="21">
        <v>0</v>
      </c>
      <c r="N117" s="21">
        <v>0</v>
      </c>
      <c r="O117" s="21">
        <v>0</v>
      </c>
      <c r="R117" s="19">
        <v>0</v>
      </c>
      <c r="S117" s="12">
        <v>0</v>
      </c>
      <c r="T117" s="20">
        <v>0</v>
      </c>
      <c r="U117" s="12">
        <v>22.56</v>
      </c>
      <c r="V117" s="12">
        <v>0</v>
      </c>
      <c r="W117" s="21">
        <v>3</v>
      </c>
      <c r="X117" s="19">
        <v>0</v>
      </c>
      <c r="Y117" s="22">
        <v>0</v>
      </c>
      <c r="Z117" s="9" t="s">
        <v>3</v>
      </c>
      <c r="AA117" s="23" t="s">
        <v>357</v>
      </c>
      <c r="AC117" s="4">
        <v>91.11</v>
      </c>
      <c r="AD117" s="3">
        <v>46091</v>
      </c>
    </row>
    <row r="118" spans="1:30">
      <c r="A118" s="2" t="s">
        <v>385</v>
      </c>
      <c r="B118" s="9">
        <v>350</v>
      </c>
      <c r="C118" s="2" t="s">
        <v>192</v>
      </c>
      <c r="D118" s="2" t="s">
        <v>154</v>
      </c>
      <c r="E118" s="14">
        <v>46086</v>
      </c>
      <c r="F118" s="9" t="s">
        <v>155</v>
      </c>
      <c r="G118" s="9" t="s">
        <v>156</v>
      </c>
      <c r="H118" s="2" t="s">
        <v>355</v>
      </c>
      <c r="I118" s="2" t="s">
        <v>356</v>
      </c>
      <c r="J118" s="2">
        <v>10018657</v>
      </c>
      <c r="K118" s="2" t="s">
        <v>387</v>
      </c>
      <c r="L118" s="21">
        <v>1</v>
      </c>
      <c r="M118" s="21">
        <v>0</v>
      </c>
      <c r="N118" s="21">
        <v>0</v>
      </c>
      <c r="O118" s="21">
        <v>0</v>
      </c>
      <c r="R118" s="19">
        <v>0</v>
      </c>
      <c r="S118" s="12">
        <v>0</v>
      </c>
      <c r="T118" s="20">
        <v>0</v>
      </c>
      <c r="U118" s="12">
        <v>9.4499999999999993</v>
      </c>
      <c r="V118" s="12">
        <v>0</v>
      </c>
      <c r="W118" s="21">
        <v>1</v>
      </c>
      <c r="X118" s="19">
        <v>0</v>
      </c>
      <c r="Y118" s="22">
        <v>0</v>
      </c>
      <c r="Z118" s="9" t="s">
        <v>3</v>
      </c>
      <c r="AA118" s="23" t="s">
        <v>357</v>
      </c>
      <c r="AC118" s="4">
        <v>25.76</v>
      </c>
      <c r="AD118" s="3">
        <v>46091</v>
      </c>
    </row>
    <row r="119" spans="1:30">
      <c r="A119" s="2" t="s">
        <v>385</v>
      </c>
      <c r="B119" s="9">
        <v>370</v>
      </c>
      <c r="C119" s="2" t="s">
        <v>192</v>
      </c>
      <c r="D119" s="2" t="s">
        <v>154</v>
      </c>
      <c r="E119" s="14">
        <v>46086</v>
      </c>
      <c r="F119" s="9" t="s">
        <v>155</v>
      </c>
      <c r="G119" s="9" t="s">
        <v>156</v>
      </c>
      <c r="H119" s="2" t="s">
        <v>355</v>
      </c>
      <c r="I119" s="2" t="s">
        <v>356</v>
      </c>
      <c r="J119" s="2">
        <v>10061013</v>
      </c>
      <c r="K119" s="2" t="s">
        <v>370</v>
      </c>
      <c r="L119" s="21">
        <v>6</v>
      </c>
      <c r="M119" s="21">
        <v>0</v>
      </c>
      <c r="N119" s="21">
        <v>0</v>
      </c>
      <c r="O119" s="21">
        <v>0</v>
      </c>
      <c r="R119" s="19">
        <v>0</v>
      </c>
      <c r="S119" s="12">
        <v>0</v>
      </c>
      <c r="T119" s="20">
        <v>0</v>
      </c>
      <c r="U119" s="12">
        <v>53.34</v>
      </c>
      <c r="V119" s="12">
        <v>0</v>
      </c>
      <c r="W119" s="21">
        <v>6</v>
      </c>
      <c r="X119" s="19">
        <v>0</v>
      </c>
      <c r="Y119" s="22">
        <v>0</v>
      </c>
      <c r="Z119" s="9" t="s">
        <v>3</v>
      </c>
      <c r="AA119" s="23" t="s">
        <v>357</v>
      </c>
      <c r="AC119" s="4">
        <v>152.16</v>
      </c>
      <c r="AD119" s="3">
        <v>46091</v>
      </c>
    </row>
    <row r="120" spans="1:30">
      <c r="A120" s="2" t="s">
        <v>385</v>
      </c>
      <c r="B120" s="9">
        <v>440</v>
      </c>
      <c r="C120" s="2" t="s">
        <v>192</v>
      </c>
      <c r="D120" s="2" t="s">
        <v>154</v>
      </c>
      <c r="E120" s="14">
        <v>46086</v>
      </c>
      <c r="F120" s="9" t="s">
        <v>155</v>
      </c>
      <c r="G120" s="9" t="s">
        <v>156</v>
      </c>
      <c r="H120" s="2" t="s">
        <v>355</v>
      </c>
      <c r="I120" s="2" t="s">
        <v>356</v>
      </c>
      <c r="J120" s="2">
        <v>10040391</v>
      </c>
      <c r="K120" s="2" t="s">
        <v>375</v>
      </c>
      <c r="L120" s="21">
        <v>1</v>
      </c>
      <c r="M120" s="21">
        <v>0</v>
      </c>
      <c r="N120" s="21">
        <v>0</v>
      </c>
      <c r="O120" s="21">
        <v>0</v>
      </c>
      <c r="R120" s="19">
        <v>0</v>
      </c>
      <c r="S120" s="12">
        <v>0</v>
      </c>
      <c r="T120" s="20">
        <v>0</v>
      </c>
      <c r="U120" s="12">
        <v>36.06</v>
      </c>
      <c r="V120" s="12">
        <v>0</v>
      </c>
      <c r="W120" s="21">
        <v>1</v>
      </c>
      <c r="X120" s="19">
        <v>6</v>
      </c>
      <c r="Y120" s="22">
        <v>0</v>
      </c>
      <c r="Z120" s="9" t="s">
        <v>3</v>
      </c>
      <c r="AA120" s="23" t="s">
        <v>357</v>
      </c>
      <c r="AC120" s="4">
        <v>84.42</v>
      </c>
      <c r="AD120" s="3">
        <v>46091</v>
      </c>
    </row>
    <row r="121" spans="1:30">
      <c r="A121" s="2" t="s">
        <v>385</v>
      </c>
      <c r="B121" s="9">
        <v>500</v>
      </c>
      <c r="C121" s="2" t="s">
        <v>192</v>
      </c>
      <c r="D121" s="2" t="s">
        <v>154</v>
      </c>
      <c r="E121" s="14">
        <v>46086</v>
      </c>
      <c r="F121" s="9" t="s">
        <v>155</v>
      </c>
      <c r="G121" s="9" t="s">
        <v>156</v>
      </c>
      <c r="H121" s="2" t="s">
        <v>355</v>
      </c>
      <c r="I121" s="2" t="s">
        <v>356</v>
      </c>
      <c r="J121" s="2">
        <v>10001127</v>
      </c>
      <c r="K121" s="2" t="s">
        <v>388</v>
      </c>
      <c r="L121" s="21">
        <v>1</v>
      </c>
      <c r="M121" s="21">
        <v>0</v>
      </c>
      <c r="N121" s="21">
        <v>0</v>
      </c>
      <c r="O121" s="21">
        <v>0</v>
      </c>
      <c r="R121" s="19">
        <v>0</v>
      </c>
      <c r="S121" s="12">
        <v>0</v>
      </c>
      <c r="T121" s="20">
        <v>0</v>
      </c>
      <c r="U121" s="12">
        <v>19.440000000000001</v>
      </c>
      <c r="V121" s="12">
        <v>0</v>
      </c>
      <c r="W121" s="21">
        <v>1</v>
      </c>
      <c r="X121" s="19">
        <v>0</v>
      </c>
      <c r="Y121" s="22">
        <v>0</v>
      </c>
      <c r="Z121" s="9" t="s">
        <v>3</v>
      </c>
      <c r="AA121" s="23" t="s">
        <v>357</v>
      </c>
      <c r="AC121" s="4">
        <v>25.76</v>
      </c>
      <c r="AD121" s="3">
        <v>46091</v>
      </c>
    </row>
    <row r="122" spans="1:30">
      <c r="A122" s="2" t="s">
        <v>385</v>
      </c>
      <c r="B122" s="9">
        <v>560</v>
      </c>
      <c r="C122" s="2" t="s">
        <v>192</v>
      </c>
      <c r="D122" s="2" t="s">
        <v>154</v>
      </c>
      <c r="E122" s="14">
        <v>46086</v>
      </c>
      <c r="F122" s="9" t="s">
        <v>155</v>
      </c>
      <c r="G122" s="9" t="s">
        <v>156</v>
      </c>
      <c r="H122" s="2" t="s">
        <v>355</v>
      </c>
      <c r="I122" s="2" t="s">
        <v>356</v>
      </c>
      <c r="J122" s="2">
        <v>10100030</v>
      </c>
      <c r="K122" s="2" t="s">
        <v>312</v>
      </c>
      <c r="L122" s="21">
        <v>2</v>
      </c>
      <c r="M122" s="21">
        <v>0</v>
      </c>
      <c r="N122" s="21">
        <v>0</v>
      </c>
      <c r="O122" s="21">
        <v>0</v>
      </c>
      <c r="R122" s="19">
        <v>0</v>
      </c>
      <c r="S122" s="12">
        <v>0</v>
      </c>
      <c r="T122" s="20">
        <v>0</v>
      </c>
      <c r="U122" s="12">
        <v>21.52</v>
      </c>
      <c r="V122" s="12">
        <v>0</v>
      </c>
      <c r="W122" s="21">
        <v>2</v>
      </c>
      <c r="X122" s="19">
        <v>0</v>
      </c>
      <c r="Y122" s="22">
        <v>0</v>
      </c>
      <c r="Z122" s="9" t="s">
        <v>3</v>
      </c>
      <c r="AA122" s="23" t="s">
        <v>357</v>
      </c>
      <c r="AC122" s="4">
        <v>69.959999999999994</v>
      </c>
      <c r="AD122" s="3">
        <v>46091</v>
      </c>
    </row>
    <row r="123" spans="1:30">
      <c r="A123" s="2" t="s">
        <v>389</v>
      </c>
      <c r="B123" s="9">
        <v>20</v>
      </c>
      <c r="C123" s="2" t="s">
        <v>192</v>
      </c>
      <c r="D123" s="2" t="s">
        <v>154</v>
      </c>
      <c r="E123" s="14">
        <v>46091</v>
      </c>
      <c r="F123" s="9" t="s">
        <v>155</v>
      </c>
      <c r="G123" s="9" t="s">
        <v>156</v>
      </c>
      <c r="H123" s="2" t="s">
        <v>355</v>
      </c>
      <c r="I123" s="2" t="s">
        <v>356</v>
      </c>
      <c r="J123" s="2">
        <v>10100028</v>
      </c>
      <c r="K123" s="2" t="s">
        <v>310</v>
      </c>
      <c r="L123" s="21">
        <v>1</v>
      </c>
      <c r="M123" s="21">
        <v>0</v>
      </c>
      <c r="N123" s="21">
        <v>0</v>
      </c>
      <c r="O123" s="21">
        <v>0</v>
      </c>
      <c r="R123" s="19">
        <v>0</v>
      </c>
      <c r="S123" s="12">
        <v>0</v>
      </c>
      <c r="T123" s="20">
        <v>0</v>
      </c>
      <c r="U123" s="12">
        <v>11.48</v>
      </c>
      <c r="V123" s="12">
        <v>0</v>
      </c>
      <c r="W123" s="21">
        <v>1</v>
      </c>
      <c r="X123" s="19">
        <v>0</v>
      </c>
      <c r="Y123" s="22">
        <v>0</v>
      </c>
      <c r="Z123" s="9" t="s">
        <v>3</v>
      </c>
      <c r="AA123" s="23" t="s">
        <v>357</v>
      </c>
      <c r="AC123" s="4">
        <v>37.4</v>
      </c>
      <c r="AD123" s="3">
        <v>46097</v>
      </c>
    </row>
    <row r="124" spans="1:30">
      <c r="A124" s="2" t="s">
        <v>389</v>
      </c>
      <c r="B124" s="9">
        <v>200</v>
      </c>
      <c r="C124" s="2" t="s">
        <v>192</v>
      </c>
      <c r="D124" s="2" t="s">
        <v>154</v>
      </c>
      <c r="E124" s="14">
        <v>46091</v>
      </c>
      <c r="F124" s="9" t="s">
        <v>155</v>
      </c>
      <c r="G124" s="9" t="s">
        <v>156</v>
      </c>
      <c r="H124" s="2" t="s">
        <v>355</v>
      </c>
      <c r="I124" s="2" t="s">
        <v>356</v>
      </c>
      <c r="J124" s="2">
        <v>10041273</v>
      </c>
      <c r="K124" s="2" t="s">
        <v>390</v>
      </c>
      <c r="L124" s="21">
        <v>2</v>
      </c>
      <c r="M124" s="21">
        <v>0</v>
      </c>
      <c r="N124" s="21">
        <v>0</v>
      </c>
      <c r="O124" s="21">
        <v>0</v>
      </c>
      <c r="R124" s="19">
        <v>0</v>
      </c>
      <c r="S124" s="12">
        <v>0</v>
      </c>
      <c r="T124" s="20">
        <v>0</v>
      </c>
      <c r="U124" s="12">
        <v>24.3</v>
      </c>
      <c r="V124" s="12">
        <v>0</v>
      </c>
      <c r="W124" s="21">
        <v>2</v>
      </c>
      <c r="X124" s="19">
        <v>0</v>
      </c>
      <c r="Y124" s="22">
        <v>0</v>
      </c>
      <c r="Z124" s="9" t="s">
        <v>3</v>
      </c>
      <c r="AA124" s="23" t="s">
        <v>357</v>
      </c>
      <c r="AC124" s="4">
        <v>64.819999999999993</v>
      </c>
      <c r="AD124" s="3">
        <v>46097</v>
      </c>
    </row>
    <row r="125" spans="1:30">
      <c r="A125" s="2" t="s">
        <v>391</v>
      </c>
      <c r="B125" s="9">
        <v>20</v>
      </c>
      <c r="C125" s="2" t="s">
        <v>392</v>
      </c>
      <c r="D125" s="2" t="s">
        <v>154</v>
      </c>
      <c r="E125" s="14">
        <v>46091</v>
      </c>
      <c r="F125" s="9" t="s">
        <v>155</v>
      </c>
      <c r="G125" s="9" t="s">
        <v>156</v>
      </c>
      <c r="H125" s="2" t="s">
        <v>393</v>
      </c>
      <c r="I125" s="2" t="s">
        <v>394</v>
      </c>
      <c r="J125" s="2">
        <v>10016408</v>
      </c>
      <c r="K125" s="2" t="s">
        <v>395</v>
      </c>
      <c r="L125" s="21">
        <v>6</v>
      </c>
      <c r="M125" s="21">
        <v>0</v>
      </c>
      <c r="N125" s="21">
        <v>0</v>
      </c>
      <c r="O125" s="21">
        <v>0</v>
      </c>
      <c r="R125" s="19">
        <v>0</v>
      </c>
      <c r="S125" s="12">
        <v>0</v>
      </c>
      <c r="T125" s="20">
        <v>0</v>
      </c>
      <c r="U125" s="12">
        <v>58.62</v>
      </c>
      <c r="V125" s="12">
        <v>0</v>
      </c>
      <c r="W125" s="21">
        <v>6</v>
      </c>
      <c r="X125" s="19">
        <v>0</v>
      </c>
      <c r="Y125" s="22">
        <v>0</v>
      </c>
      <c r="Z125" s="9" t="s">
        <v>3</v>
      </c>
      <c r="AA125" s="23" t="s">
        <v>396</v>
      </c>
      <c r="AC125" s="4">
        <v>157.26</v>
      </c>
      <c r="AD125" s="3">
        <v>46092</v>
      </c>
    </row>
    <row r="126" spans="1:30">
      <c r="A126" s="2" t="s">
        <v>397</v>
      </c>
      <c r="B126" s="9">
        <v>30</v>
      </c>
      <c r="C126" s="2" t="s">
        <v>153</v>
      </c>
      <c r="D126" s="2" t="s">
        <v>154</v>
      </c>
      <c r="E126" s="14">
        <v>46091</v>
      </c>
      <c r="F126" s="9" t="s">
        <v>155</v>
      </c>
      <c r="G126" s="9" t="s">
        <v>156</v>
      </c>
      <c r="H126" s="2" t="s">
        <v>212</v>
      </c>
      <c r="I126" s="2" t="s">
        <v>213</v>
      </c>
      <c r="J126" s="2">
        <v>10100028</v>
      </c>
      <c r="K126" s="2" t="s">
        <v>310</v>
      </c>
      <c r="L126" s="21">
        <v>7</v>
      </c>
      <c r="M126" s="21">
        <v>0</v>
      </c>
      <c r="N126" s="21">
        <v>0</v>
      </c>
      <c r="O126" s="21">
        <v>0</v>
      </c>
      <c r="R126" s="19">
        <v>0</v>
      </c>
      <c r="S126" s="12">
        <v>0</v>
      </c>
      <c r="T126" s="20">
        <v>0</v>
      </c>
      <c r="U126" s="12">
        <v>42</v>
      </c>
      <c r="V126" s="12">
        <v>0</v>
      </c>
      <c r="W126" s="21">
        <v>7</v>
      </c>
      <c r="X126" s="19">
        <v>0</v>
      </c>
      <c r="Y126" s="22">
        <v>0</v>
      </c>
      <c r="Z126" s="9" t="s">
        <v>3</v>
      </c>
      <c r="AA126" s="23" t="s">
        <v>215</v>
      </c>
      <c r="AC126" s="4">
        <v>261.8</v>
      </c>
      <c r="AD126" s="3">
        <v>46097</v>
      </c>
    </row>
    <row r="127" spans="1:30">
      <c r="A127" s="2" t="s">
        <v>397</v>
      </c>
      <c r="B127" s="9">
        <v>80</v>
      </c>
      <c r="C127" s="2" t="s">
        <v>153</v>
      </c>
      <c r="D127" s="2" t="s">
        <v>154</v>
      </c>
      <c r="E127" s="14">
        <v>46091</v>
      </c>
      <c r="F127" s="9" t="s">
        <v>155</v>
      </c>
      <c r="G127" s="9" t="s">
        <v>156</v>
      </c>
      <c r="H127" s="2" t="s">
        <v>212</v>
      </c>
      <c r="I127" s="2" t="s">
        <v>213</v>
      </c>
      <c r="J127" s="2">
        <v>10100031</v>
      </c>
      <c r="K127" s="2" t="s">
        <v>304</v>
      </c>
      <c r="L127" s="21">
        <v>3</v>
      </c>
      <c r="M127" s="21">
        <v>0</v>
      </c>
      <c r="N127" s="21">
        <v>0</v>
      </c>
      <c r="O127" s="21">
        <v>0</v>
      </c>
      <c r="R127" s="19">
        <v>0</v>
      </c>
      <c r="S127" s="12">
        <v>0</v>
      </c>
      <c r="T127" s="20">
        <v>0</v>
      </c>
      <c r="U127" s="12">
        <v>30.72</v>
      </c>
      <c r="V127" s="12">
        <v>0</v>
      </c>
      <c r="W127" s="21">
        <v>3</v>
      </c>
      <c r="X127" s="19">
        <v>0</v>
      </c>
      <c r="Y127" s="22">
        <v>0</v>
      </c>
      <c r="Z127" s="9" t="s">
        <v>3</v>
      </c>
      <c r="AA127" s="23" t="s">
        <v>215</v>
      </c>
      <c r="AC127" s="4">
        <v>99.3</v>
      </c>
      <c r="AD127" s="3">
        <v>46097</v>
      </c>
    </row>
    <row r="128" spans="1:30">
      <c r="A128" s="2" t="s">
        <v>397</v>
      </c>
      <c r="B128" s="9">
        <v>380</v>
      </c>
      <c r="C128" s="2" t="s">
        <v>153</v>
      </c>
      <c r="D128" s="2" t="s">
        <v>154</v>
      </c>
      <c r="E128" s="14">
        <v>46091</v>
      </c>
      <c r="F128" s="9" t="s">
        <v>155</v>
      </c>
      <c r="G128" s="9" t="s">
        <v>156</v>
      </c>
      <c r="H128" s="2" t="s">
        <v>212</v>
      </c>
      <c r="I128" s="2" t="s">
        <v>213</v>
      </c>
      <c r="J128" s="2">
        <v>10041273</v>
      </c>
      <c r="K128" s="2" t="s">
        <v>390</v>
      </c>
      <c r="L128" s="21">
        <v>2</v>
      </c>
      <c r="M128" s="21">
        <v>0</v>
      </c>
      <c r="N128" s="21">
        <v>0</v>
      </c>
      <c r="O128" s="21">
        <v>0</v>
      </c>
      <c r="R128" s="19">
        <v>0</v>
      </c>
      <c r="S128" s="12">
        <v>0</v>
      </c>
      <c r="T128" s="20">
        <v>0</v>
      </c>
      <c r="U128" s="12">
        <v>24.3</v>
      </c>
      <c r="V128" s="12">
        <v>0</v>
      </c>
      <c r="W128" s="21">
        <v>2</v>
      </c>
      <c r="X128" s="19">
        <v>0</v>
      </c>
      <c r="Y128" s="22">
        <v>0</v>
      </c>
      <c r="Z128" s="9" t="s">
        <v>3</v>
      </c>
      <c r="AA128" s="23" t="s">
        <v>215</v>
      </c>
      <c r="AC128" s="4">
        <v>64.819999999999993</v>
      </c>
      <c r="AD128" s="3">
        <v>46097</v>
      </c>
    </row>
    <row r="129" spans="1:30">
      <c r="A129" s="2" t="s">
        <v>397</v>
      </c>
      <c r="B129" s="9">
        <v>470</v>
      </c>
      <c r="C129" s="2" t="s">
        <v>153</v>
      </c>
      <c r="D129" s="2" t="s">
        <v>154</v>
      </c>
      <c r="E129" s="14">
        <v>46091</v>
      </c>
      <c r="F129" s="9" t="s">
        <v>155</v>
      </c>
      <c r="G129" s="9" t="s">
        <v>156</v>
      </c>
      <c r="H129" s="2" t="s">
        <v>212</v>
      </c>
      <c r="I129" s="2" t="s">
        <v>213</v>
      </c>
      <c r="J129" s="2">
        <v>10016408</v>
      </c>
      <c r="K129" s="2" t="s">
        <v>395</v>
      </c>
      <c r="L129" s="21">
        <v>6</v>
      </c>
      <c r="M129" s="21">
        <v>0</v>
      </c>
      <c r="N129" s="21">
        <v>0</v>
      </c>
      <c r="O129" s="21">
        <v>0</v>
      </c>
      <c r="R129" s="19">
        <v>0</v>
      </c>
      <c r="S129" s="12">
        <v>0</v>
      </c>
      <c r="T129" s="20">
        <v>0</v>
      </c>
      <c r="U129" s="12">
        <v>58.62</v>
      </c>
      <c r="V129" s="12">
        <v>0</v>
      </c>
      <c r="W129" s="21">
        <v>6</v>
      </c>
      <c r="X129" s="19">
        <v>0</v>
      </c>
      <c r="Y129" s="22">
        <v>0</v>
      </c>
      <c r="Z129" s="9" t="s">
        <v>3</v>
      </c>
      <c r="AA129" s="23" t="s">
        <v>215</v>
      </c>
      <c r="AC129" s="4">
        <v>157.26</v>
      </c>
      <c r="AD129" s="3">
        <v>46097</v>
      </c>
    </row>
    <row r="130" spans="1:30">
      <c r="A130" s="2" t="s">
        <v>398</v>
      </c>
      <c r="B130" s="9">
        <v>230</v>
      </c>
      <c r="C130" s="2" t="s">
        <v>153</v>
      </c>
      <c r="D130" s="2" t="s">
        <v>154</v>
      </c>
      <c r="E130" s="14">
        <v>46091</v>
      </c>
      <c r="F130" s="9" t="s">
        <v>155</v>
      </c>
      <c r="G130" s="9" t="s">
        <v>156</v>
      </c>
      <c r="H130" s="2" t="s">
        <v>399</v>
      </c>
      <c r="I130" s="2" t="s">
        <v>400</v>
      </c>
      <c r="J130" s="2">
        <v>10100028</v>
      </c>
      <c r="K130" s="2" t="s">
        <v>310</v>
      </c>
      <c r="L130" s="21">
        <v>1</v>
      </c>
      <c r="M130" s="21">
        <v>0</v>
      </c>
      <c r="N130" s="21">
        <v>0</v>
      </c>
      <c r="O130" s="21">
        <v>0</v>
      </c>
      <c r="R130" s="19">
        <v>0</v>
      </c>
      <c r="S130" s="12">
        <v>0</v>
      </c>
      <c r="T130" s="20">
        <v>0</v>
      </c>
      <c r="U130" s="12">
        <v>11.48</v>
      </c>
      <c r="V130" s="12">
        <v>0</v>
      </c>
      <c r="W130" s="21">
        <v>1</v>
      </c>
      <c r="X130" s="19">
        <v>0</v>
      </c>
      <c r="Y130" s="22">
        <v>0</v>
      </c>
      <c r="Z130" s="9" t="s">
        <v>3</v>
      </c>
      <c r="AA130" s="23" t="s">
        <v>401</v>
      </c>
      <c r="AC130" s="4">
        <v>37.4</v>
      </c>
      <c r="AD130" s="3">
        <v>46093</v>
      </c>
    </row>
    <row r="131" spans="1:30">
      <c r="A131" s="2" t="s">
        <v>402</v>
      </c>
      <c r="B131" s="9">
        <v>90</v>
      </c>
      <c r="C131" s="2" t="s">
        <v>187</v>
      </c>
      <c r="D131" s="2" t="s">
        <v>154</v>
      </c>
      <c r="E131" s="14">
        <v>46094</v>
      </c>
      <c r="F131" s="9" t="s">
        <v>155</v>
      </c>
      <c r="G131" s="9" t="s">
        <v>156</v>
      </c>
      <c r="H131" s="2" t="s">
        <v>403</v>
      </c>
      <c r="I131" s="2" t="s">
        <v>404</v>
      </c>
      <c r="J131" s="2">
        <v>10018661</v>
      </c>
      <c r="K131" s="2" t="s">
        <v>405</v>
      </c>
      <c r="L131" s="21">
        <v>13</v>
      </c>
      <c r="M131" s="21">
        <v>0</v>
      </c>
      <c r="N131" s="21">
        <v>0</v>
      </c>
      <c r="O131" s="21">
        <v>0</v>
      </c>
      <c r="R131" s="19">
        <v>0</v>
      </c>
      <c r="S131" s="12">
        <v>0</v>
      </c>
      <c r="T131" s="20">
        <v>0</v>
      </c>
      <c r="U131" s="12">
        <v>39</v>
      </c>
      <c r="V131" s="12">
        <v>0</v>
      </c>
      <c r="W131" s="21">
        <v>13</v>
      </c>
      <c r="X131" s="19">
        <v>0</v>
      </c>
      <c r="Y131" s="22">
        <v>0</v>
      </c>
      <c r="Z131" s="9" t="s">
        <v>3</v>
      </c>
      <c r="AA131" s="23" t="s">
        <v>406</v>
      </c>
      <c r="AC131" s="4">
        <v>335.01</v>
      </c>
      <c r="AD131" s="3">
        <v>46097</v>
      </c>
    </row>
    <row r="132" spans="1:30">
      <c r="A132" s="2" t="s">
        <v>402</v>
      </c>
      <c r="B132" s="9">
        <v>120</v>
      </c>
      <c r="C132" s="2" t="s">
        <v>187</v>
      </c>
      <c r="D132" s="2" t="s">
        <v>154</v>
      </c>
      <c r="E132" s="14">
        <v>46094</v>
      </c>
      <c r="F132" s="9" t="s">
        <v>155</v>
      </c>
      <c r="G132" s="9" t="s">
        <v>156</v>
      </c>
      <c r="H132" s="2" t="s">
        <v>403</v>
      </c>
      <c r="I132" s="2" t="s">
        <v>404</v>
      </c>
      <c r="J132" s="2">
        <v>10019703</v>
      </c>
      <c r="K132" s="2" t="s">
        <v>318</v>
      </c>
      <c r="L132" s="21">
        <v>20</v>
      </c>
      <c r="M132" s="21">
        <v>0</v>
      </c>
      <c r="N132" s="21">
        <v>0</v>
      </c>
      <c r="O132" s="21">
        <v>0</v>
      </c>
      <c r="R132" s="19">
        <v>0</v>
      </c>
      <c r="S132" s="12">
        <v>0</v>
      </c>
      <c r="T132" s="20">
        <v>0</v>
      </c>
      <c r="U132" s="12">
        <v>270</v>
      </c>
      <c r="V132" s="12">
        <v>0</v>
      </c>
      <c r="W132" s="21">
        <v>20</v>
      </c>
      <c r="X132" s="19">
        <v>90</v>
      </c>
      <c r="Y132" s="22">
        <v>0</v>
      </c>
      <c r="Z132" s="9" t="s">
        <v>3</v>
      </c>
      <c r="AA132" s="23" t="s">
        <v>406</v>
      </c>
      <c r="AC132" s="4">
        <v>2212.1999999999998</v>
      </c>
      <c r="AD132" s="3">
        <v>46097</v>
      </c>
    </row>
    <row r="133" spans="1:30">
      <c r="A133" s="2" t="s">
        <v>402</v>
      </c>
      <c r="B133" s="9">
        <v>170</v>
      </c>
      <c r="C133" s="2" t="s">
        <v>187</v>
      </c>
      <c r="D133" s="2" t="s">
        <v>154</v>
      </c>
      <c r="E133" s="14">
        <v>46094</v>
      </c>
      <c r="F133" s="9" t="s">
        <v>155</v>
      </c>
      <c r="G133" s="9" t="s">
        <v>156</v>
      </c>
      <c r="H133" s="2" t="s">
        <v>403</v>
      </c>
      <c r="I133" s="2" t="s">
        <v>404</v>
      </c>
      <c r="J133" s="2">
        <v>10040869</v>
      </c>
      <c r="K133" s="2" t="s">
        <v>407</v>
      </c>
      <c r="L133" s="21">
        <v>78</v>
      </c>
      <c r="M133" s="21">
        <v>0</v>
      </c>
      <c r="N133" s="21">
        <v>0</v>
      </c>
      <c r="O133" s="21">
        <v>0</v>
      </c>
      <c r="R133" s="19">
        <v>0</v>
      </c>
      <c r="S133" s="12">
        <v>0</v>
      </c>
      <c r="T133" s="20">
        <v>0</v>
      </c>
      <c r="U133" s="12">
        <v>234</v>
      </c>
      <c r="V133" s="12">
        <v>0</v>
      </c>
      <c r="W133" s="21">
        <v>78</v>
      </c>
      <c r="X133" s="19">
        <v>0</v>
      </c>
      <c r="Y133" s="22">
        <v>0</v>
      </c>
      <c r="Z133" s="9" t="s">
        <v>3</v>
      </c>
      <c r="AA133" s="23" t="s">
        <v>406</v>
      </c>
      <c r="AC133" s="4">
        <v>1662.18</v>
      </c>
      <c r="AD133" s="3">
        <v>46097</v>
      </c>
    </row>
    <row r="134" spans="1:30">
      <c r="A134" s="2" t="s">
        <v>408</v>
      </c>
      <c r="B134" s="9">
        <v>40</v>
      </c>
      <c r="C134" s="2" t="s">
        <v>181</v>
      </c>
      <c r="D134" s="2" t="s">
        <v>154</v>
      </c>
      <c r="E134" s="14">
        <v>46094</v>
      </c>
      <c r="F134" s="9" t="s">
        <v>155</v>
      </c>
      <c r="G134" s="9" t="s">
        <v>156</v>
      </c>
      <c r="H134" s="2" t="s">
        <v>282</v>
      </c>
      <c r="I134" s="2" t="s">
        <v>236</v>
      </c>
      <c r="J134" s="2">
        <v>10038126</v>
      </c>
      <c r="K134" s="2" t="s">
        <v>409</v>
      </c>
      <c r="L134" s="21">
        <v>59</v>
      </c>
      <c r="M134" s="21">
        <v>0</v>
      </c>
      <c r="N134" s="21">
        <v>0</v>
      </c>
      <c r="O134" s="21">
        <v>0</v>
      </c>
      <c r="R134" s="19">
        <v>0</v>
      </c>
      <c r="S134" s="12">
        <v>0</v>
      </c>
      <c r="T134" s="20">
        <v>0</v>
      </c>
      <c r="U134" s="12">
        <v>118</v>
      </c>
      <c r="V134" s="12">
        <v>0</v>
      </c>
      <c r="W134" s="21">
        <v>59</v>
      </c>
      <c r="X134" s="19">
        <v>0</v>
      </c>
      <c r="Y134" s="22">
        <v>0</v>
      </c>
      <c r="Z134" s="9" t="s">
        <v>6</v>
      </c>
      <c r="AA134" s="23" t="s">
        <v>238</v>
      </c>
      <c r="AC134" s="4">
        <v>1374.11</v>
      </c>
      <c r="AD134" s="3">
        <v>46098</v>
      </c>
    </row>
    <row r="135" spans="1:30">
      <c r="A135" s="2" t="s">
        <v>410</v>
      </c>
      <c r="B135" s="9">
        <v>30</v>
      </c>
      <c r="C135" s="2" t="s">
        <v>192</v>
      </c>
      <c r="D135" s="2" t="s">
        <v>154</v>
      </c>
      <c r="E135" s="14">
        <v>46098</v>
      </c>
      <c r="F135" s="9" t="s">
        <v>155</v>
      </c>
      <c r="G135" s="9" t="s">
        <v>156</v>
      </c>
      <c r="H135" s="2" t="s">
        <v>314</v>
      </c>
      <c r="I135" s="2" t="s">
        <v>315</v>
      </c>
      <c r="J135" s="2">
        <v>10100031</v>
      </c>
      <c r="K135" s="2" t="s">
        <v>304</v>
      </c>
      <c r="L135" s="21">
        <v>1</v>
      </c>
      <c r="M135" s="21">
        <v>0</v>
      </c>
      <c r="N135" s="21">
        <v>0</v>
      </c>
      <c r="O135" s="21">
        <v>0</v>
      </c>
      <c r="R135" s="19">
        <v>0</v>
      </c>
      <c r="S135" s="12">
        <v>0</v>
      </c>
      <c r="T135" s="20">
        <v>0</v>
      </c>
      <c r="U135" s="12">
        <v>10.24</v>
      </c>
      <c r="V135" s="12">
        <v>0</v>
      </c>
      <c r="W135" s="21">
        <v>1</v>
      </c>
      <c r="X135" s="19">
        <v>0</v>
      </c>
      <c r="Y135" s="22">
        <v>0</v>
      </c>
      <c r="Z135" s="9" t="s">
        <v>3</v>
      </c>
      <c r="AA135" s="23" t="s">
        <v>317</v>
      </c>
      <c r="AC135" s="4">
        <v>33.1</v>
      </c>
      <c r="AD135" s="3">
        <v>46105</v>
      </c>
    </row>
    <row r="136" spans="1:30">
      <c r="A136" s="2" t="s">
        <v>410</v>
      </c>
      <c r="B136" s="9">
        <v>130</v>
      </c>
      <c r="C136" s="2" t="s">
        <v>192</v>
      </c>
      <c r="D136" s="2" t="s">
        <v>154</v>
      </c>
      <c r="E136" s="14">
        <v>46098</v>
      </c>
      <c r="F136" s="9" t="s">
        <v>155</v>
      </c>
      <c r="G136" s="9" t="s">
        <v>156</v>
      </c>
      <c r="H136" s="2" t="s">
        <v>314</v>
      </c>
      <c r="I136" s="2" t="s">
        <v>315</v>
      </c>
      <c r="J136" s="2">
        <v>10019641</v>
      </c>
      <c r="K136" s="2" t="s">
        <v>322</v>
      </c>
      <c r="L136" s="21">
        <v>2</v>
      </c>
      <c r="M136" s="21">
        <v>0</v>
      </c>
      <c r="N136" s="21">
        <v>0</v>
      </c>
      <c r="O136" s="21">
        <v>0</v>
      </c>
      <c r="R136" s="19">
        <v>0</v>
      </c>
      <c r="S136" s="12">
        <v>0</v>
      </c>
      <c r="T136" s="20">
        <v>0</v>
      </c>
      <c r="U136" s="12">
        <v>35.409999999999997</v>
      </c>
      <c r="V136" s="12">
        <v>0</v>
      </c>
      <c r="W136" s="21">
        <v>2</v>
      </c>
      <c r="X136" s="19">
        <v>5.2</v>
      </c>
      <c r="Y136" s="22">
        <v>0</v>
      </c>
      <c r="Z136" s="9" t="s">
        <v>3</v>
      </c>
      <c r="AA136" s="23" t="s">
        <v>317</v>
      </c>
      <c r="AC136" s="4">
        <v>152.05000000000001</v>
      </c>
      <c r="AD136" s="3">
        <v>46105</v>
      </c>
    </row>
    <row r="137" spans="1:30">
      <c r="A137" s="2" t="s">
        <v>410</v>
      </c>
      <c r="B137" s="9">
        <v>180</v>
      </c>
      <c r="C137" s="2" t="s">
        <v>192</v>
      </c>
      <c r="D137" s="2" t="s">
        <v>154</v>
      </c>
      <c r="E137" s="14">
        <v>46098</v>
      </c>
      <c r="F137" s="9" t="s">
        <v>155</v>
      </c>
      <c r="G137" s="9" t="s">
        <v>156</v>
      </c>
      <c r="H137" s="2" t="s">
        <v>314</v>
      </c>
      <c r="I137" s="2" t="s">
        <v>315</v>
      </c>
      <c r="J137" s="2">
        <v>10100028</v>
      </c>
      <c r="K137" s="2" t="s">
        <v>310</v>
      </c>
      <c r="L137" s="21">
        <v>1</v>
      </c>
      <c r="M137" s="21">
        <v>0</v>
      </c>
      <c r="N137" s="21">
        <v>0</v>
      </c>
      <c r="O137" s="21">
        <v>0</v>
      </c>
      <c r="R137" s="19">
        <v>0</v>
      </c>
      <c r="S137" s="12">
        <v>0</v>
      </c>
      <c r="T137" s="20">
        <v>0</v>
      </c>
      <c r="U137" s="12">
        <v>11.48</v>
      </c>
      <c r="V137" s="12">
        <v>0</v>
      </c>
      <c r="W137" s="21">
        <v>1</v>
      </c>
      <c r="X137" s="19">
        <v>0</v>
      </c>
      <c r="Y137" s="22">
        <v>0</v>
      </c>
      <c r="Z137" s="9" t="s">
        <v>3</v>
      </c>
      <c r="AA137" s="23" t="s">
        <v>317</v>
      </c>
      <c r="AC137" s="4">
        <v>37.4</v>
      </c>
      <c r="AD137" s="3">
        <v>46105</v>
      </c>
    </row>
    <row r="138" spans="1:30">
      <c r="A138" s="2" t="s">
        <v>410</v>
      </c>
      <c r="B138" s="9">
        <v>290</v>
      </c>
      <c r="C138" s="2" t="s">
        <v>192</v>
      </c>
      <c r="D138" s="2" t="s">
        <v>154</v>
      </c>
      <c r="E138" s="14">
        <v>46098</v>
      </c>
      <c r="F138" s="9" t="s">
        <v>155</v>
      </c>
      <c r="G138" s="9" t="s">
        <v>156</v>
      </c>
      <c r="H138" s="2" t="s">
        <v>314</v>
      </c>
      <c r="I138" s="2" t="s">
        <v>315</v>
      </c>
      <c r="J138" s="2">
        <v>10061099</v>
      </c>
      <c r="K138" s="2" t="s">
        <v>411</v>
      </c>
      <c r="L138" s="21">
        <v>6</v>
      </c>
      <c r="M138" s="21">
        <v>0</v>
      </c>
      <c r="N138" s="21">
        <v>0</v>
      </c>
      <c r="O138" s="21">
        <v>0</v>
      </c>
      <c r="R138" s="19">
        <v>0</v>
      </c>
      <c r="S138" s="12">
        <v>0</v>
      </c>
      <c r="T138" s="20">
        <v>0</v>
      </c>
      <c r="U138" s="12">
        <v>51.06</v>
      </c>
      <c r="V138" s="12">
        <v>0</v>
      </c>
      <c r="W138" s="21">
        <v>6</v>
      </c>
      <c r="X138" s="19">
        <v>0</v>
      </c>
      <c r="Y138" s="22">
        <v>0</v>
      </c>
      <c r="Z138" s="9" t="s">
        <v>3</v>
      </c>
      <c r="AA138" s="23" t="s">
        <v>317</v>
      </c>
      <c r="AC138" s="4">
        <v>140.52000000000001</v>
      </c>
      <c r="AD138" s="3">
        <v>46105</v>
      </c>
    </row>
    <row r="139" spans="1:30">
      <c r="A139" s="2" t="s">
        <v>412</v>
      </c>
      <c r="B139" s="9">
        <v>30</v>
      </c>
      <c r="C139" s="2" t="s">
        <v>153</v>
      </c>
      <c r="D139" s="2" t="s">
        <v>154</v>
      </c>
      <c r="E139" s="14">
        <v>46099</v>
      </c>
      <c r="F139" s="9" t="s">
        <v>155</v>
      </c>
      <c r="G139" s="9" t="s">
        <v>156</v>
      </c>
      <c r="H139" s="2" t="s">
        <v>372</v>
      </c>
      <c r="I139" s="2" t="s">
        <v>373</v>
      </c>
      <c r="J139" s="2">
        <v>10100031</v>
      </c>
      <c r="K139" s="2" t="s">
        <v>304</v>
      </c>
      <c r="L139" s="21">
        <v>1</v>
      </c>
      <c r="M139" s="21">
        <v>0</v>
      </c>
      <c r="N139" s="21">
        <v>0</v>
      </c>
      <c r="O139" s="21">
        <v>0</v>
      </c>
      <c r="R139" s="19">
        <v>0</v>
      </c>
      <c r="S139" s="12">
        <v>0</v>
      </c>
      <c r="T139" s="20">
        <v>0</v>
      </c>
      <c r="U139" s="12">
        <v>3</v>
      </c>
      <c r="V139" s="12">
        <v>0</v>
      </c>
      <c r="W139" s="21">
        <v>1</v>
      </c>
      <c r="X139" s="19">
        <v>0</v>
      </c>
      <c r="Y139" s="22">
        <v>0</v>
      </c>
      <c r="Z139" s="9" t="s">
        <v>3</v>
      </c>
      <c r="AA139" s="23" t="s">
        <v>374</v>
      </c>
      <c r="AC139" s="4">
        <v>33.1</v>
      </c>
      <c r="AD139" s="3">
        <v>46101</v>
      </c>
    </row>
    <row r="140" spans="1:30">
      <c r="A140" s="2" t="s">
        <v>412</v>
      </c>
      <c r="B140" s="9">
        <v>100</v>
      </c>
      <c r="C140" s="2" t="s">
        <v>153</v>
      </c>
      <c r="D140" s="2" t="s">
        <v>154</v>
      </c>
      <c r="E140" s="14">
        <v>46099</v>
      </c>
      <c r="F140" s="9" t="s">
        <v>155</v>
      </c>
      <c r="G140" s="9" t="s">
        <v>156</v>
      </c>
      <c r="H140" s="2" t="s">
        <v>372</v>
      </c>
      <c r="I140" s="2" t="s">
        <v>373</v>
      </c>
      <c r="J140" s="2">
        <v>10100030</v>
      </c>
      <c r="K140" s="2" t="s">
        <v>312</v>
      </c>
      <c r="L140" s="21">
        <v>2</v>
      </c>
      <c r="M140" s="21">
        <v>0</v>
      </c>
      <c r="N140" s="21">
        <v>0</v>
      </c>
      <c r="O140" s="21">
        <v>0</v>
      </c>
      <c r="R140" s="19">
        <v>0</v>
      </c>
      <c r="S140" s="12">
        <v>0</v>
      </c>
      <c r="T140" s="20">
        <v>0</v>
      </c>
      <c r="U140" s="12">
        <v>6</v>
      </c>
      <c r="V140" s="12">
        <v>0</v>
      </c>
      <c r="W140" s="21">
        <v>2</v>
      </c>
      <c r="X140" s="19">
        <v>0</v>
      </c>
      <c r="Y140" s="22">
        <v>0</v>
      </c>
      <c r="Z140" s="9" t="s">
        <v>3</v>
      </c>
      <c r="AA140" s="23" t="s">
        <v>374</v>
      </c>
      <c r="AC140" s="4">
        <v>69.959999999999994</v>
      </c>
      <c r="AD140" s="3">
        <v>46101</v>
      </c>
    </row>
    <row r="141" spans="1:30">
      <c r="A141" s="2" t="s">
        <v>412</v>
      </c>
      <c r="B141" s="9">
        <v>120</v>
      </c>
      <c r="C141" s="2" t="s">
        <v>153</v>
      </c>
      <c r="D141" s="2" t="s">
        <v>154</v>
      </c>
      <c r="E141" s="14">
        <v>46099</v>
      </c>
      <c r="F141" s="9" t="s">
        <v>155</v>
      </c>
      <c r="G141" s="9" t="s">
        <v>156</v>
      </c>
      <c r="H141" s="2" t="s">
        <v>372</v>
      </c>
      <c r="I141" s="2" t="s">
        <v>373</v>
      </c>
      <c r="J141" s="2">
        <v>10019641</v>
      </c>
      <c r="K141" s="2" t="s">
        <v>322</v>
      </c>
      <c r="L141" s="21">
        <v>2</v>
      </c>
      <c r="M141" s="21">
        <v>0</v>
      </c>
      <c r="N141" s="21">
        <v>0</v>
      </c>
      <c r="O141" s="21">
        <v>0</v>
      </c>
      <c r="R141" s="19">
        <v>0</v>
      </c>
      <c r="S141" s="12">
        <v>0</v>
      </c>
      <c r="T141" s="20">
        <v>0</v>
      </c>
      <c r="U141" s="12">
        <v>15.6</v>
      </c>
      <c r="V141" s="12">
        <v>0</v>
      </c>
      <c r="W141" s="21">
        <v>2</v>
      </c>
      <c r="X141" s="19">
        <v>5.2</v>
      </c>
      <c r="Y141" s="22">
        <v>0</v>
      </c>
      <c r="Z141" s="9" t="s">
        <v>3</v>
      </c>
      <c r="AA141" s="23" t="s">
        <v>374</v>
      </c>
      <c r="AC141" s="4">
        <v>152.46</v>
      </c>
      <c r="AD141" s="3">
        <v>46101</v>
      </c>
    </row>
    <row r="142" spans="1:30">
      <c r="A142" s="2" t="s">
        <v>412</v>
      </c>
      <c r="B142" s="9">
        <v>170</v>
      </c>
      <c r="C142" s="2" t="s">
        <v>153</v>
      </c>
      <c r="D142" s="2" t="s">
        <v>154</v>
      </c>
      <c r="E142" s="14">
        <v>46099</v>
      </c>
      <c r="F142" s="9" t="s">
        <v>155</v>
      </c>
      <c r="G142" s="9" t="s">
        <v>156</v>
      </c>
      <c r="H142" s="2" t="s">
        <v>372</v>
      </c>
      <c r="I142" s="2" t="s">
        <v>373</v>
      </c>
      <c r="J142" s="2">
        <v>10100028</v>
      </c>
      <c r="K142" s="2" t="s">
        <v>310</v>
      </c>
      <c r="L142" s="21">
        <v>1</v>
      </c>
      <c r="M142" s="21">
        <v>0</v>
      </c>
      <c r="N142" s="21">
        <v>0</v>
      </c>
      <c r="O142" s="21">
        <v>0</v>
      </c>
      <c r="R142" s="19">
        <v>0</v>
      </c>
      <c r="S142" s="12">
        <v>0</v>
      </c>
      <c r="T142" s="20">
        <v>0</v>
      </c>
      <c r="U142" s="12">
        <v>3</v>
      </c>
      <c r="V142" s="12">
        <v>0</v>
      </c>
      <c r="W142" s="21">
        <v>1</v>
      </c>
      <c r="X142" s="19">
        <v>0</v>
      </c>
      <c r="Y142" s="22">
        <v>0</v>
      </c>
      <c r="Z142" s="9" t="s">
        <v>3</v>
      </c>
      <c r="AA142" s="23" t="s">
        <v>374</v>
      </c>
      <c r="AC142" s="4">
        <v>37.4</v>
      </c>
      <c r="AD142" s="3">
        <v>46101</v>
      </c>
    </row>
    <row r="143" spans="1:30">
      <c r="A143" s="2" t="s">
        <v>412</v>
      </c>
      <c r="B143" s="9">
        <v>270</v>
      </c>
      <c r="C143" s="2" t="s">
        <v>153</v>
      </c>
      <c r="D143" s="2" t="s">
        <v>154</v>
      </c>
      <c r="E143" s="14">
        <v>46099</v>
      </c>
      <c r="F143" s="9" t="s">
        <v>155</v>
      </c>
      <c r="G143" s="9" t="s">
        <v>156</v>
      </c>
      <c r="H143" s="2" t="s">
        <v>372</v>
      </c>
      <c r="I143" s="2" t="s">
        <v>373</v>
      </c>
      <c r="J143" s="2">
        <v>10061099</v>
      </c>
      <c r="K143" s="2" t="s">
        <v>411</v>
      </c>
      <c r="L143" s="21">
        <v>6</v>
      </c>
      <c r="M143" s="21">
        <v>0</v>
      </c>
      <c r="N143" s="21">
        <v>0</v>
      </c>
      <c r="O143" s="21">
        <v>0</v>
      </c>
      <c r="R143" s="19">
        <v>0</v>
      </c>
      <c r="S143" s="12">
        <v>0</v>
      </c>
      <c r="T143" s="20">
        <v>0</v>
      </c>
      <c r="U143" s="12">
        <v>24</v>
      </c>
      <c r="V143" s="12">
        <v>0</v>
      </c>
      <c r="W143" s="21">
        <v>6</v>
      </c>
      <c r="X143" s="19">
        <v>0</v>
      </c>
      <c r="Y143" s="22">
        <v>0</v>
      </c>
      <c r="Z143" s="9" t="s">
        <v>3</v>
      </c>
      <c r="AA143" s="23" t="s">
        <v>374</v>
      </c>
      <c r="AC143" s="4">
        <v>140.69999999999999</v>
      </c>
      <c r="AD143" s="3">
        <v>46101</v>
      </c>
    </row>
    <row r="144" spans="1:30">
      <c r="A144" s="2" t="s">
        <v>412</v>
      </c>
      <c r="B144" s="9">
        <v>390</v>
      </c>
      <c r="C144" s="2" t="s">
        <v>153</v>
      </c>
      <c r="D144" s="2" t="s">
        <v>154</v>
      </c>
      <c r="E144" s="14">
        <v>46099</v>
      </c>
      <c r="F144" s="9" t="s">
        <v>155</v>
      </c>
      <c r="G144" s="9" t="s">
        <v>156</v>
      </c>
      <c r="H144" s="2" t="s">
        <v>372</v>
      </c>
      <c r="I144" s="2" t="s">
        <v>373</v>
      </c>
      <c r="J144" s="2">
        <v>10007843</v>
      </c>
      <c r="K144" s="2" t="s">
        <v>413</v>
      </c>
      <c r="L144" s="21">
        <v>36</v>
      </c>
      <c r="M144" s="21">
        <v>0</v>
      </c>
      <c r="N144" s="21">
        <v>0</v>
      </c>
      <c r="O144" s="21">
        <v>0</v>
      </c>
      <c r="R144" s="19">
        <v>0</v>
      </c>
      <c r="S144" s="12">
        <v>0</v>
      </c>
      <c r="T144" s="20">
        <v>0</v>
      </c>
      <c r="U144" s="12">
        <v>216</v>
      </c>
      <c r="V144" s="12">
        <v>0</v>
      </c>
      <c r="W144" s="21">
        <v>36</v>
      </c>
      <c r="X144" s="19">
        <v>0</v>
      </c>
      <c r="Y144" s="22">
        <v>0</v>
      </c>
      <c r="Z144" s="9" t="s">
        <v>3</v>
      </c>
      <c r="AA144" s="23" t="s">
        <v>374</v>
      </c>
      <c r="AC144" s="4">
        <v>1673.28</v>
      </c>
      <c r="AD144" s="3">
        <v>46101</v>
      </c>
    </row>
    <row r="145" spans="1:30">
      <c r="A145" s="2" t="s">
        <v>412</v>
      </c>
      <c r="B145" s="9">
        <v>450</v>
      </c>
      <c r="C145" s="2" t="s">
        <v>153</v>
      </c>
      <c r="D145" s="2" t="s">
        <v>154</v>
      </c>
      <c r="E145" s="14">
        <v>46099</v>
      </c>
      <c r="F145" s="9" t="s">
        <v>155</v>
      </c>
      <c r="G145" s="9" t="s">
        <v>156</v>
      </c>
      <c r="H145" s="2" t="s">
        <v>372</v>
      </c>
      <c r="I145" s="2" t="s">
        <v>373</v>
      </c>
      <c r="J145" s="2">
        <v>10049305</v>
      </c>
      <c r="K145" s="2" t="s">
        <v>414</v>
      </c>
      <c r="L145" s="21">
        <v>6</v>
      </c>
      <c r="M145" s="21">
        <v>0</v>
      </c>
      <c r="N145" s="21">
        <v>0</v>
      </c>
      <c r="O145" s="21">
        <v>0</v>
      </c>
      <c r="R145" s="19">
        <v>0</v>
      </c>
      <c r="S145" s="12">
        <v>0</v>
      </c>
      <c r="T145" s="20">
        <v>0</v>
      </c>
      <c r="U145" s="12">
        <v>48</v>
      </c>
      <c r="V145" s="12">
        <v>0</v>
      </c>
      <c r="W145" s="21">
        <v>6</v>
      </c>
      <c r="X145" s="19">
        <v>0</v>
      </c>
      <c r="Y145" s="22">
        <v>0</v>
      </c>
      <c r="Z145" s="9" t="s">
        <v>3</v>
      </c>
      <c r="AA145" s="23" t="s">
        <v>374</v>
      </c>
      <c r="AC145" s="4">
        <v>159</v>
      </c>
      <c r="AD145" s="3">
        <v>46101</v>
      </c>
    </row>
    <row r="146" spans="1:30">
      <c r="A146" s="2" t="s">
        <v>412</v>
      </c>
      <c r="B146" s="9">
        <v>520</v>
      </c>
      <c r="C146" s="2" t="s">
        <v>153</v>
      </c>
      <c r="D146" s="2" t="s">
        <v>154</v>
      </c>
      <c r="E146" s="14">
        <v>46099</v>
      </c>
      <c r="F146" s="9" t="s">
        <v>155</v>
      </c>
      <c r="G146" s="9" t="s">
        <v>156</v>
      </c>
      <c r="H146" s="2" t="s">
        <v>372</v>
      </c>
      <c r="I146" s="2" t="s">
        <v>373</v>
      </c>
      <c r="J146" s="2">
        <v>10019131</v>
      </c>
      <c r="K146" s="2" t="s">
        <v>415</v>
      </c>
      <c r="L146" s="21">
        <v>126</v>
      </c>
      <c r="M146" s="21">
        <v>0</v>
      </c>
      <c r="N146" s="21">
        <v>0</v>
      </c>
      <c r="O146" s="21">
        <v>0</v>
      </c>
      <c r="R146" s="19">
        <v>0</v>
      </c>
      <c r="S146" s="12">
        <v>0</v>
      </c>
      <c r="T146" s="20">
        <v>0</v>
      </c>
      <c r="U146" s="12">
        <v>630</v>
      </c>
      <c r="V146" s="12">
        <v>0</v>
      </c>
      <c r="W146" s="21">
        <v>126</v>
      </c>
      <c r="X146" s="19">
        <v>0</v>
      </c>
      <c r="Y146" s="22">
        <v>0</v>
      </c>
      <c r="Z146" s="9" t="s">
        <v>3</v>
      </c>
      <c r="AA146" s="23" t="s">
        <v>374</v>
      </c>
      <c r="AC146" s="4">
        <v>1044.54</v>
      </c>
      <c r="AD146" s="3">
        <v>46101</v>
      </c>
    </row>
    <row r="147" spans="1:30">
      <c r="A147" s="2" t="s">
        <v>416</v>
      </c>
      <c r="B147" s="9">
        <v>10</v>
      </c>
      <c r="C147" s="2" t="s">
        <v>153</v>
      </c>
      <c r="D147" s="2" t="s">
        <v>154</v>
      </c>
      <c r="E147" s="14">
        <v>46104</v>
      </c>
      <c r="F147" s="9" t="s">
        <v>155</v>
      </c>
      <c r="G147" s="9" t="s">
        <v>156</v>
      </c>
      <c r="H147" s="2" t="s">
        <v>272</v>
      </c>
      <c r="I147" s="2" t="s">
        <v>273</v>
      </c>
      <c r="J147" s="2">
        <v>10019641</v>
      </c>
      <c r="K147" s="2" t="s">
        <v>322</v>
      </c>
      <c r="L147" s="21">
        <v>2</v>
      </c>
      <c r="M147" s="21">
        <v>0</v>
      </c>
      <c r="N147" s="21">
        <v>0</v>
      </c>
      <c r="O147" s="21">
        <v>0</v>
      </c>
      <c r="R147" s="19">
        <v>0</v>
      </c>
      <c r="S147" s="12">
        <v>0</v>
      </c>
      <c r="T147" s="20">
        <v>0</v>
      </c>
      <c r="U147" s="12">
        <v>35.409999999999997</v>
      </c>
      <c r="V147" s="12">
        <v>0</v>
      </c>
      <c r="W147" s="21">
        <v>2</v>
      </c>
      <c r="X147" s="19">
        <v>5.2</v>
      </c>
      <c r="Y147" s="22">
        <v>0</v>
      </c>
      <c r="Z147" s="9" t="s">
        <v>3</v>
      </c>
      <c r="AA147" s="23" t="s">
        <v>274</v>
      </c>
      <c r="AC147" s="4">
        <v>149.44999999999999</v>
      </c>
      <c r="AD147" s="3">
        <v>46107</v>
      </c>
    </row>
    <row r="148" spans="1:30">
      <c r="A148" s="2" t="s">
        <v>417</v>
      </c>
      <c r="B148" s="9">
        <v>10</v>
      </c>
      <c r="C148" s="2" t="s">
        <v>192</v>
      </c>
      <c r="D148" s="2" t="s">
        <v>154</v>
      </c>
      <c r="E148" s="14">
        <v>46104</v>
      </c>
      <c r="F148" s="9" t="s">
        <v>155</v>
      </c>
      <c r="G148" s="9" t="s">
        <v>156</v>
      </c>
      <c r="H148" s="2" t="s">
        <v>314</v>
      </c>
      <c r="I148" s="2" t="s">
        <v>315</v>
      </c>
      <c r="J148" s="2">
        <v>10019641</v>
      </c>
      <c r="K148" s="2" t="s">
        <v>322</v>
      </c>
      <c r="L148" s="21">
        <v>2</v>
      </c>
      <c r="M148" s="21">
        <v>0</v>
      </c>
      <c r="N148" s="21">
        <v>0</v>
      </c>
      <c r="O148" s="21">
        <v>0</v>
      </c>
      <c r="R148" s="19">
        <v>0</v>
      </c>
      <c r="S148" s="12">
        <v>0</v>
      </c>
      <c r="T148" s="20">
        <v>0</v>
      </c>
      <c r="U148" s="12">
        <v>35.409999999999997</v>
      </c>
      <c r="V148" s="12">
        <v>0</v>
      </c>
      <c r="W148" s="21">
        <v>2</v>
      </c>
      <c r="X148" s="19">
        <v>5.2</v>
      </c>
      <c r="Y148" s="22">
        <v>0</v>
      </c>
      <c r="Z148" s="9" t="s">
        <v>3</v>
      </c>
      <c r="AA148" s="23" t="s">
        <v>317</v>
      </c>
      <c r="AC148" s="4">
        <v>149.44999999999999</v>
      </c>
      <c r="AD148" s="3">
        <v>46108</v>
      </c>
    </row>
    <row r="149" spans="1:30">
      <c r="A149" s="2" t="s">
        <v>417</v>
      </c>
      <c r="B149" s="9">
        <v>40</v>
      </c>
      <c r="C149" s="2" t="s">
        <v>192</v>
      </c>
      <c r="D149" s="2" t="s">
        <v>154</v>
      </c>
      <c r="E149" s="14">
        <v>46104</v>
      </c>
      <c r="F149" s="9" t="s">
        <v>155</v>
      </c>
      <c r="G149" s="9" t="s">
        <v>156</v>
      </c>
      <c r="H149" s="2" t="s">
        <v>314</v>
      </c>
      <c r="I149" s="2" t="s">
        <v>315</v>
      </c>
      <c r="J149" s="2">
        <v>10100028</v>
      </c>
      <c r="K149" s="2" t="s">
        <v>310</v>
      </c>
      <c r="L149" s="21">
        <v>1</v>
      </c>
      <c r="M149" s="21">
        <v>0</v>
      </c>
      <c r="N149" s="21">
        <v>0</v>
      </c>
      <c r="O149" s="21">
        <v>0</v>
      </c>
      <c r="R149" s="19">
        <v>0</v>
      </c>
      <c r="S149" s="12">
        <v>0</v>
      </c>
      <c r="T149" s="20">
        <v>0</v>
      </c>
      <c r="U149" s="12">
        <v>11.48</v>
      </c>
      <c r="V149" s="12">
        <v>0</v>
      </c>
      <c r="W149" s="21">
        <v>1</v>
      </c>
      <c r="X149" s="19">
        <v>0</v>
      </c>
      <c r="Y149" s="22">
        <v>0</v>
      </c>
      <c r="Z149" s="9" t="s">
        <v>3</v>
      </c>
      <c r="AA149" s="23" t="s">
        <v>317</v>
      </c>
      <c r="AC149" s="4">
        <v>37.4</v>
      </c>
      <c r="AD149" s="3">
        <v>46108</v>
      </c>
    </row>
    <row r="150" spans="1:30">
      <c r="A150" s="2" t="s">
        <v>417</v>
      </c>
      <c r="B150" s="9">
        <v>190</v>
      </c>
      <c r="C150" s="2" t="s">
        <v>192</v>
      </c>
      <c r="D150" s="2" t="s">
        <v>154</v>
      </c>
      <c r="E150" s="14">
        <v>46104</v>
      </c>
      <c r="F150" s="9" t="s">
        <v>155</v>
      </c>
      <c r="G150" s="9" t="s">
        <v>156</v>
      </c>
      <c r="H150" s="2" t="s">
        <v>314</v>
      </c>
      <c r="I150" s="2" t="s">
        <v>315</v>
      </c>
      <c r="J150" s="2">
        <v>10100030</v>
      </c>
      <c r="K150" s="2" t="s">
        <v>312</v>
      </c>
      <c r="L150" s="21">
        <v>4</v>
      </c>
      <c r="M150" s="21">
        <v>0</v>
      </c>
      <c r="N150" s="21">
        <v>0</v>
      </c>
      <c r="O150" s="21">
        <v>0</v>
      </c>
      <c r="R150" s="19">
        <v>0</v>
      </c>
      <c r="S150" s="12">
        <v>0</v>
      </c>
      <c r="T150" s="20">
        <v>0</v>
      </c>
      <c r="U150" s="12">
        <v>43.04</v>
      </c>
      <c r="V150" s="12">
        <v>0</v>
      </c>
      <c r="W150" s="21">
        <v>4</v>
      </c>
      <c r="X150" s="19">
        <v>0</v>
      </c>
      <c r="Y150" s="22">
        <v>0</v>
      </c>
      <c r="Z150" s="9" t="s">
        <v>3</v>
      </c>
      <c r="AA150" s="23" t="s">
        <v>317</v>
      </c>
      <c r="AC150" s="4">
        <v>139.91999999999999</v>
      </c>
      <c r="AD150" s="3">
        <v>46108</v>
      </c>
    </row>
    <row r="151" spans="1:30">
      <c r="A151" s="2" t="s">
        <v>417</v>
      </c>
      <c r="B151" s="9">
        <v>250</v>
      </c>
      <c r="C151" s="2" t="s">
        <v>192</v>
      </c>
      <c r="D151" s="2" t="s">
        <v>154</v>
      </c>
      <c r="E151" s="14">
        <v>46104</v>
      </c>
      <c r="F151" s="9" t="s">
        <v>155</v>
      </c>
      <c r="G151" s="9" t="s">
        <v>156</v>
      </c>
      <c r="H151" s="2" t="s">
        <v>314</v>
      </c>
      <c r="I151" s="2" t="s">
        <v>315</v>
      </c>
      <c r="J151" s="2">
        <v>10019648</v>
      </c>
      <c r="K151" s="2" t="s">
        <v>284</v>
      </c>
      <c r="L151" s="21">
        <v>8</v>
      </c>
      <c r="M151" s="21">
        <v>0</v>
      </c>
      <c r="N151" s="21">
        <v>0</v>
      </c>
      <c r="O151" s="21">
        <v>0</v>
      </c>
      <c r="R151" s="19">
        <v>0</v>
      </c>
      <c r="S151" s="12">
        <v>0</v>
      </c>
      <c r="T151" s="20">
        <v>0</v>
      </c>
      <c r="U151" s="12">
        <v>80</v>
      </c>
      <c r="V151" s="12">
        <v>0</v>
      </c>
      <c r="W151" s="21">
        <v>8</v>
      </c>
      <c r="X151" s="19">
        <v>0</v>
      </c>
      <c r="Y151" s="22">
        <v>0</v>
      </c>
      <c r="Z151" s="9" t="s">
        <v>3</v>
      </c>
      <c r="AA151" s="23" t="s">
        <v>317</v>
      </c>
      <c r="AC151" s="4">
        <v>329.68</v>
      </c>
      <c r="AD151" s="3">
        <v>46108</v>
      </c>
    </row>
    <row r="152" spans="1:30">
      <c r="A152" s="2" t="s">
        <v>417</v>
      </c>
      <c r="B152" s="9">
        <v>320</v>
      </c>
      <c r="C152" s="2" t="s">
        <v>192</v>
      </c>
      <c r="D152" s="2" t="s">
        <v>154</v>
      </c>
      <c r="E152" s="14">
        <v>46104</v>
      </c>
      <c r="F152" s="9" t="s">
        <v>155</v>
      </c>
      <c r="G152" s="9" t="s">
        <v>156</v>
      </c>
      <c r="H152" s="2" t="s">
        <v>314</v>
      </c>
      <c r="I152" s="2" t="s">
        <v>315</v>
      </c>
      <c r="J152" s="2">
        <v>10061008</v>
      </c>
      <c r="K152" s="2" t="s">
        <v>353</v>
      </c>
      <c r="L152" s="21">
        <v>6</v>
      </c>
      <c r="M152" s="21">
        <v>0</v>
      </c>
      <c r="N152" s="21">
        <v>0</v>
      </c>
      <c r="O152" s="21">
        <v>0</v>
      </c>
      <c r="R152" s="19">
        <v>0</v>
      </c>
      <c r="S152" s="12">
        <v>0</v>
      </c>
      <c r="T152" s="20">
        <v>0</v>
      </c>
      <c r="U152" s="12">
        <v>53.34</v>
      </c>
      <c r="V152" s="12">
        <v>0</v>
      </c>
      <c r="W152" s="21">
        <v>6</v>
      </c>
      <c r="X152" s="19">
        <v>0</v>
      </c>
      <c r="Y152" s="22">
        <v>0</v>
      </c>
      <c r="Z152" s="9" t="s">
        <v>3</v>
      </c>
      <c r="AA152" s="23" t="s">
        <v>317</v>
      </c>
      <c r="AC152" s="4">
        <v>148.68</v>
      </c>
      <c r="AD152" s="3">
        <v>46108</v>
      </c>
    </row>
    <row r="153" spans="1:30">
      <c r="A153" s="2" t="s">
        <v>417</v>
      </c>
      <c r="B153" s="9">
        <v>340</v>
      </c>
      <c r="C153" s="2" t="s">
        <v>192</v>
      </c>
      <c r="D153" s="2" t="s">
        <v>154</v>
      </c>
      <c r="E153" s="14">
        <v>46104</v>
      </c>
      <c r="F153" s="9" t="s">
        <v>155</v>
      </c>
      <c r="G153" s="9" t="s">
        <v>156</v>
      </c>
      <c r="H153" s="2" t="s">
        <v>314</v>
      </c>
      <c r="I153" s="2" t="s">
        <v>315</v>
      </c>
      <c r="J153" s="2">
        <v>10052114</v>
      </c>
      <c r="K153" s="2" t="s">
        <v>184</v>
      </c>
      <c r="L153" s="21">
        <v>2</v>
      </c>
      <c r="M153" s="21">
        <v>0</v>
      </c>
      <c r="N153" s="21">
        <v>0</v>
      </c>
      <c r="O153" s="21">
        <v>0</v>
      </c>
      <c r="R153" s="19">
        <v>0</v>
      </c>
      <c r="S153" s="12">
        <v>0</v>
      </c>
      <c r="T153" s="20">
        <v>0</v>
      </c>
      <c r="U153" s="12">
        <v>47.04</v>
      </c>
      <c r="V153" s="12">
        <v>0</v>
      </c>
      <c r="W153" s="21">
        <v>2</v>
      </c>
      <c r="X153" s="19">
        <v>0</v>
      </c>
      <c r="Y153" s="22">
        <v>0</v>
      </c>
      <c r="Z153" s="9" t="s">
        <v>3</v>
      </c>
      <c r="AA153" s="23" t="s">
        <v>317</v>
      </c>
      <c r="AC153" s="4">
        <v>143.12</v>
      </c>
      <c r="AD153" s="3">
        <v>46108</v>
      </c>
    </row>
    <row r="154" spans="1:30">
      <c r="A154" s="2" t="s">
        <v>417</v>
      </c>
      <c r="B154" s="9">
        <v>460</v>
      </c>
      <c r="C154" s="2" t="s">
        <v>192</v>
      </c>
      <c r="D154" s="2" t="s">
        <v>154</v>
      </c>
      <c r="E154" s="14">
        <v>46104</v>
      </c>
      <c r="F154" s="9" t="s">
        <v>155</v>
      </c>
      <c r="G154" s="9" t="s">
        <v>156</v>
      </c>
      <c r="H154" s="2" t="s">
        <v>314</v>
      </c>
      <c r="I154" s="2" t="s">
        <v>315</v>
      </c>
      <c r="J154" s="2">
        <v>10052110</v>
      </c>
      <c r="K154" s="2" t="s">
        <v>418</v>
      </c>
      <c r="L154" s="21">
        <v>1</v>
      </c>
      <c r="M154" s="21">
        <v>0</v>
      </c>
      <c r="N154" s="21">
        <v>0</v>
      </c>
      <c r="O154" s="21">
        <v>0</v>
      </c>
      <c r="R154" s="19">
        <v>0</v>
      </c>
      <c r="S154" s="12">
        <v>0</v>
      </c>
      <c r="T154" s="20">
        <v>0</v>
      </c>
      <c r="U154" s="12">
        <v>24.69</v>
      </c>
      <c r="V154" s="12">
        <v>0</v>
      </c>
      <c r="W154" s="21">
        <v>1</v>
      </c>
      <c r="X154" s="19">
        <v>0</v>
      </c>
      <c r="Y154" s="22">
        <v>0</v>
      </c>
      <c r="Z154" s="9" t="s">
        <v>3</v>
      </c>
      <c r="AA154" s="23" t="s">
        <v>317</v>
      </c>
      <c r="AC154" s="4">
        <v>74.86</v>
      </c>
      <c r="AD154" s="3">
        <v>46108</v>
      </c>
    </row>
    <row r="155" spans="1:30">
      <c r="A155" s="2" t="s">
        <v>419</v>
      </c>
      <c r="B155" s="9">
        <v>130</v>
      </c>
      <c r="C155" s="2" t="s">
        <v>153</v>
      </c>
      <c r="D155" s="2" t="s">
        <v>154</v>
      </c>
      <c r="E155" s="14">
        <v>46104</v>
      </c>
      <c r="F155" s="9" t="s">
        <v>155</v>
      </c>
      <c r="G155" s="9" t="s">
        <v>156</v>
      </c>
      <c r="H155" s="2" t="s">
        <v>420</v>
      </c>
      <c r="I155" s="2" t="s">
        <v>421</v>
      </c>
      <c r="J155" s="2">
        <v>10016204</v>
      </c>
      <c r="K155" s="2" t="s">
        <v>279</v>
      </c>
      <c r="L155" s="21">
        <v>109</v>
      </c>
      <c r="M155" s="21">
        <v>0</v>
      </c>
      <c r="N155" s="21">
        <v>0</v>
      </c>
      <c r="O155" s="21">
        <v>0</v>
      </c>
      <c r="R155" s="19">
        <v>0</v>
      </c>
      <c r="S155" s="12">
        <v>0</v>
      </c>
      <c r="T155" s="20">
        <v>0</v>
      </c>
      <c r="U155" s="12">
        <v>2739.17</v>
      </c>
      <c r="V155" s="12">
        <v>0</v>
      </c>
      <c r="W155" s="21">
        <v>109</v>
      </c>
      <c r="X155" s="19">
        <v>0</v>
      </c>
      <c r="Y155" s="22">
        <v>0</v>
      </c>
      <c r="Z155" s="9" t="s">
        <v>3</v>
      </c>
      <c r="AA155" s="23" t="s">
        <v>422</v>
      </c>
      <c r="AC155" s="4">
        <v>4766.57</v>
      </c>
      <c r="AD155" s="3">
        <v>46107</v>
      </c>
    </row>
    <row r="156" spans="1:30">
      <c r="A156" s="2" t="s">
        <v>419</v>
      </c>
      <c r="B156" s="9">
        <v>160</v>
      </c>
      <c r="C156" s="2" t="s">
        <v>153</v>
      </c>
      <c r="D156" s="2" t="s">
        <v>154</v>
      </c>
      <c r="E156" s="14">
        <v>46104</v>
      </c>
      <c r="F156" s="9" t="s">
        <v>155</v>
      </c>
      <c r="G156" s="9" t="s">
        <v>156</v>
      </c>
      <c r="H156" s="2" t="s">
        <v>420</v>
      </c>
      <c r="I156" s="2" t="s">
        <v>421</v>
      </c>
      <c r="J156" s="2">
        <v>10018016</v>
      </c>
      <c r="K156" s="2" t="s">
        <v>305</v>
      </c>
      <c r="L156" s="21">
        <v>37</v>
      </c>
      <c r="M156" s="21">
        <v>0</v>
      </c>
      <c r="N156" s="21">
        <v>0</v>
      </c>
      <c r="O156" s="21">
        <v>0</v>
      </c>
      <c r="R156" s="19">
        <v>0</v>
      </c>
      <c r="S156" s="12">
        <v>0</v>
      </c>
      <c r="T156" s="20">
        <v>0</v>
      </c>
      <c r="U156" s="12">
        <v>1252.67</v>
      </c>
      <c r="V156" s="12">
        <v>0</v>
      </c>
      <c r="W156" s="21">
        <v>37</v>
      </c>
      <c r="X156" s="19">
        <v>118.4</v>
      </c>
      <c r="Y156" s="22">
        <v>0</v>
      </c>
      <c r="Z156" s="9" t="s">
        <v>3</v>
      </c>
      <c r="AA156" s="23" t="s">
        <v>422</v>
      </c>
      <c r="AC156" s="4">
        <v>2448.5100000000002</v>
      </c>
      <c r="AD156" s="3">
        <v>46107</v>
      </c>
    </row>
    <row r="157" spans="1:30">
      <c r="A157" s="2" t="s">
        <v>423</v>
      </c>
      <c r="B157" s="9">
        <v>80</v>
      </c>
      <c r="C157" s="2" t="s">
        <v>153</v>
      </c>
      <c r="D157" s="2" t="s">
        <v>154</v>
      </c>
      <c r="E157" s="14">
        <v>46104</v>
      </c>
      <c r="F157" s="9" t="s">
        <v>155</v>
      </c>
      <c r="G157" s="9" t="s">
        <v>156</v>
      </c>
      <c r="H157" s="2" t="s">
        <v>212</v>
      </c>
      <c r="I157" s="2" t="s">
        <v>213</v>
      </c>
      <c r="J157" s="2">
        <v>10100030</v>
      </c>
      <c r="K157" s="2" t="s">
        <v>312</v>
      </c>
      <c r="L157" s="21">
        <v>4</v>
      </c>
      <c r="M157" s="21">
        <v>0</v>
      </c>
      <c r="N157" s="21">
        <v>0</v>
      </c>
      <c r="O157" s="21">
        <v>0</v>
      </c>
      <c r="R157" s="19">
        <v>0</v>
      </c>
      <c r="S157" s="12">
        <v>0</v>
      </c>
      <c r="T157" s="20">
        <v>0</v>
      </c>
      <c r="U157" s="12">
        <v>36</v>
      </c>
      <c r="V157" s="12">
        <v>0</v>
      </c>
      <c r="W157" s="21">
        <v>4</v>
      </c>
      <c r="X157" s="19">
        <v>0</v>
      </c>
      <c r="Y157" s="22">
        <v>0</v>
      </c>
      <c r="Z157" s="9" t="s">
        <v>3</v>
      </c>
      <c r="AA157" s="23" t="s">
        <v>215</v>
      </c>
      <c r="AC157" s="4">
        <v>139.91999999999999</v>
      </c>
      <c r="AD157" s="3">
        <v>46111</v>
      </c>
    </row>
    <row r="158" spans="1:30">
      <c r="A158" s="2" t="s">
        <v>423</v>
      </c>
      <c r="B158" s="9">
        <v>110</v>
      </c>
      <c r="C158" s="2" t="s">
        <v>153</v>
      </c>
      <c r="D158" s="2" t="s">
        <v>154</v>
      </c>
      <c r="E158" s="14">
        <v>46104</v>
      </c>
      <c r="F158" s="9" t="s">
        <v>155</v>
      </c>
      <c r="G158" s="9" t="s">
        <v>156</v>
      </c>
      <c r="H158" s="2" t="s">
        <v>212</v>
      </c>
      <c r="I158" s="2" t="s">
        <v>213</v>
      </c>
      <c r="J158" s="2">
        <v>10019648</v>
      </c>
      <c r="K158" s="2" t="s">
        <v>284</v>
      </c>
      <c r="L158" s="21">
        <v>1</v>
      </c>
      <c r="M158" s="21">
        <v>0</v>
      </c>
      <c r="N158" s="21">
        <v>0</v>
      </c>
      <c r="O158" s="21">
        <v>0</v>
      </c>
      <c r="R158" s="19">
        <v>0</v>
      </c>
      <c r="S158" s="12">
        <v>0</v>
      </c>
      <c r="T158" s="20">
        <v>0</v>
      </c>
      <c r="U158" s="12">
        <v>10</v>
      </c>
      <c r="V158" s="12">
        <v>0</v>
      </c>
      <c r="W158" s="21">
        <v>1</v>
      </c>
      <c r="X158" s="19">
        <v>0</v>
      </c>
      <c r="Y158" s="22">
        <v>0</v>
      </c>
      <c r="Z158" s="9" t="s">
        <v>3</v>
      </c>
      <c r="AA158" s="23" t="s">
        <v>215</v>
      </c>
      <c r="AC158" s="4">
        <v>41.21</v>
      </c>
      <c r="AD158" s="3">
        <v>46111</v>
      </c>
    </row>
    <row r="159" spans="1:30">
      <c r="A159" s="2" t="s">
        <v>423</v>
      </c>
      <c r="B159" s="9">
        <v>170</v>
      </c>
      <c r="C159" s="2" t="s">
        <v>153</v>
      </c>
      <c r="D159" s="2" t="s">
        <v>154</v>
      </c>
      <c r="E159" s="14">
        <v>46104</v>
      </c>
      <c r="F159" s="9" t="s">
        <v>155</v>
      </c>
      <c r="G159" s="9" t="s">
        <v>156</v>
      </c>
      <c r="H159" s="2" t="s">
        <v>212</v>
      </c>
      <c r="I159" s="2" t="s">
        <v>213</v>
      </c>
      <c r="J159" s="2">
        <v>10061008</v>
      </c>
      <c r="K159" s="2" t="s">
        <v>353</v>
      </c>
      <c r="L159" s="21">
        <v>6</v>
      </c>
      <c r="M159" s="21">
        <v>0</v>
      </c>
      <c r="N159" s="21">
        <v>0</v>
      </c>
      <c r="O159" s="21">
        <v>0</v>
      </c>
      <c r="R159" s="19">
        <v>0</v>
      </c>
      <c r="S159" s="12">
        <v>0</v>
      </c>
      <c r="T159" s="20">
        <v>0</v>
      </c>
      <c r="U159" s="12">
        <v>53.34</v>
      </c>
      <c r="V159" s="12">
        <v>0</v>
      </c>
      <c r="W159" s="21">
        <v>6</v>
      </c>
      <c r="X159" s="19">
        <v>0</v>
      </c>
      <c r="Y159" s="22">
        <v>0</v>
      </c>
      <c r="Z159" s="9" t="s">
        <v>3</v>
      </c>
      <c r="AA159" s="23" t="s">
        <v>215</v>
      </c>
      <c r="AC159" s="4">
        <v>148.68</v>
      </c>
      <c r="AD159" s="3">
        <v>46111</v>
      </c>
    </row>
    <row r="160" spans="1:30">
      <c r="A160" s="2" t="s">
        <v>423</v>
      </c>
      <c r="B160" s="9">
        <v>260</v>
      </c>
      <c r="C160" s="2" t="s">
        <v>153</v>
      </c>
      <c r="D160" s="2" t="s">
        <v>154</v>
      </c>
      <c r="E160" s="14">
        <v>46104</v>
      </c>
      <c r="F160" s="9" t="s">
        <v>155</v>
      </c>
      <c r="G160" s="9" t="s">
        <v>156</v>
      </c>
      <c r="H160" s="2" t="s">
        <v>212</v>
      </c>
      <c r="I160" s="2" t="s">
        <v>213</v>
      </c>
      <c r="J160" s="2">
        <v>10019131</v>
      </c>
      <c r="K160" s="2" t="s">
        <v>415</v>
      </c>
      <c r="L160" s="21">
        <v>126</v>
      </c>
      <c r="M160" s="21">
        <v>0</v>
      </c>
      <c r="N160" s="21">
        <v>0</v>
      </c>
      <c r="O160" s="21">
        <v>0</v>
      </c>
      <c r="R160" s="19">
        <v>0</v>
      </c>
      <c r="S160" s="12">
        <v>0</v>
      </c>
      <c r="T160" s="20">
        <v>0</v>
      </c>
      <c r="U160" s="12">
        <v>378</v>
      </c>
      <c r="V160" s="12">
        <v>0</v>
      </c>
      <c r="W160" s="21">
        <v>126</v>
      </c>
      <c r="X160" s="19">
        <v>0</v>
      </c>
      <c r="Y160" s="22">
        <v>0</v>
      </c>
      <c r="Z160" s="9" t="s">
        <v>3</v>
      </c>
      <c r="AA160" s="23" t="s">
        <v>215</v>
      </c>
      <c r="AC160" s="4">
        <v>1044.54</v>
      </c>
      <c r="AD160" s="3">
        <v>46111</v>
      </c>
    </row>
    <row r="161" spans="1:30">
      <c r="A161" s="2" t="s">
        <v>424</v>
      </c>
      <c r="B161" s="9">
        <v>60</v>
      </c>
      <c r="C161" s="2" t="s">
        <v>192</v>
      </c>
      <c r="D161" s="2" t="s">
        <v>154</v>
      </c>
      <c r="E161" s="14">
        <v>46106</v>
      </c>
      <c r="F161" s="9" t="s">
        <v>155</v>
      </c>
      <c r="G161" s="9" t="s">
        <v>156</v>
      </c>
      <c r="H161" s="2" t="s">
        <v>314</v>
      </c>
      <c r="I161" s="2" t="s">
        <v>315</v>
      </c>
      <c r="J161" s="2">
        <v>10080616</v>
      </c>
      <c r="K161" s="2" t="s">
        <v>425</v>
      </c>
      <c r="L161" s="21">
        <v>10</v>
      </c>
      <c r="M161" s="21">
        <v>0</v>
      </c>
      <c r="N161" s="21">
        <v>0</v>
      </c>
      <c r="O161" s="21">
        <v>0</v>
      </c>
      <c r="R161" s="19">
        <v>0</v>
      </c>
      <c r="S161" s="12">
        <v>0</v>
      </c>
      <c r="T161" s="20">
        <v>0</v>
      </c>
      <c r="U161" s="12">
        <v>93.2</v>
      </c>
      <c r="V161" s="12">
        <v>0</v>
      </c>
      <c r="W161" s="21">
        <v>10</v>
      </c>
      <c r="X161" s="19">
        <v>0</v>
      </c>
      <c r="Y161" s="22">
        <v>0</v>
      </c>
      <c r="Z161" s="9" t="s">
        <v>3</v>
      </c>
      <c r="AA161" s="23" t="s">
        <v>317</v>
      </c>
      <c r="AC161" s="4">
        <v>184.2</v>
      </c>
      <c r="AD161" s="3">
        <v>46111</v>
      </c>
    </row>
    <row r="162" spans="1:30">
      <c r="A162" s="2" t="s">
        <v>424</v>
      </c>
      <c r="B162" s="9">
        <v>70</v>
      </c>
      <c r="C162" s="2" t="s">
        <v>192</v>
      </c>
      <c r="D162" s="2" t="s">
        <v>154</v>
      </c>
      <c r="E162" s="14">
        <v>46106</v>
      </c>
      <c r="F162" s="9" t="s">
        <v>155</v>
      </c>
      <c r="G162" s="9" t="s">
        <v>156</v>
      </c>
      <c r="H162" s="2" t="s">
        <v>314</v>
      </c>
      <c r="I162" s="2" t="s">
        <v>315</v>
      </c>
      <c r="J162" s="2">
        <v>10007843</v>
      </c>
      <c r="K162" s="2" t="s">
        <v>413</v>
      </c>
      <c r="L162" s="21">
        <v>5</v>
      </c>
      <c r="M162" s="21">
        <v>0</v>
      </c>
      <c r="N162" s="21">
        <v>0</v>
      </c>
      <c r="O162" s="21">
        <v>0</v>
      </c>
      <c r="R162" s="19">
        <v>0</v>
      </c>
      <c r="S162" s="12">
        <v>0</v>
      </c>
      <c r="T162" s="20">
        <v>0</v>
      </c>
      <c r="U162" s="12">
        <v>79.599999999999994</v>
      </c>
      <c r="V162" s="12">
        <v>0</v>
      </c>
      <c r="W162" s="21">
        <v>5</v>
      </c>
      <c r="X162" s="19">
        <v>0</v>
      </c>
      <c r="Y162" s="22">
        <v>0</v>
      </c>
      <c r="Z162" s="9" t="s">
        <v>3</v>
      </c>
      <c r="AA162" s="23" t="s">
        <v>317</v>
      </c>
      <c r="AC162" s="4">
        <v>232.4</v>
      </c>
      <c r="AD162" s="3">
        <v>46111</v>
      </c>
    </row>
    <row r="163" spans="1:30">
      <c r="A163" s="2" t="s">
        <v>424</v>
      </c>
      <c r="B163" s="9">
        <v>100</v>
      </c>
      <c r="C163" s="2" t="s">
        <v>192</v>
      </c>
      <c r="D163" s="2" t="s">
        <v>154</v>
      </c>
      <c r="E163" s="14">
        <v>46106</v>
      </c>
      <c r="F163" s="9" t="s">
        <v>155</v>
      </c>
      <c r="G163" s="9" t="s">
        <v>156</v>
      </c>
      <c r="H163" s="2" t="s">
        <v>314</v>
      </c>
      <c r="I163" s="2" t="s">
        <v>315</v>
      </c>
      <c r="J163" s="2">
        <v>10050619</v>
      </c>
      <c r="K163" s="2" t="s">
        <v>222</v>
      </c>
      <c r="L163" s="21">
        <v>4</v>
      </c>
      <c r="M163" s="21">
        <v>0</v>
      </c>
      <c r="N163" s="21">
        <v>0</v>
      </c>
      <c r="O163" s="21">
        <v>0</v>
      </c>
      <c r="R163" s="19">
        <v>0</v>
      </c>
      <c r="S163" s="12">
        <v>0</v>
      </c>
      <c r="T163" s="20">
        <v>0</v>
      </c>
      <c r="U163" s="12">
        <v>47.28</v>
      </c>
      <c r="V163" s="12">
        <v>0</v>
      </c>
      <c r="W163" s="21">
        <v>4</v>
      </c>
      <c r="X163" s="19">
        <v>0</v>
      </c>
      <c r="Y163" s="22">
        <v>0</v>
      </c>
      <c r="Z163" s="9" t="s">
        <v>3</v>
      </c>
      <c r="AA163" s="23" t="s">
        <v>317</v>
      </c>
      <c r="AC163" s="4">
        <v>64.48</v>
      </c>
      <c r="AD163" s="3">
        <v>46111</v>
      </c>
    </row>
    <row r="164" spans="1:30">
      <c r="A164" s="2" t="s">
        <v>426</v>
      </c>
      <c r="B164" s="9">
        <v>110</v>
      </c>
      <c r="C164" s="2" t="s">
        <v>175</v>
      </c>
      <c r="D164" s="2" t="s">
        <v>154</v>
      </c>
      <c r="E164" s="14">
        <v>46106</v>
      </c>
      <c r="F164" s="9" t="s">
        <v>155</v>
      </c>
      <c r="G164" s="9" t="s">
        <v>156</v>
      </c>
      <c r="H164" s="2" t="s">
        <v>224</v>
      </c>
      <c r="I164" s="2" t="s">
        <v>225</v>
      </c>
      <c r="J164" s="2">
        <v>10063103</v>
      </c>
      <c r="K164" s="2" t="s">
        <v>427</v>
      </c>
      <c r="L164" s="21">
        <v>24</v>
      </c>
      <c r="M164" s="21">
        <v>0</v>
      </c>
      <c r="N164" s="21">
        <v>0</v>
      </c>
      <c r="O164" s="21">
        <v>0</v>
      </c>
      <c r="R164" s="19">
        <v>0</v>
      </c>
      <c r="S164" s="12">
        <v>0</v>
      </c>
      <c r="T164" s="20">
        <v>0</v>
      </c>
      <c r="U164" s="12">
        <v>144</v>
      </c>
      <c r="V164" s="12">
        <v>0</v>
      </c>
      <c r="W164" s="21">
        <v>24</v>
      </c>
      <c r="X164" s="19">
        <v>0</v>
      </c>
      <c r="Y164" s="22">
        <v>0</v>
      </c>
      <c r="Z164" s="9" t="s">
        <v>4</v>
      </c>
      <c r="AA164" s="23" t="s">
        <v>227</v>
      </c>
      <c r="AC164" s="4">
        <v>906</v>
      </c>
      <c r="AD164" s="3">
        <v>46111</v>
      </c>
    </row>
    <row r="165" spans="1:30">
      <c r="A165" s="2" t="s">
        <v>426</v>
      </c>
      <c r="B165" s="9">
        <v>170</v>
      </c>
      <c r="C165" s="2" t="s">
        <v>175</v>
      </c>
      <c r="D165" s="2" t="s">
        <v>154</v>
      </c>
      <c r="E165" s="14">
        <v>46106</v>
      </c>
      <c r="F165" s="9" t="s">
        <v>155</v>
      </c>
      <c r="G165" s="9" t="s">
        <v>156</v>
      </c>
      <c r="H165" s="2" t="s">
        <v>224</v>
      </c>
      <c r="I165" s="2" t="s">
        <v>225</v>
      </c>
      <c r="J165" s="2">
        <v>10052076</v>
      </c>
      <c r="K165" s="2" t="s">
        <v>250</v>
      </c>
      <c r="L165" s="21">
        <v>7</v>
      </c>
      <c r="M165" s="21">
        <v>0</v>
      </c>
      <c r="N165" s="21">
        <v>0</v>
      </c>
      <c r="O165" s="21">
        <v>0</v>
      </c>
      <c r="R165" s="19">
        <v>0</v>
      </c>
      <c r="S165" s="12">
        <v>0</v>
      </c>
      <c r="T165" s="20">
        <v>0</v>
      </c>
      <c r="U165" s="12">
        <v>42</v>
      </c>
      <c r="V165" s="12">
        <v>0</v>
      </c>
      <c r="W165" s="21">
        <v>7</v>
      </c>
      <c r="X165" s="19">
        <v>0</v>
      </c>
      <c r="Y165" s="22">
        <v>0</v>
      </c>
      <c r="Z165" s="9" t="s">
        <v>4</v>
      </c>
      <c r="AA165" s="23" t="s">
        <v>227</v>
      </c>
      <c r="AC165" s="4">
        <v>243.81</v>
      </c>
      <c r="AD165" s="3">
        <v>46111</v>
      </c>
    </row>
    <row r="166" spans="1:30">
      <c r="A166" s="2" t="s">
        <v>426</v>
      </c>
      <c r="B166" s="9">
        <v>210</v>
      </c>
      <c r="C166" s="2" t="s">
        <v>175</v>
      </c>
      <c r="D166" s="2" t="s">
        <v>154</v>
      </c>
      <c r="E166" s="14">
        <v>46106</v>
      </c>
      <c r="F166" s="9" t="s">
        <v>155</v>
      </c>
      <c r="G166" s="9" t="s">
        <v>156</v>
      </c>
      <c r="H166" s="2" t="s">
        <v>224</v>
      </c>
      <c r="I166" s="2" t="s">
        <v>225</v>
      </c>
      <c r="J166" s="2">
        <v>10058342</v>
      </c>
      <c r="K166" s="2" t="s">
        <v>428</v>
      </c>
      <c r="L166" s="21">
        <v>4</v>
      </c>
      <c r="M166" s="21">
        <v>0</v>
      </c>
      <c r="N166" s="21">
        <v>0</v>
      </c>
      <c r="O166" s="21">
        <v>0</v>
      </c>
      <c r="R166" s="19">
        <v>0</v>
      </c>
      <c r="S166" s="12">
        <v>0</v>
      </c>
      <c r="T166" s="20">
        <v>0</v>
      </c>
      <c r="U166" s="12">
        <v>20</v>
      </c>
      <c r="V166" s="12">
        <v>0</v>
      </c>
      <c r="W166" s="21">
        <v>4</v>
      </c>
      <c r="X166" s="19">
        <v>0</v>
      </c>
      <c r="Y166" s="22">
        <v>0</v>
      </c>
      <c r="Z166" s="9" t="s">
        <v>4</v>
      </c>
      <c r="AA166" s="23" t="s">
        <v>227</v>
      </c>
      <c r="AC166" s="4">
        <v>79.72</v>
      </c>
      <c r="AD166" s="3">
        <v>46111</v>
      </c>
    </row>
    <row r="167" spans="1:30">
      <c r="A167" s="2" t="s">
        <v>426</v>
      </c>
      <c r="B167" s="9">
        <v>230</v>
      </c>
      <c r="C167" s="2" t="s">
        <v>175</v>
      </c>
      <c r="D167" s="2" t="s">
        <v>154</v>
      </c>
      <c r="E167" s="14">
        <v>46106</v>
      </c>
      <c r="F167" s="9" t="s">
        <v>155</v>
      </c>
      <c r="G167" s="9" t="s">
        <v>156</v>
      </c>
      <c r="H167" s="2" t="s">
        <v>224</v>
      </c>
      <c r="I167" s="2" t="s">
        <v>225</v>
      </c>
      <c r="J167" s="2">
        <v>10083460</v>
      </c>
      <c r="K167" s="2" t="s">
        <v>429</v>
      </c>
      <c r="L167" s="21">
        <v>9</v>
      </c>
      <c r="M167" s="21">
        <v>0</v>
      </c>
      <c r="N167" s="21">
        <v>0</v>
      </c>
      <c r="O167" s="21">
        <v>0</v>
      </c>
      <c r="R167" s="19">
        <v>0</v>
      </c>
      <c r="S167" s="12">
        <v>0</v>
      </c>
      <c r="T167" s="20">
        <v>0</v>
      </c>
      <c r="U167" s="12">
        <v>54</v>
      </c>
      <c r="V167" s="12">
        <v>0</v>
      </c>
      <c r="W167" s="21">
        <v>9</v>
      </c>
      <c r="X167" s="19">
        <v>0</v>
      </c>
      <c r="Y167" s="22">
        <v>0</v>
      </c>
      <c r="Z167" s="9" t="s">
        <v>4</v>
      </c>
      <c r="AA167" s="23" t="s">
        <v>227</v>
      </c>
      <c r="AC167" s="4">
        <v>253.62</v>
      </c>
      <c r="AD167" s="3">
        <v>46111</v>
      </c>
    </row>
    <row r="168" spans="1:30">
      <c r="A168" s="2" t="s">
        <v>430</v>
      </c>
      <c r="B168" s="9">
        <v>20</v>
      </c>
      <c r="C168" s="2" t="s">
        <v>181</v>
      </c>
      <c r="D168" s="2" t="s">
        <v>154</v>
      </c>
      <c r="E168" s="14">
        <v>46107</v>
      </c>
      <c r="F168" s="9" t="s">
        <v>155</v>
      </c>
      <c r="G168" s="9" t="s">
        <v>156</v>
      </c>
      <c r="H168" s="2" t="s">
        <v>218</v>
      </c>
      <c r="I168" s="2" t="s">
        <v>219</v>
      </c>
      <c r="J168" s="2">
        <v>10019648</v>
      </c>
      <c r="K168" s="2" t="s">
        <v>284</v>
      </c>
      <c r="L168" s="21">
        <v>1</v>
      </c>
      <c r="M168" s="21">
        <v>0</v>
      </c>
      <c r="N168" s="21">
        <v>0</v>
      </c>
      <c r="O168" s="21">
        <v>0</v>
      </c>
      <c r="R168" s="19">
        <v>0</v>
      </c>
      <c r="S168" s="12">
        <v>0</v>
      </c>
      <c r="T168" s="20">
        <v>0</v>
      </c>
      <c r="U168" s="12">
        <v>8</v>
      </c>
      <c r="V168" s="12">
        <v>0</v>
      </c>
      <c r="W168" s="21">
        <v>1</v>
      </c>
      <c r="X168" s="19">
        <v>0</v>
      </c>
      <c r="Y168" s="22">
        <v>0</v>
      </c>
      <c r="Z168" s="9" t="s">
        <v>3</v>
      </c>
      <c r="AA168" s="23" t="s">
        <v>221</v>
      </c>
      <c r="AC168" s="4">
        <v>40.98</v>
      </c>
      <c r="AD168" s="3">
        <v>46111</v>
      </c>
    </row>
    <row r="169" spans="1:30">
      <c r="A169" s="2" t="s">
        <v>430</v>
      </c>
      <c r="B169" s="9">
        <v>30</v>
      </c>
      <c r="C169" s="2" t="s">
        <v>181</v>
      </c>
      <c r="D169" s="2" t="s">
        <v>154</v>
      </c>
      <c r="E169" s="14">
        <v>46107</v>
      </c>
      <c r="F169" s="9" t="s">
        <v>155</v>
      </c>
      <c r="G169" s="9" t="s">
        <v>156</v>
      </c>
      <c r="H169" s="2" t="s">
        <v>218</v>
      </c>
      <c r="I169" s="2" t="s">
        <v>219</v>
      </c>
      <c r="J169" s="2">
        <v>10058821</v>
      </c>
      <c r="K169" s="2" t="s">
        <v>431</v>
      </c>
      <c r="L169" s="21">
        <v>1</v>
      </c>
      <c r="M169" s="21">
        <v>0</v>
      </c>
      <c r="N169" s="21">
        <v>0</v>
      </c>
      <c r="O169" s="21">
        <v>0</v>
      </c>
      <c r="R169" s="19">
        <v>0</v>
      </c>
      <c r="S169" s="12">
        <v>0</v>
      </c>
      <c r="T169" s="20">
        <v>0</v>
      </c>
      <c r="U169" s="12">
        <v>12</v>
      </c>
      <c r="V169" s="12">
        <v>0</v>
      </c>
      <c r="W169" s="21">
        <v>1</v>
      </c>
      <c r="X169" s="19">
        <v>0</v>
      </c>
      <c r="Y169" s="22">
        <v>0</v>
      </c>
      <c r="Z169" s="9" t="s">
        <v>3</v>
      </c>
      <c r="AA169" s="23" t="s">
        <v>221</v>
      </c>
      <c r="AC169" s="4">
        <v>22.28</v>
      </c>
      <c r="AD169" s="3">
        <v>46111</v>
      </c>
    </row>
    <row r="170" spans="1:30">
      <c r="A170" s="2" t="s">
        <v>430</v>
      </c>
      <c r="B170" s="9">
        <v>40</v>
      </c>
      <c r="C170" s="2" t="s">
        <v>181</v>
      </c>
      <c r="D170" s="2" t="s">
        <v>154</v>
      </c>
      <c r="E170" s="14">
        <v>46107</v>
      </c>
      <c r="F170" s="9" t="s">
        <v>155</v>
      </c>
      <c r="G170" s="9" t="s">
        <v>156</v>
      </c>
      <c r="H170" s="2" t="s">
        <v>218</v>
      </c>
      <c r="I170" s="2" t="s">
        <v>219</v>
      </c>
      <c r="J170" s="2">
        <v>10019641</v>
      </c>
      <c r="K170" s="2" t="s">
        <v>322</v>
      </c>
      <c r="L170" s="21">
        <v>2</v>
      </c>
      <c r="M170" s="21">
        <v>0</v>
      </c>
      <c r="N170" s="21">
        <v>0</v>
      </c>
      <c r="O170" s="21">
        <v>0</v>
      </c>
      <c r="R170" s="19">
        <v>0</v>
      </c>
      <c r="S170" s="12">
        <v>0</v>
      </c>
      <c r="T170" s="20">
        <v>0</v>
      </c>
      <c r="U170" s="12">
        <v>31.2</v>
      </c>
      <c r="V170" s="12">
        <v>0</v>
      </c>
      <c r="W170" s="21">
        <v>2</v>
      </c>
      <c r="X170" s="19">
        <v>5.2</v>
      </c>
      <c r="Y170" s="22">
        <v>0</v>
      </c>
      <c r="Z170" s="9" t="s">
        <v>3</v>
      </c>
      <c r="AA170" s="23" t="s">
        <v>221</v>
      </c>
      <c r="AC170" s="4">
        <v>146.94999999999999</v>
      </c>
      <c r="AD170" s="3">
        <v>46111</v>
      </c>
    </row>
    <row r="171" spans="1:30">
      <c r="A171" s="2" t="s">
        <v>430</v>
      </c>
      <c r="B171" s="9">
        <v>80</v>
      </c>
      <c r="C171" s="2" t="s">
        <v>181</v>
      </c>
      <c r="D171" s="2" t="s">
        <v>154</v>
      </c>
      <c r="E171" s="14">
        <v>46107</v>
      </c>
      <c r="F171" s="9" t="s">
        <v>155</v>
      </c>
      <c r="G171" s="9" t="s">
        <v>156</v>
      </c>
      <c r="H171" s="2" t="s">
        <v>218</v>
      </c>
      <c r="I171" s="2" t="s">
        <v>219</v>
      </c>
      <c r="J171" s="2">
        <v>10050619</v>
      </c>
      <c r="K171" s="2" t="s">
        <v>222</v>
      </c>
      <c r="L171" s="21">
        <v>9</v>
      </c>
      <c r="M171" s="21">
        <v>0</v>
      </c>
      <c r="N171" s="21">
        <v>0</v>
      </c>
      <c r="O171" s="21">
        <v>0</v>
      </c>
      <c r="R171" s="19">
        <v>0</v>
      </c>
      <c r="S171" s="12">
        <v>0</v>
      </c>
      <c r="T171" s="20">
        <v>0</v>
      </c>
      <c r="U171" s="12">
        <v>72</v>
      </c>
      <c r="V171" s="12">
        <v>0</v>
      </c>
      <c r="W171" s="21">
        <v>9</v>
      </c>
      <c r="X171" s="19">
        <v>0</v>
      </c>
      <c r="Y171" s="22">
        <v>0</v>
      </c>
      <c r="Z171" s="9" t="s">
        <v>3</v>
      </c>
      <c r="AA171" s="23" t="s">
        <v>221</v>
      </c>
      <c r="AC171" s="4">
        <v>145.08000000000001</v>
      </c>
      <c r="AD171" s="3">
        <v>46111</v>
      </c>
    </row>
    <row r="172" spans="1:30">
      <c r="A172" s="2" t="s">
        <v>432</v>
      </c>
      <c r="B172" s="9">
        <v>10</v>
      </c>
      <c r="C172" s="2" t="s">
        <v>175</v>
      </c>
      <c r="D172" s="2" t="s">
        <v>154</v>
      </c>
      <c r="E172" s="14">
        <v>46111</v>
      </c>
      <c r="F172" s="9" t="s">
        <v>155</v>
      </c>
      <c r="G172" s="9" t="s">
        <v>156</v>
      </c>
      <c r="H172" s="2" t="s">
        <v>433</v>
      </c>
      <c r="I172" s="2" t="s">
        <v>434</v>
      </c>
      <c r="J172" s="2">
        <v>10063102</v>
      </c>
      <c r="K172" s="2" t="s">
        <v>237</v>
      </c>
      <c r="L172" s="21">
        <v>54</v>
      </c>
      <c r="M172" s="21">
        <v>0</v>
      </c>
      <c r="N172" s="21">
        <v>0</v>
      </c>
      <c r="O172" s="21">
        <v>0</v>
      </c>
      <c r="R172" s="19">
        <v>0</v>
      </c>
      <c r="S172" s="12">
        <v>0</v>
      </c>
      <c r="T172" s="20">
        <v>0</v>
      </c>
      <c r="U172" s="12">
        <v>432</v>
      </c>
      <c r="V172" s="12">
        <v>0</v>
      </c>
      <c r="W172" s="21">
        <v>54</v>
      </c>
      <c r="X172" s="19">
        <v>0</v>
      </c>
      <c r="Y172" s="22">
        <v>0</v>
      </c>
      <c r="Z172" s="9" t="s">
        <v>6</v>
      </c>
      <c r="AA172" s="23" t="s">
        <v>435</v>
      </c>
      <c r="AC172" s="4">
        <v>2248.02</v>
      </c>
      <c r="AD172" s="3">
        <v>46114</v>
      </c>
    </row>
    <row r="173" spans="1:30">
      <c r="A173" s="2" t="s">
        <v>432</v>
      </c>
      <c r="B173" s="9">
        <v>20</v>
      </c>
      <c r="C173" s="2" t="s">
        <v>175</v>
      </c>
      <c r="D173" s="2" t="s">
        <v>154</v>
      </c>
      <c r="E173" s="14">
        <v>46111</v>
      </c>
      <c r="F173" s="9" t="s">
        <v>155</v>
      </c>
      <c r="G173" s="9" t="s">
        <v>156</v>
      </c>
      <c r="H173" s="2" t="s">
        <v>433</v>
      </c>
      <c r="I173" s="2" t="s">
        <v>434</v>
      </c>
      <c r="J173" s="2">
        <v>10063103</v>
      </c>
      <c r="K173" s="2" t="s">
        <v>427</v>
      </c>
      <c r="L173" s="21">
        <v>27</v>
      </c>
      <c r="M173" s="21">
        <v>0</v>
      </c>
      <c r="N173" s="21">
        <v>0</v>
      </c>
      <c r="O173" s="21">
        <v>0</v>
      </c>
      <c r="R173" s="19">
        <v>0</v>
      </c>
      <c r="S173" s="12">
        <v>0</v>
      </c>
      <c r="T173" s="20">
        <v>0</v>
      </c>
      <c r="U173" s="12">
        <v>216</v>
      </c>
      <c r="V173" s="12">
        <v>0</v>
      </c>
      <c r="W173" s="21">
        <v>27</v>
      </c>
      <c r="X173" s="19">
        <v>0</v>
      </c>
      <c r="Y173" s="22">
        <v>0</v>
      </c>
      <c r="Z173" s="9" t="s">
        <v>6</v>
      </c>
      <c r="AA173" s="23" t="s">
        <v>435</v>
      </c>
      <c r="AC173" s="4">
        <v>1116.18</v>
      </c>
      <c r="AD173" s="3">
        <v>46114</v>
      </c>
    </row>
    <row r="174" spans="1:30">
      <c r="A174" s="2" t="s">
        <v>432</v>
      </c>
      <c r="B174" s="9">
        <v>30</v>
      </c>
      <c r="C174" s="2" t="s">
        <v>175</v>
      </c>
      <c r="D174" s="2" t="s">
        <v>154</v>
      </c>
      <c r="E174" s="14">
        <v>46111</v>
      </c>
      <c r="F174" s="9" t="s">
        <v>155</v>
      </c>
      <c r="G174" s="9" t="s">
        <v>156</v>
      </c>
      <c r="H174" s="2" t="s">
        <v>433</v>
      </c>
      <c r="I174" s="2" t="s">
        <v>434</v>
      </c>
      <c r="J174" s="2">
        <v>10052076</v>
      </c>
      <c r="K174" s="2" t="s">
        <v>250</v>
      </c>
      <c r="L174" s="21">
        <v>18</v>
      </c>
      <c r="M174" s="21">
        <v>0</v>
      </c>
      <c r="N174" s="21">
        <v>0</v>
      </c>
      <c r="O174" s="21">
        <v>0</v>
      </c>
      <c r="R174" s="19">
        <v>0</v>
      </c>
      <c r="S174" s="12">
        <v>0</v>
      </c>
      <c r="T174" s="20">
        <v>0</v>
      </c>
      <c r="U174" s="12">
        <v>180</v>
      </c>
      <c r="V174" s="12">
        <v>0</v>
      </c>
      <c r="W174" s="21">
        <v>18</v>
      </c>
      <c r="X174" s="19">
        <v>0</v>
      </c>
      <c r="Y174" s="22">
        <v>0</v>
      </c>
      <c r="Z174" s="9" t="s">
        <v>6</v>
      </c>
      <c r="AA174" s="23" t="s">
        <v>435</v>
      </c>
      <c r="AC174" s="4">
        <v>609.48</v>
      </c>
      <c r="AD174" s="3">
        <v>46114</v>
      </c>
    </row>
    <row r="175" spans="1:30">
      <c r="A175" s="2" t="s">
        <v>436</v>
      </c>
      <c r="B175" s="9">
        <v>10</v>
      </c>
      <c r="C175" s="2" t="s">
        <v>361</v>
      </c>
      <c r="D175" s="2" t="s">
        <v>154</v>
      </c>
      <c r="E175" s="14">
        <v>46112</v>
      </c>
      <c r="F175" s="9" t="s">
        <v>155</v>
      </c>
      <c r="G175" s="9" t="s">
        <v>156</v>
      </c>
      <c r="H175" s="2" t="s">
        <v>362</v>
      </c>
      <c r="I175" s="2" t="s">
        <v>363</v>
      </c>
      <c r="J175" s="2">
        <v>10063103</v>
      </c>
      <c r="K175" s="2" t="s">
        <v>427</v>
      </c>
      <c r="L175" s="21">
        <v>10</v>
      </c>
      <c r="M175" s="21">
        <v>0</v>
      </c>
      <c r="N175" s="21">
        <v>0</v>
      </c>
      <c r="O175" s="21">
        <v>0</v>
      </c>
      <c r="R175" s="19">
        <v>0</v>
      </c>
      <c r="S175" s="12">
        <v>0</v>
      </c>
      <c r="T175" s="20">
        <v>0</v>
      </c>
      <c r="U175" s="12">
        <v>112.5</v>
      </c>
      <c r="V175" s="12">
        <v>0</v>
      </c>
      <c r="W175" s="21">
        <v>10</v>
      </c>
      <c r="X175" s="19">
        <v>0</v>
      </c>
      <c r="Y175" s="22">
        <v>0</v>
      </c>
      <c r="Z175" s="9" t="s">
        <v>4</v>
      </c>
      <c r="AA175" s="23" t="s">
        <v>365</v>
      </c>
      <c r="AC175" s="4">
        <v>377.5</v>
      </c>
      <c r="AD175" s="3">
        <v>46114</v>
      </c>
    </row>
    <row r="176" spans="1:30">
      <c r="A176" s="2" t="s">
        <v>437</v>
      </c>
      <c r="B176" s="9">
        <v>40</v>
      </c>
      <c r="C176" s="2" t="s">
        <v>153</v>
      </c>
      <c r="D176" s="2" t="s">
        <v>154</v>
      </c>
      <c r="E176" s="14">
        <v>46118</v>
      </c>
      <c r="F176" s="9" t="s">
        <v>155</v>
      </c>
      <c r="G176" s="9" t="s">
        <v>156</v>
      </c>
      <c r="H176" s="2" t="s">
        <v>272</v>
      </c>
      <c r="I176" s="2" t="s">
        <v>273</v>
      </c>
      <c r="J176" s="2">
        <v>10063101</v>
      </c>
      <c r="K176" s="2" t="s">
        <v>438</v>
      </c>
      <c r="L176" s="21">
        <v>1</v>
      </c>
      <c r="M176" s="21">
        <v>0</v>
      </c>
      <c r="N176" s="21">
        <v>0</v>
      </c>
      <c r="O176" s="21">
        <v>0</v>
      </c>
      <c r="R176" s="19">
        <v>0</v>
      </c>
      <c r="S176" s="12">
        <v>0</v>
      </c>
      <c r="T176" s="20">
        <v>0</v>
      </c>
      <c r="U176" s="12">
        <v>45</v>
      </c>
      <c r="V176" s="12">
        <v>0</v>
      </c>
      <c r="W176" s="21">
        <v>1</v>
      </c>
      <c r="X176" s="19">
        <v>0</v>
      </c>
      <c r="Y176" s="22">
        <v>0</v>
      </c>
      <c r="Z176" s="9" t="s">
        <v>3</v>
      </c>
      <c r="AA176" s="23" t="s">
        <v>274</v>
      </c>
      <c r="AC176" s="4">
        <v>32.64</v>
      </c>
      <c r="AD176" s="3">
        <v>46120</v>
      </c>
    </row>
    <row r="177" spans="1:30">
      <c r="A177" s="2" t="s">
        <v>437</v>
      </c>
      <c r="B177" s="9">
        <v>50</v>
      </c>
      <c r="C177" s="2" t="s">
        <v>153</v>
      </c>
      <c r="D177" s="2" t="s">
        <v>154</v>
      </c>
      <c r="E177" s="14">
        <v>46118</v>
      </c>
      <c r="F177" s="9" t="s">
        <v>155</v>
      </c>
      <c r="G177" s="9" t="s">
        <v>156</v>
      </c>
      <c r="H177" s="2" t="s">
        <v>272</v>
      </c>
      <c r="I177" s="2" t="s">
        <v>273</v>
      </c>
      <c r="J177" s="2">
        <v>10063101</v>
      </c>
      <c r="K177" s="2" t="s">
        <v>438</v>
      </c>
      <c r="L177" s="21">
        <v>18</v>
      </c>
      <c r="M177" s="21">
        <v>0</v>
      </c>
      <c r="N177" s="21">
        <v>0</v>
      </c>
      <c r="O177" s="21">
        <v>0</v>
      </c>
      <c r="R177" s="19">
        <v>0</v>
      </c>
      <c r="S177" s="12">
        <v>0</v>
      </c>
      <c r="T177" s="20">
        <v>0</v>
      </c>
      <c r="U177" s="12">
        <v>810</v>
      </c>
      <c r="V177" s="12">
        <v>0</v>
      </c>
      <c r="W177" s="21">
        <v>18</v>
      </c>
      <c r="X177" s="19">
        <v>0</v>
      </c>
      <c r="Y177" s="22">
        <v>0</v>
      </c>
      <c r="Z177" s="9" t="s">
        <v>3</v>
      </c>
      <c r="AA177" s="23" t="s">
        <v>274</v>
      </c>
      <c r="AC177" s="4">
        <v>587.52</v>
      </c>
      <c r="AD177" s="3">
        <v>46120</v>
      </c>
    </row>
    <row r="178" spans="1:30">
      <c r="A178" s="2" t="s">
        <v>439</v>
      </c>
      <c r="B178" s="9">
        <v>30</v>
      </c>
      <c r="C178" s="2" t="s">
        <v>192</v>
      </c>
      <c r="D178" s="2" t="s">
        <v>154</v>
      </c>
      <c r="E178" s="14">
        <v>46118</v>
      </c>
      <c r="F178" s="9" t="s">
        <v>155</v>
      </c>
      <c r="G178" s="9" t="s">
        <v>156</v>
      </c>
      <c r="H178" s="2" t="s">
        <v>314</v>
      </c>
      <c r="I178" s="2" t="s">
        <v>315</v>
      </c>
      <c r="J178" s="2">
        <v>10100030</v>
      </c>
      <c r="K178" s="2" t="s">
        <v>312</v>
      </c>
      <c r="L178" s="21">
        <v>4</v>
      </c>
      <c r="M178" s="21">
        <v>0</v>
      </c>
      <c r="N178" s="21">
        <v>0</v>
      </c>
      <c r="O178" s="21">
        <v>0</v>
      </c>
      <c r="R178" s="19">
        <v>0</v>
      </c>
      <c r="S178" s="12">
        <v>0</v>
      </c>
      <c r="T178" s="20">
        <v>0</v>
      </c>
      <c r="U178" s="12">
        <v>43.04</v>
      </c>
      <c r="V178" s="12">
        <v>0</v>
      </c>
      <c r="W178" s="21">
        <v>4</v>
      </c>
      <c r="X178" s="19">
        <v>0</v>
      </c>
      <c r="Y178" s="22">
        <v>0</v>
      </c>
      <c r="Z178" s="9" t="s">
        <v>3</v>
      </c>
      <c r="AA178" s="23" t="s">
        <v>317</v>
      </c>
      <c r="AC178" s="4">
        <v>139.91999999999999</v>
      </c>
      <c r="AD178" s="3">
        <v>46125</v>
      </c>
    </row>
    <row r="179" spans="1:30">
      <c r="A179" s="2" t="s">
        <v>439</v>
      </c>
      <c r="B179" s="9">
        <v>100</v>
      </c>
      <c r="C179" s="2" t="s">
        <v>192</v>
      </c>
      <c r="D179" s="2" t="s">
        <v>154</v>
      </c>
      <c r="E179" s="14">
        <v>46118</v>
      </c>
      <c r="F179" s="9" t="s">
        <v>155</v>
      </c>
      <c r="G179" s="9" t="s">
        <v>156</v>
      </c>
      <c r="H179" s="2" t="s">
        <v>314</v>
      </c>
      <c r="I179" s="2" t="s">
        <v>315</v>
      </c>
      <c r="J179" s="2">
        <v>10100030</v>
      </c>
      <c r="K179" s="2" t="s">
        <v>312</v>
      </c>
      <c r="L179" s="21">
        <v>2</v>
      </c>
      <c r="M179" s="21">
        <v>0</v>
      </c>
      <c r="N179" s="21">
        <v>0</v>
      </c>
      <c r="O179" s="21">
        <v>0</v>
      </c>
      <c r="R179" s="19">
        <v>0</v>
      </c>
      <c r="S179" s="12">
        <v>0</v>
      </c>
      <c r="T179" s="20">
        <v>0</v>
      </c>
      <c r="U179" s="12">
        <v>21.52</v>
      </c>
      <c r="V179" s="12">
        <v>0</v>
      </c>
      <c r="W179" s="21">
        <v>2</v>
      </c>
      <c r="X179" s="19">
        <v>0</v>
      </c>
      <c r="Y179" s="22">
        <v>0</v>
      </c>
      <c r="Z179" s="9" t="s">
        <v>3</v>
      </c>
      <c r="AA179" s="23" t="s">
        <v>317</v>
      </c>
      <c r="AC179" s="4">
        <v>69.959999999999994</v>
      </c>
      <c r="AD179" s="3">
        <v>46125</v>
      </c>
    </row>
    <row r="180" spans="1:30">
      <c r="A180" s="2" t="s">
        <v>440</v>
      </c>
      <c r="B180" s="9">
        <v>60</v>
      </c>
      <c r="C180" s="2" t="s">
        <v>153</v>
      </c>
      <c r="D180" s="2" t="s">
        <v>154</v>
      </c>
      <c r="E180" s="14">
        <v>46118</v>
      </c>
      <c r="F180" s="9" t="s">
        <v>155</v>
      </c>
      <c r="G180" s="9" t="s">
        <v>156</v>
      </c>
      <c r="H180" s="2" t="s">
        <v>212</v>
      </c>
      <c r="I180" s="2" t="s">
        <v>213</v>
      </c>
      <c r="J180" s="2">
        <v>10016204</v>
      </c>
      <c r="K180" s="2" t="s">
        <v>279</v>
      </c>
      <c r="L180" s="21">
        <v>49</v>
      </c>
      <c r="M180" s="21">
        <v>0</v>
      </c>
      <c r="N180" s="21">
        <v>0</v>
      </c>
      <c r="O180" s="21">
        <v>0</v>
      </c>
      <c r="R180" s="19">
        <v>0</v>
      </c>
      <c r="S180" s="12">
        <v>0</v>
      </c>
      <c r="T180" s="20">
        <v>0</v>
      </c>
      <c r="U180" s="12">
        <v>1026.06</v>
      </c>
      <c r="V180" s="12">
        <v>0</v>
      </c>
      <c r="W180" s="21">
        <v>49</v>
      </c>
      <c r="X180" s="19">
        <v>0</v>
      </c>
      <c r="Y180" s="22">
        <v>0</v>
      </c>
      <c r="Z180" s="9" t="s">
        <v>3</v>
      </c>
      <c r="AA180" s="23" t="s">
        <v>215</v>
      </c>
      <c r="AC180" s="4">
        <v>2142.77</v>
      </c>
      <c r="AD180" s="3">
        <v>46125</v>
      </c>
    </row>
    <row r="181" spans="1:30">
      <c r="A181" s="2" t="s">
        <v>441</v>
      </c>
      <c r="B181" s="9">
        <v>60</v>
      </c>
      <c r="C181" s="2" t="s">
        <v>192</v>
      </c>
      <c r="D181" s="2" t="s">
        <v>154</v>
      </c>
      <c r="E181" s="14">
        <v>46118</v>
      </c>
      <c r="F181" s="9" t="s">
        <v>155</v>
      </c>
      <c r="G181" s="9" t="s">
        <v>156</v>
      </c>
      <c r="H181" s="2" t="s">
        <v>442</v>
      </c>
      <c r="I181" s="2" t="s">
        <v>443</v>
      </c>
      <c r="J181" s="2">
        <v>10016204</v>
      </c>
      <c r="K181" s="2" t="s">
        <v>279</v>
      </c>
      <c r="L181" s="21">
        <v>12</v>
      </c>
      <c r="M181" s="21">
        <v>0</v>
      </c>
      <c r="N181" s="21">
        <v>0</v>
      </c>
      <c r="O181" s="21">
        <v>0</v>
      </c>
      <c r="R181" s="19">
        <v>0</v>
      </c>
      <c r="S181" s="12">
        <v>0</v>
      </c>
      <c r="T181" s="20">
        <v>0</v>
      </c>
      <c r="U181" s="12">
        <v>251.28</v>
      </c>
      <c r="V181" s="12">
        <v>0</v>
      </c>
      <c r="W181" s="21">
        <v>12</v>
      </c>
      <c r="X181" s="19">
        <v>0</v>
      </c>
      <c r="Y181" s="22">
        <v>0</v>
      </c>
      <c r="Z181" s="9" t="s">
        <v>3</v>
      </c>
      <c r="AA181" s="23" t="s">
        <v>444</v>
      </c>
      <c r="AC181" s="4">
        <v>524.76</v>
      </c>
      <c r="AD181" s="3">
        <v>46126</v>
      </c>
    </row>
    <row r="182" spans="1:30">
      <c r="A182" s="2" t="s">
        <v>445</v>
      </c>
      <c r="B182" s="9">
        <v>20</v>
      </c>
      <c r="C182" s="2" t="s">
        <v>187</v>
      </c>
      <c r="D182" s="2" t="s">
        <v>154</v>
      </c>
      <c r="E182" s="14">
        <v>46118</v>
      </c>
      <c r="F182" s="9" t="s">
        <v>155</v>
      </c>
      <c r="G182" s="9" t="s">
        <v>156</v>
      </c>
      <c r="H182" s="2" t="s">
        <v>188</v>
      </c>
      <c r="I182" s="2" t="s">
        <v>189</v>
      </c>
      <c r="J182" s="2">
        <v>10083460</v>
      </c>
      <c r="K182" s="2" t="s">
        <v>429</v>
      </c>
      <c r="L182" s="21">
        <v>9</v>
      </c>
      <c r="M182" s="21">
        <v>0</v>
      </c>
      <c r="N182" s="21">
        <v>0</v>
      </c>
      <c r="O182" s="21">
        <v>0</v>
      </c>
      <c r="R182" s="19">
        <v>0</v>
      </c>
      <c r="S182" s="12">
        <v>0</v>
      </c>
      <c r="T182" s="20">
        <v>0</v>
      </c>
      <c r="U182" s="12">
        <v>116.01</v>
      </c>
      <c r="V182" s="12">
        <v>0</v>
      </c>
      <c r="W182" s="21">
        <v>9</v>
      </c>
      <c r="X182" s="19">
        <v>0</v>
      </c>
      <c r="Y182" s="22">
        <v>0</v>
      </c>
      <c r="Z182" s="9" t="s">
        <v>4</v>
      </c>
      <c r="AA182" s="23" t="s">
        <v>190</v>
      </c>
      <c r="AC182" s="4">
        <v>253.62</v>
      </c>
      <c r="AD182" s="3">
        <v>46121</v>
      </c>
    </row>
    <row r="183" spans="1:30">
      <c r="A183" s="2" t="s">
        <v>446</v>
      </c>
      <c r="B183" s="9">
        <v>160</v>
      </c>
      <c r="C183" s="2" t="s">
        <v>175</v>
      </c>
      <c r="D183" s="2" t="s">
        <v>154</v>
      </c>
      <c r="E183" s="14">
        <v>46119</v>
      </c>
      <c r="F183" s="9" t="s">
        <v>155</v>
      </c>
      <c r="G183" s="9" t="s">
        <v>156</v>
      </c>
      <c r="H183" s="2" t="s">
        <v>348</v>
      </c>
      <c r="I183" s="2" t="s">
        <v>349</v>
      </c>
      <c r="J183" s="2">
        <v>10049305</v>
      </c>
      <c r="K183" s="2" t="s">
        <v>414</v>
      </c>
      <c r="L183" s="21">
        <v>10</v>
      </c>
      <c r="M183" s="21">
        <v>0</v>
      </c>
      <c r="N183" s="21">
        <v>0</v>
      </c>
      <c r="O183" s="21">
        <v>0</v>
      </c>
      <c r="R183" s="19">
        <v>0</v>
      </c>
      <c r="S183" s="12">
        <v>0</v>
      </c>
      <c r="T183" s="20">
        <v>0</v>
      </c>
      <c r="U183" s="12">
        <v>356.8</v>
      </c>
      <c r="V183" s="12">
        <v>0</v>
      </c>
      <c r="W183" s="21">
        <v>10</v>
      </c>
      <c r="X183" s="19">
        <v>0</v>
      </c>
      <c r="Y183" s="22">
        <v>0</v>
      </c>
      <c r="Z183" s="9" t="s">
        <v>6</v>
      </c>
      <c r="AA183" s="23" t="s">
        <v>351</v>
      </c>
      <c r="AC183" s="4">
        <v>269.8</v>
      </c>
      <c r="AD183" s="3">
        <v>46121</v>
      </c>
    </row>
    <row r="184" spans="1:30">
      <c r="A184" s="2" t="s">
        <v>447</v>
      </c>
      <c r="B184" s="9">
        <v>40</v>
      </c>
      <c r="C184" s="2" t="s">
        <v>181</v>
      </c>
      <c r="D184" s="2" t="s">
        <v>154</v>
      </c>
      <c r="E184" s="14">
        <v>46121</v>
      </c>
      <c r="F184" s="9" t="s">
        <v>155</v>
      </c>
      <c r="G184" s="9" t="s">
        <v>156</v>
      </c>
      <c r="H184" s="2" t="s">
        <v>230</v>
      </c>
      <c r="I184" s="2" t="s">
        <v>231</v>
      </c>
      <c r="J184" s="2">
        <v>10018646</v>
      </c>
      <c r="K184" s="2" t="s">
        <v>369</v>
      </c>
      <c r="L184" s="21">
        <v>60</v>
      </c>
      <c r="M184" s="21">
        <v>0</v>
      </c>
      <c r="N184" s="21">
        <v>0</v>
      </c>
      <c r="O184" s="21">
        <v>0</v>
      </c>
      <c r="R184" s="19">
        <v>0</v>
      </c>
      <c r="S184" s="12">
        <v>0</v>
      </c>
      <c r="T184" s="20">
        <v>0</v>
      </c>
      <c r="U184" s="12">
        <v>360</v>
      </c>
      <c r="V184" s="12">
        <v>0</v>
      </c>
      <c r="W184" s="21">
        <v>60</v>
      </c>
      <c r="X184" s="19">
        <v>0</v>
      </c>
      <c r="Y184" s="22">
        <v>0</v>
      </c>
      <c r="Z184" s="9" t="s">
        <v>3</v>
      </c>
      <c r="AA184" s="23" t="s">
        <v>233</v>
      </c>
      <c r="AC184" s="4">
        <v>1596.6</v>
      </c>
      <c r="AD184" s="3">
        <v>46125</v>
      </c>
    </row>
    <row r="185" spans="1:30">
      <c r="A185" s="2" t="s">
        <v>448</v>
      </c>
      <c r="B185" s="9">
        <v>10</v>
      </c>
      <c r="C185" s="2" t="s">
        <v>187</v>
      </c>
      <c r="D185" s="2" t="s">
        <v>154</v>
      </c>
      <c r="E185" s="14">
        <v>46121</v>
      </c>
      <c r="F185" s="9" t="s">
        <v>155</v>
      </c>
      <c r="G185" s="9" t="s">
        <v>156</v>
      </c>
      <c r="H185" s="2" t="s">
        <v>403</v>
      </c>
      <c r="I185" s="2" t="s">
        <v>404</v>
      </c>
      <c r="J185" s="2">
        <v>10099045</v>
      </c>
      <c r="K185" s="2" t="s">
        <v>449</v>
      </c>
      <c r="L185" s="21">
        <v>100</v>
      </c>
      <c r="M185" s="21">
        <v>0</v>
      </c>
      <c r="N185" s="21">
        <v>0</v>
      </c>
      <c r="O185" s="21">
        <v>0</v>
      </c>
      <c r="R185" s="19">
        <v>0</v>
      </c>
      <c r="S185" s="12">
        <v>0</v>
      </c>
      <c r="T185" s="20">
        <v>0</v>
      </c>
      <c r="U185" s="12">
        <v>200</v>
      </c>
      <c r="V185" s="12">
        <v>0</v>
      </c>
      <c r="W185" s="21">
        <v>100</v>
      </c>
      <c r="X185" s="19">
        <v>0</v>
      </c>
      <c r="Y185" s="22">
        <v>0</v>
      </c>
      <c r="Z185" s="9" t="s">
        <v>3</v>
      </c>
      <c r="AA185" s="23" t="s">
        <v>406</v>
      </c>
      <c r="AC185" s="4">
        <v>2808</v>
      </c>
      <c r="AD185" s="3">
        <v>46125</v>
      </c>
    </row>
    <row r="186" spans="1:30">
      <c r="A186" s="2" t="s">
        <v>450</v>
      </c>
      <c r="B186" s="9">
        <v>70</v>
      </c>
      <c r="C186" s="2" t="s">
        <v>181</v>
      </c>
      <c r="D186" s="2" t="s">
        <v>154</v>
      </c>
      <c r="E186" s="14">
        <v>46125</v>
      </c>
      <c r="F186" s="9" t="s">
        <v>155</v>
      </c>
      <c r="G186" s="9" t="s">
        <v>156</v>
      </c>
      <c r="H186" s="2" t="s">
        <v>282</v>
      </c>
      <c r="I186" s="2" t="s">
        <v>236</v>
      </c>
      <c r="J186" s="2">
        <v>10049305</v>
      </c>
      <c r="K186" s="2" t="s">
        <v>414</v>
      </c>
      <c r="L186" s="21">
        <v>64</v>
      </c>
      <c r="M186" s="21">
        <v>0</v>
      </c>
      <c r="N186" s="21">
        <v>0</v>
      </c>
      <c r="O186" s="21">
        <v>0</v>
      </c>
      <c r="R186" s="19">
        <v>0</v>
      </c>
      <c r="S186" s="12">
        <v>0</v>
      </c>
      <c r="T186" s="20">
        <v>0</v>
      </c>
      <c r="U186" s="12">
        <v>224</v>
      </c>
      <c r="V186" s="12">
        <v>0</v>
      </c>
      <c r="W186" s="21">
        <v>64</v>
      </c>
      <c r="X186" s="19">
        <v>0</v>
      </c>
      <c r="Y186" s="22">
        <v>0</v>
      </c>
      <c r="Z186" s="9" t="s">
        <v>6</v>
      </c>
      <c r="AA186" s="23" t="s">
        <v>238</v>
      </c>
      <c r="AC186" s="4">
        <v>1726.72</v>
      </c>
      <c r="AD186" s="3">
        <v>46127</v>
      </c>
    </row>
    <row r="187" spans="1:30">
      <c r="A187" s="2" t="s">
        <v>450</v>
      </c>
      <c r="B187" s="9">
        <v>130</v>
      </c>
      <c r="C187" s="2" t="s">
        <v>181</v>
      </c>
      <c r="D187" s="2" t="s">
        <v>154</v>
      </c>
      <c r="E187" s="14">
        <v>46125</v>
      </c>
      <c r="F187" s="9" t="s">
        <v>155</v>
      </c>
      <c r="G187" s="9" t="s">
        <v>156</v>
      </c>
      <c r="H187" s="2" t="s">
        <v>282</v>
      </c>
      <c r="I187" s="2" t="s">
        <v>236</v>
      </c>
      <c r="J187" s="2">
        <v>10017604</v>
      </c>
      <c r="K187" s="2" t="s">
        <v>451</v>
      </c>
      <c r="L187" s="21">
        <v>55</v>
      </c>
      <c r="M187" s="21">
        <v>0</v>
      </c>
      <c r="N187" s="21">
        <v>0</v>
      </c>
      <c r="O187" s="21">
        <v>0</v>
      </c>
      <c r="R187" s="19">
        <v>0</v>
      </c>
      <c r="S187" s="12">
        <v>0</v>
      </c>
      <c r="T187" s="20">
        <v>0</v>
      </c>
      <c r="U187" s="12">
        <v>110</v>
      </c>
      <c r="V187" s="12">
        <v>0</v>
      </c>
      <c r="W187" s="21">
        <v>55</v>
      </c>
      <c r="X187" s="19">
        <v>0</v>
      </c>
      <c r="Y187" s="22">
        <v>0</v>
      </c>
      <c r="Z187" s="9" t="s">
        <v>6</v>
      </c>
      <c r="AA187" s="23" t="s">
        <v>238</v>
      </c>
      <c r="AC187" s="4">
        <v>872.3</v>
      </c>
      <c r="AD187" s="3">
        <v>46127</v>
      </c>
    </row>
    <row r="188" spans="1:30">
      <c r="A188" s="2" t="s">
        <v>452</v>
      </c>
      <c r="B188" s="9">
        <v>40</v>
      </c>
      <c r="C188" s="2" t="s">
        <v>192</v>
      </c>
      <c r="D188" s="2" t="s">
        <v>154</v>
      </c>
      <c r="E188" s="14">
        <v>46125</v>
      </c>
      <c r="F188" s="9" t="s">
        <v>155</v>
      </c>
      <c r="G188" s="9" t="s">
        <v>156</v>
      </c>
      <c r="H188" s="2" t="s">
        <v>314</v>
      </c>
      <c r="I188" s="2" t="s">
        <v>315</v>
      </c>
      <c r="J188" s="2">
        <v>10100030</v>
      </c>
      <c r="K188" s="2" t="s">
        <v>312</v>
      </c>
      <c r="L188" s="21">
        <v>1</v>
      </c>
      <c r="M188" s="21">
        <v>0</v>
      </c>
      <c r="N188" s="21">
        <v>0</v>
      </c>
      <c r="O188" s="21">
        <v>0</v>
      </c>
      <c r="R188" s="19">
        <v>0</v>
      </c>
      <c r="S188" s="12">
        <v>0</v>
      </c>
      <c r="T188" s="20">
        <v>0</v>
      </c>
      <c r="U188" s="12">
        <v>10.76</v>
      </c>
      <c r="V188" s="12">
        <v>0</v>
      </c>
      <c r="W188" s="21">
        <v>1</v>
      </c>
      <c r="X188" s="19">
        <v>0</v>
      </c>
      <c r="Y188" s="22">
        <v>0</v>
      </c>
      <c r="Z188" s="9" t="s">
        <v>3</v>
      </c>
      <c r="AA188" s="23" t="s">
        <v>317</v>
      </c>
      <c r="AC188" s="4">
        <v>34.979999999999997</v>
      </c>
      <c r="AD188" s="3">
        <v>46127</v>
      </c>
    </row>
    <row r="189" spans="1:30">
      <c r="A189" s="2" t="s">
        <v>452</v>
      </c>
      <c r="B189" s="9">
        <v>120</v>
      </c>
      <c r="C189" s="2" t="s">
        <v>192</v>
      </c>
      <c r="D189" s="2" t="s">
        <v>154</v>
      </c>
      <c r="E189" s="14">
        <v>46125</v>
      </c>
      <c r="F189" s="9" t="s">
        <v>155</v>
      </c>
      <c r="G189" s="9" t="s">
        <v>156</v>
      </c>
      <c r="H189" s="2" t="s">
        <v>314</v>
      </c>
      <c r="I189" s="2" t="s">
        <v>315</v>
      </c>
      <c r="J189" s="2">
        <v>10100030</v>
      </c>
      <c r="K189" s="2" t="s">
        <v>312</v>
      </c>
      <c r="L189" s="21">
        <v>12</v>
      </c>
      <c r="M189" s="21">
        <v>0</v>
      </c>
      <c r="N189" s="21">
        <v>0</v>
      </c>
      <c r="O189" s="21">
        <v>0</v>
      </c>
      <c r="R189" s="19">
        <v>0</v>
      </c>
      <c r="S189" s="12">
        <v>0</v>
      </c>
      <c r="T189" s="20">
        <v>0</v>
      </c>
      <c r="U189" s="12">
        <v>129.12</v>
      </c>
      <c r="V189" s="12">
        <v>0</v>
      </c>
      <c r="W189" s="21">
        <v>12</v>
      </c>
      <c r="X189" s="19">
        <v>0</v>
      </c>
      <c r="Y189" s="22">
        <v>0</v>
      </c>
      <c r="Z189" s="9" t="s">
        <v>3</v>
      </c>
      <c r="AA189" s="23" t="s">
        <v>317</v>
      </c>
      <c r="AC189" s="4">
        <v>419.76</v>
      </c>
      <c r="AD189" s="3">
        <v>46127</v>
      </c>
    </row>
    <row r="190" spans="1:30">
      <c r="A190" s="2" t="s">
        <v>452</v>
      </c>
      <c r="B190" s="9">
        <v>130</v>
      </c>
      <c r="C190" s="2" t="s">
        <v>192</v>
      </c>
      <c r="D190" s="2" t="s">
        <v>154</v>
      </c>
      <c r="E190" s="14">
        <v>46125</v>
      </c>
      <c r="F190" s="9" t="s">
        <v>155</v>
      </c>
      <c r="G190" s="9" t="s">
        <v>156</v>
      </c>
      <c r="H190" s="2" t="s">
        <v>314</v>
      </c>
      <c r="I190" s="2" t="s">
        <v>315</v>
      </c>
      <c r="J190" s="2">
        <v>10100028</v>
      </c>
      <c r="K190" s="2" t="s">
        <v>310</v>
      </c>
      <c r="L190" s="21">
        <v>6</v>
      </c>
      <c r="M190" s="21">
        <v>0</v>
      </c>
      <c r="N190" s="21">
        <v>0</v>
      </c>
      <c r="O190" s="21">
        <v>0</v>
      </c>
      <c r="R190" s="19">
        <v>0</v>
      </c>
      <c r="S190" s="12">
        <v>0</v>
      </c>
      <c r="T190" s="20">
        <v>0</v>
      </c>
      <c r="U190" s="12">
        <v>68.88</v>
      </c>
      <c r="V190" s="12">
        <v>0</v>
      </c>
      <c r="W190" s="21">
        <v>6</v>
      </c>
      <c r="X190" s="19">
        <v>0</v>
      </c>
      <c r="Y190" s="22">
        <v>0</v>
      </c>
      <c r="Z190" s="9" t="s">
        <v>3</v>
      </c>
      <c r="AA190" s="23" t="s">
        <v>317</v>
      </c>
      <c r="AC190" s="4">
        <v>224.4</v>
      </c>
      <c r="AD190" s="3">
        <v>46127</v>
      </c>
    </row>
    <row r="191" spans="1:30">
      <c r="A191" s="2" t="s">
        <v>452</v>
      </c>
      <c r="B191" s="9">
        <v>190</v>
      </c>
      <c r="C191" s="2" t="s">
        <v>192</v>
      </c>
      <c r="D191" s="2" t="s">
        <v>154</v>
      </c>
      <c r="E191" s="14">
        <v>46125</v>
      </c>
      <c r="F191" s="9" t="s">
        <v>155</v>
      </c>
      <c r="G191" s="9" t="s">
        <v>156</v>
      </c>
      <c r="H191" s="2" t="s">
        <v>314</v>
      </c>
      <c r="I191" s="2" t="s">
        <v>315</v>
      </c>
      <c r="J191" s="2">
        <v>10019690</v>
      </c>
      <c r="K191" s="2" t="s">
        <v>316</v>
      </c>
      <c r="L191" s="21">
        <v>15</v>
      </c>
      <c r="M191" s="21">
        <v>0</v>
      </c>
      <c r="N191" s="21">
        <v>0</v>
      </c>
      <c r="O191" s="21">
        <v>0</v>
      </c>
      <c r="R191" s="19">
        <v>0</v>
      </c>
      <c r="S191" s="12">
        <v>0</v>
      </c>
      <c r="T191" s="20">
        <v>0</v>
      </c>
      <c r="U191" s="12">
        <v>112.8</v>
      </c>
      <c r="V191" s="12">
        <v>0</v>
      </c>
      <c r="W191" s="21">
        <v>15</v>
      </c>
      <c r="X191" s="19">
        <v>0</v>
      </c>
      <c r="Y191" s="22">
        <v>0</v>
      </c>
      <c r="Z191" s="9" t="s">
        <v>3</v>
      </c>
      <c r="AA191" s="23" t="s">
        <v>317</v>
      </c>
      <c r="AC191" s="4">
        <v>456.45</v>
      </c>
      <c r="AD191" s="3">
        <v>46127</v>
      </c>
    </row>
    <row r="192" spans="1:30">
      <c r="A192" s="2" t="s">
        <v>453</v>
      </c>
      <c r="B192" s="9">
        <v>20</v>
      </c>
      <c r="C192" s="2" t="s">
        <v>153</v>
      </c>
      <c r="D192" s="2" t="s">
        <v>154</v>
      </c>
      <c r="E192" s="14">
        <v>46125</v>
      </c>
      <c r="F192" s="9" t="s">
        <v>155</v>
      </c>
      <c r="G192" s="9" t="s">
        <v>156</v>
      </c>
      <c r="H192" s="2" t="s">
        <v>330</v>
      </c>
      <c r="I192" s="2" t="s">
        <v>331</v>
      </c>
      <c r="J192" s="2">
        <v>10100030</v>
      </c>
      <c r="K192" s="2" t="s">
        <v>312</v>
      </c>
      <c r="L192" s="21">
        <v>12</v>
      </c>
      <c r="M192" s="21">
        <v>0</v>
      </c>
      <c r="N192" s="21">
        <v>0</v>
      </c>
      <c r="O192" s="21">
        <v>0</v>
      </c>
      <c r="R192" s="19">
        <v>0</v>
      </c>
      <c r="S192" s="12">
        <v>0</v>
      </c>
      <c r="T192" s="20">
        <v>0</v>
      </c>
      <c r="U192" s="12">
        <v>129.12</v>
      </c>
      <c r="V192" s="12">
        <v>0</v>
      </c>
      <c r="W192" s="21">
        <v>12</v>
      </c>
      <c r="X192" s="19">
        <v>0</v>
      </c>
      <c r="Y192" s="22">
        <v>0</v>
      </c>
      <c r="Z192" s="9" t="s">
        <v>3</v>
      </c>
      <c r="AA192" s="23" t="s">
        <v>165</v>
      </c>
      <c r="AC192" s="4">
        <v>419.76</v>
      </c>
      <c r="AD192" s="3">
        <v>46127</v>
      </c>
    </row>
    <row r="193" spans="1:30">
      <c r="A193" s="2" t="s">
        <v>453</v>
      </c>
      <c r="B193" s="9">
        <v>30</v>
      </c>
      <c r="C193" s="2" t="s">
        <v>153</v>
      </c>
      <c r="D193" s="2" t="s">
        <v>154</v>
      </c>
      <c r="E193" s="14">
        <v>46125</v>
      </c>
      <c r="F193" s="9" t="s">
        <v>155</v>
      </c>
      <c r="G193" s="9" t="s">
        <v>156</v>
      </c>
      <c r="H193" s="2" t="s">
        <v>330</v>
      </c>
      <c r="I193" s="2" t="s">
        <v>331</v>
      </c>
      <c r="J193" s="2">
        <v>10019780</v>
      </c>
      <c r="K193" s="2" t="s">
        <v>220</v>
      </c>
      <c r="L193" s="21">
        <v>9</v>
      </c>
      <c r="M193" s="21">
        <v>0</v>
      </c>
      <c r="N193" s="21">
        <v>0</v>
      </c>
      <c r="O193" s="21">
        <v>0</v>
      </c>
      <c r="R193" s="19">
        <v>0</v>
      </c>
      <c r="S193" s="12">
        <v>0</v>
      </c>
      <c r="T193" s="20">
        <v>0</v>
      </c>
      <c r="U193" s="12">
        <v>144</v>
      </c>
      <c r="V193" s="12">
        <v>0</v>
      </c>
      <c r="W193" s="21">
        <v>9</v>
      </c>
      <c r="X193" s="19">
        <v>18</v>
      </c>
      <c r="Y193" s="22">
        <v>0</v>
      </c>
      <c r="Z193" s="9" t="s">
        <v>3</v>
      </c>
      <c r="AA193" s="23" t="s">
        <v>165</v>
      </c>
      <c r="AC193" s="4">
        <v>580.5</v>
      </c>
      <c r="AD193" s="3">
        <v>46127</v>
      </c>
    </row>
    <row r="194" spans="1:30">
      <c r="A194" s="2" t="s">
        <v>453</v>
      </c>
      <c r="B194" s="9">
        <v>40</v>
      </c>
      <c r="C194" s="2" t="s">
        <v>153</v>
      </c>
      <c r="D194" s="2" t="s">
        <v>154</v>
      </c>
      <c r="E194" s="14">
        <v>46125</v>
      </c>
      <c r="F194" s="9" t="s">
        <v>155</v>
      </c>
      <c r="G194" s="9" t="s">
        <v>156</v>
      </c>
      <c r="H194" s="2" t="s">
        <v>330</v>
      </c>
      <c r="I194" s="2" t="s">
        <v>331</v>
      </c>
      <c r="J194" s="2">
        <v>10019704</v>
      </c>
      <c r="K194" s="2" t="s">
        <v>323</v>
      </c>
      <c r="L194" s="21">
        <v>16</v>
      </c>
      <c r="M194" s="21">
        <v>0</v>
      </c>
      <c r="N194" s="21">
        <v>0</v>
      </c>
      <c r="O194" s="21">
        <v>0</v>
      </c>
      <c r="R194" s="19">
        <v>0</v>
      </c>
      <c r="S194" s="12">
        <v>0</v>
      </c>
      <c r="T194" s="20">
        <v>0</v>
      </c>
      <c r="U194" s="12">
        <v>273.60000000000002</v>
      </c>
      <c r="V194" s="12">
        <v>0</v>
      </c>
      <c r="W194" s="21">
        <v>16</v>
      </c>
      <c r="X194" s="19">
        <v>40</v>
      </c>
      <c r="Y194" s="22">
        <v>0</v>
      </c>
      <c r="Z194" s="9" t="s">
        <v>3</v>
      </c>
      <c r="AA194" s="23" t="s">
        <v>165</v>
      </c>
      <c r="AC194" s="4">
        <v>1104.8</v>
      </c>
      <c r="AD194" s="3">
        <v>46127</v>
      </c>
    </row>
    <row r="195" spans="1:30">
      <c r="A195" s="2" t="s">
        <v>454</v>
      </c>
      <c r="B195" s="9">
        <v>90</v>
      </c>
      <c r="C195" s="2" t="s">
        <v>153</v>
      </c>
      <c r="D195" s="2" t="s">
        <v>154</v>
      </c>
      <c r="E195" s="14">
        <v>46125</v>
      </c>
      <c r="F195" s="9" t="s">
        <v>155</v>
      </c>
      <c r="G195" s="9" t="s">
        <v>156</v>
      </c>
      <c r="H195" s="2" t="s">
        <v>272</v>
      </c>
      <c r="I195" s="2" t="s">
        <v>273</v>
      </c>
      <c r="J195" s="2">
        <v>10019704</v>
      </c>
      <c r="K195" s="2" t="s">
        <v>323</v>
      </c>
      <c r="L195" s="21">
        <v>16</v>
      </c>
      <c r="M195" s="21">
        <v>0</v>
      </c>
      <c r="N195" s="21">
        <v>0</v>
      </c>
      <c r="O195" s="21">
        <v>0</v>
      </c>
      <c r="R195" s="19">
        <v>0</v>
      </c>
      <c r="S195" s="12">
        <v>0</v>
      </c>
      <c r="T195" s="20">
        <v>0</v>
      </c>
      <c r="U195" s="12">
        <v>273.60000000000002</v>
      </c>
      <c r="V195" s="12">
        <v>0</v>
      </c>
      <c r="W195" s="21">
        <v>16</v>
      </c>
      <c r="X195" s="19">
        <v>40</v>
      </c>
      <c r="Y195" s="22">
        <v>0</v>
      </c>
      <c r="Z195" s="9" t="s">
        <v>3</v>
      </c>
      <c r="AA195" s="23" t="s">
        <v>274</v>
      </c>
      <c r="AC195" s="4">
        <v>1104.8</v>
      </c>
      <c r="AD195" s="3">
        <v>46127</v>
      </c>
    </row>
    <row r="196" spans="1:30">
      <c r="A196" s="2" t="s">
        <v>455</v>
      </c>
      <c r="B196" s="9">
        <v>110</v>
      </c>
      <c r="C196" s="2" t="s">
        <v>153</v>
      </c>
      <c r="D196" s="2" t="s">
        <v>154</v>
      </c>
      <c r="E196" s="14">
        <v>46125</v>
      </c>
      <c r="F196" s="9" t="s">
        <v>155</v>
      </c>
      <c r="G196" s="9" t="s">
        <v>156</v>
      </c>
      <c r="H196" s="2" t="s">
        <v>212</v>
      </c>
      <c r="I196" s="2" t="s">
        <v>213</v>
      </c>
      <c r="J196" s="2">
        <v>10100028</v>
      </c>
      <c r="K196" s="2" t="s">
        <v>310</v>
      </c>
      <c r="L196" s="21">
        <v>24</v>
      </c>
      <c r="M196" s="21">
        <v>0</v>
      </c>
      <c r="N196" s="21">
        <v>0</v>
      </c>
      <c r="O196" s="21">
        <v>0</v>
      </c>
      <c r="R196" s="19">
        <v>0</v>
      </c>
      <c r="S196" s="12">
        <v>0</v>
      </c>
      <c r="T196" s="20">
        <v>0</v>
      </c>
      <c r="U196" s="12">
        <v>275.52</v>
      </c>
      <c r="V196" s="12">
        <v>0</v>
      </c>
      <c r="W196" s="21">
        <v>24</v>
      </c>
      <c r="X196" s="19">
        <v>0</v>
      </c>
      <c r="Y196" s="22">
        <v>0</v>
      </c>
      <c r="Z196" s="9" t="s">
        <v>3</v>
      </c>
      <c r="AA196" s="23" t="s">
        <v>215</v>
      </c>
      <c r="AC196" s="4">
        <v>897.6</v>
      </c>
      <c r="AD196" s="3">
        <v>46132</v>
      </c>
    </row>
    <row r="197" spans="1:30">
      <c r="A197" s="2" t="s">
        <v>455</v>
      </c>
      <c r="B197" s="9">
        <v>190</v>
      </c>
      <c r="C197" s="2" t="s">
        <v>153</v>
      </c>
      <c r="D197" s="2" t="s">
        <v>154</v>
      </c>
      <c r="E197" s="14">
        <v>46125</v>
      </c>
      <c r="F197" s="9" t="s">
        <v>155</v>
      </c>
      <c r="G197" s="9" t="s">
        <v>156</v>
      </c>
      <c r="H197" s="2" t="s">
        <v>212</v>
      </c>
      <c r="I197" s="2" t="s">
        <v>213</v>
      </c>
      <c r="J197" s="2">
        <v>10019690</v>
      </c>
      <c r="K197" s="2" t="s">
        <v>316</v>
      </c>
      <c r="L197" s="21">
        <v>15</v>
      </c>
      <c r="M197" s="21">
        <v>0</v>
      </c>
      <c r="N197" s="21">
        <v>0</v>
      </c>
      <c r="O197" s="21">
        <v>0</v>
      </c>
      <c r="R197" s="19">
        <v>0</v>
      </c>
      <c r="S197" s="12">
        <v>0</v>
      </c>
      <c r="T197" s="20">
        <v>0</v>
      </c>
      <c r="U197" s="12">
        <v>112.8</v>
      </c>
      <c r="V197" s="12">
        <v>0</v>
      </c>
      <c r="W197" s="21">
        <v>15</v>
      </c>
      <c r="X197" s="19">
        <v>0</v>
      </c>
      <c r="Y197" s="22">
        <v>0</v>
      </c>
      <c r="Z197" s="9" t="s">
        <v>3</v>
      </c>
      <c r="AA197" s="23" t="s">
        <v>215</v>
      </c>
      <c r="AC197" s="4">
        <v>456.45</v>
      </c>
      <c r="AD197" s="3">
        <v>46132</v>
      </c>
    </row>
    <row r="198" spans="1:30">
      <c r="A198" s="2" t="s">
        <v>455</v>
      </c>
      <c r="B198" s="9">
        <v>220</v>
      </c>
      <c r="C198" s="2" t="s">
        <v>153</v>
      </c>
      <c r="D198" s="2" t="s">
        <v>154</v>
      </c>
      <c r="E198" s="14">
        <v>46125</v>
      </c>
      <c r="F198" s="9" t="s">
        <v>155</v>
      </c>
      <c r="G198" s="9" t="s">
        <v>156</v>
      </c>
      <c r="H198" s="2" t="s">
        <v>212</v>
      </c>
      <c r="I198" s="2" t="s">
        <v>213</v>
      </c>
      <c r="J198" s="2">
        <v>10100028</v>
      </c>
      <c r="K198" s="2" t="s">
        <v>310</v>
      </c>
      <c r="L198" s="21">
        <v>1</v>
      </c>
      <c r="M198" s="21">
        <v>0</v>
      </c>
      <c r="N198" s="21">
        <v>0</v>
      </c>
      <c r="O198" s="21">
        <v>0</v>
      </c>
      <c r="R198" s="19">
        <v>0</v>
      </c>
      <c r="S198" s="12">
        <v>0</v>
      </c>
      <c r="T198" s="20">
        <v>0</v>
      </c>
      <c r="U198" s="12">
        <v>11.48</v>
      </c>
      <c r="V198" s="12">
        <v>0</v>
      </c>
      <c r="W198" s="21">
        <v>1</v>
      </c>
      <c r="X198" s="19">
        <v>0</v>
      </c>
      <c r="Y198" s="22">
        <v>0</v>
      </c>
      <c r="Z198" s="9" t="s">
        <v>3</v>
      </c>
      <c r="AA198" s="23" t="s">
        <v>215</v>
      </c>
      <c r="AC198" s="4">
        <v>37.4</v>
      </c>
      <c r="AD198" s="3">
        <v>46132</v>
      </c>
    </row>
    <row r="199" spans="1:30">
      <c r="A199" s="2" t="s">
        <v>455</v>
      </c>
      <c r="B199" s="9">
        <v>290</v>
      </c>
      <c r="C199" s="2" t="s">
        <v>153</v>
      </c>
      <c r="D199" s="2" t="s">
        <v>154</v>
      </c>
      <c r="E199" s="14">
        <v>46125</v>
      </c>
      <c r="F199" s="9" t="s">
        <v>155</v>
      </c>
      <c r="G199" s="9" t="s">
        <v>156</v>
      </c>
      <c r="H199" s="2" t="s">
        <v>212</v>
      </c>
      <c r="I199" s="2" t="s">
        <v>213</v>
      </c>
      <c r="J199" s="2">
        <v>10061099</v>
      </c>
      <c r="K199" s="2" t="s">
        <v>411</v>
      </c>
      <c r="L199" s="21">
        <v>7</v>
      </c>
      <c r="M199" s="21">
        <v>0</v>
      </c>
      <c r="N199" s="21">
        <v>0</v>
      </c>
      <c r="O199" s="21">
        <v>0</v>
      </c>
      <c r="R199" s="19">
        <v>0</v>
      </c>
      <c r="S199" s="12">
        <v>0</v>
      </c>
      <c r="T199" s="20">
        <v>0</v>
      </c>
      <c r="U199" s="12">
        <v>59.57</v>
      </c>
      <c r="V199" s="12">
        <v>0</v>
      </c>
      <c r="W199" s="21">
        <v>7</v>
      </c>
      <c r="X199" s="19">
        <v>0</v>
      </c>
      <c r="Y199" s="22">
        <v>0</v>
      </c>
      <c r="Z199" s="9" t="s">
        <v>3</v>
      </c>
      <c r="AA199" s="23" t="s">
        <v>215</v>
      </c>
      <c r="AC199" s="4">
        <v>165.9</v>
      </c>
      <c r="AD199" s="3">
        <v>46132</v>
      </c>
    </row>
    <row r="200" spans="1:30">
      <c r="A200" s="2" t="s">
        <v>455</v>
      </c>
      <c r="B200" s="9">
        <v>320</v>
      </c>
      <c r="C200" s="2" t="s">
        <v>153</v>
      </c>
      <c r="D200" s="2" t="s">
        <v>154</v>
      </c>
      <c r="E200" s="14">
        <v>46125</v>
      </c>
      <c r="F200" s="9" t="s">
        <v>155</v>
      </c>
      <c r="G200" s="9" t="s">
        <v>156</v>
      </c>
      <c r="H200" s="2" t="s">
        <v>212</v>
      </c>
      <c r="I200" s="2" t="s">
        <v>213</v>
      </c>
      <c r="J200" s="2">
        <v>10061060</v>
      </c>
      <c r="K200" s="2" t="s">
        <v>456</v>
      </c>
      <c r="L200" s="21">
        <v>91</v>
      </c>
      <c r="M200" s="21">
        <v>0</v>
      </c>
      <c r="N200" s="21">
        <v>0</v>
      </c>
      <c r="O200" s="21">
        <v>0</v>
      </c>
      <c r="R200" s="19">
        <v>0</v>
      </c>
      <c r="S200" s="12">
        <v>0</v>
      </c>
      <c r="T200" s="20">
        <v>0</v>
      </c>
      <c r="U200" s="12">
        <v>273</v>
      </c>
      <c r="V200" s="12">
        <v>0</v>
      </c>
      <c r="W200" s="21">
        <v>91</v>
      </c>
      <c r="X200" s="19">
        <v>0</v>
      </c>
      <c r="Y200" s="22">
        <v>0</v>
      </c>
      <c r="Z200" s="9" t="s">
        <v>3</v>
      </c>
      <c r="AA200" s="23" t="s">
        <v>215</v>
      </c>
      <c r="AC200" s="4">
        <v>1399.58</v>
      </c>
      <c r="AD200" s="3">
        <v>46132</v>
      </c>
    </row>
    <row r="201" spans="1:30">
      <c r="A201" s="2" t="s">
        <v>457</v>
      </c>
      <c r="B201" s="9">
        <v>10</v>
      </c>
      <c r="C201" s="2" t="s">
        <v>192</v>
      </c>
      <c r="D201" s="2" t="s">
        <v>154</v>
      </c>
      <c r="E201" s="14">
        <v>46125</v>
      </c>
      <c r="F201" s="9" t="s">
        <v>155</v>
      </c>
      <c r="G201" s="9" t="s">
        <v>156</v>
      </c>
      <c r="H201" s="2" t="s">
        <v>442</v>
      </c>
      <c r="I201" s="2" t="s">
        <v>443</v>
      </c>
      <c r="J201" s="2">
        <v>10061060</v>
      </c>
      <c r="K201" s="2" t="s">
        <v>456</v>
      </c>
      <c r="L201" s="21">
        <v>12</v>
      </c>
      <c r="M201" s="21">
        <v>0</v>
      </c>
      <c r="N201" s="21">
        <v>0</v>
      </c>
      <c r="O201" s="21">
        <v>0</v>
      </c>
      <c r="R201" s="19">
        <v>0</v>
      </c>
      <c r="S201" s="12">
        <v>0</v>
      </c>
      <c r="T201" s="20">
        <v>0</v>
      </c>
      <c r="U201" s="12">
        <v>64.2</v>
      </c>
      <c r="V201" s="12">
        <v>0</v>
      </c>
      <c r="W201" s="21">
        <v>12</v>
      </c>
      <c r="X201" s="19">
        <v>0</v>
      </c>
      <c r="Y201" s="22">
        <v>0</v>
      </c>
      <c r="Z201" s="9" t="s">
        <v>3</v>
      </c>
      <c r="AA201" s="23" t="s">
        <v>444</v>
      </c>
      <c r="AC201" s="4">
        <v>184.56</v>
      </c>
      <c r="AD201" s="3">
        <v>46134</v>
      </c>
    </row>
    <row r="202" spans="1:30">
      <c r="A202" s="2" t="s">
        <v>458</v>
      </c>
      <c r="B202" s="9">
        <v>10</v>
      </c>
      <c r="C202" s="2" t="s">
        <v>175</v>
      </c>
      <c r="D202" s="2" t="s">
        <v>154</v>
      </c>
      <c r="E202" s="14">
        <v>46126</v>
      </c>
      <c r="F202" s="9" t="s">
        <v>155</v>
      </c>
      <c r="G202" s="9" t="s">
        <v>156</v>
      </c>
      <c r="H202" s="2" t="s">
        <v>176</v>
      </c>
      <c r="I202" s="2" t="s">
        <v>177</v>
      </c>
      <c r="J202" s="2">
        <v>10019706</v>
      </c>
      <c r="K202" s="2" t="s">
        <v>295</v>
      </c>
      <c r="L202" s="21">
        <v>1</v>
      </c>
      <c r="M202" s="21">
        <v>0</v>
      </c>
      <c r="N202" s="21">
        <v>0</v>
      </c>
      <c r="O202" s="21">
        <v>0</v>
      </c>
      <c r="R202" s="19">
        <v>0</v>
      </c>
      <c r="S202" s="12">
        <v>0</v>
      </c>
      <c r="T202" s="20">
        <v>0</v>
      </c>
      <c r="U202" s="12">
        <v>18.579999999999998</v>
      </c>
      <c r="V202" s="12">
        <v>0</v>
      </c>
      <c r="W202" s="21">
        <v>1</v>
      </c>
      <c r="X202" s="19">
        <v>2.5</v>
      </c>
      <c r="Y202" s="22">
        <v>0</v>
      </c>
      <c r="Z202" s="9" t="s">
        <v>6</v>
      </c>
      <c r="AA202" s="23" t="s">
        <v>179</v>
      </c>
      <c r="AC202" s="4">
        <v>77.3</v>
      </c>
      <c r="AD202" s="3">
        <v>46129</v>
      </c>
    </row>
    <row r="203" spans="1:30">
      <c r="A203" s="2" t="s">
        <v>458</v>
      </c>
      <c r="B203" s="9">
        <v>70</v>
      </c>
      <c r="C203" s="2" t="s">
        <v>175</v>
      </c>
      <c r="D203" s="2" t="s">
        <v>154</v>
      </c>
      <c r="E203" s="14">
        <v>46126</v>
      </c>
      <c r="F203" s="9" t="s">
        <v>155</v>
      </c>
      <c r="G203" s="9" t="s">
        <v>156</v>
      </c>
      <c r="H203" s="2" t="s">
        <v>176</v>
      </c>
      <c r="I203" s="2" t="s">
        <v>177</v>
      </c>
      <c r="J203" s="2">
        <v>10038130</v>
      </c>
      <c r="K203" s="2" t="s">
        <v>459</v>
      </c>
      <c r="L203" s="21">
        <v>2</v>
      </c>
      <c r="M203" s="21">
        <v>0</v>
      </c>
      <c r="N203" s="21">
        <v>0</v>
      </c>
      <c r="O203" s="21">
        <v>0</v>
      </c>
      <c r="R203" s="19">
        <v>0</v>
      </c>
      <c r="S203" s="12">
        <v>0</v>
      </c>
      <c r="T203" s="20">
        <v>0</v>
      </c>
      <c r="U203" s="12">
        <v>17.04</v>
      </c>
      <c r="V203" s="12">
        <v>0</v>
      </c>
      <c r="W203" s="21">
        <v>2</v>
      </c>
      <c r="X203" s="19">
        <v>0</v>
      </c>
      <c r="Y203" s="22">
        <v>0</v>
      </c>
      <c r="Z203" s="9" t="s">
        <v>6</v>
      </c>
      <c r="AA203" s="23" t="s">
        <v>179</v>
      </c>
      <c r="AC203" s="4">
        <v>46.14</v>
      </c>
      <c r="AD203" s="3">
        <v>46129</v>
      </c>
    </row>
    <row r="204" spans="1:30">
      <c r="A204" s="2" t="s">
        <v>458</v>
      </c>
      <c r="B204" s="9">
        <v>120</v>
      </c>
      <c r="C204" s="2" t="s">
        <v>175</v>
      </c>
      <c r="D204" s="2" t="s">
        <v>154</v>
      </c>
      <c r="E204" s="14">
        <v>46126</v>
      </c>
      <c r="F204" s="9" t="s">
        <v>155</v>
      </c>
      <c r="G204" s="9" t="s">
        <v>156</v>
      </c>
      <c r="H204" s="2" t="s">
        <v>176</v>
      </c>
      <c r="I204" s="2" t="s">
        <v>177</v>
      </c>
      <c r="J204" s="2">
        <v>10038153</v>
      </c>
      <c r="K204" s="2" t="s">
        <v>460</v>
      </c>
      <c r="L204" s="21">
        <v>2</v>
      </c>
      <c r="M204" s="21">
        <v>0</v>
      </c>
      <c r="N204" s="21">
        <v>0</v>
      </c>
      <c r="O204" s="21">
        <v>0</v>
      </c>
      <c r="R204" s="19">
        <v>0</v>
      </c>
      <c r="S204" s="12">
        <v>0</v>
      </c>
      <c r="T204" s="20">
        <v>0</v>
      </c>
      <c r="U204" s="12">
        <v>13.82</v>
      </c>
      <c r="V204" s="12">
        <v>0</v>
      </c>
      <c r="W204" s="21">
        <v>2</v>
      </c>
      <c r="X204" s="19">
        <v>0</v>
      </c>
      <c r="Y204" s="22">
        <v>0</v>
      </c>
      <c r="Z204" s="9" t="s">
        <v>6</v>
      </c>
      <c r="AA204" s="23" t="s">
        <v>179</v>
      </c>
      <c r="AC204" s="4">
        <v>36.76</v>
      </c>
      <c r="AD204" s="3">
        <v>46129</v>
      </c>
    </row>
    <row r="205" spans="1:30">
      <c r="A205" s="2" t="s">
        <v>458</v>
      </c>
      <c r="B205" s="9">
        <v>150</v>
      </c>
      <c r="C205" s="2" t="s">
        <v>175</v>
      </c>
      <c r="D205" s="2" t="s">
        <v>154</v>
      </c>
      <c r="E205" s="14">
        <v>46126</v>
      </c>
      <c r="F205" s="9" t="s">
        <v>155</v>
      </c>
      <c r="G205" s="9" t="s">
        <v>156</v>
      </c>
      <c r="H205" s="2" t="s">
        <v>176</v>
      </c>
      <c r="I205" s="2" t="s">
        <v>177</v>
      </c>
      <c r="J205" s="2">
        <v>10020851</v>
      </c>
      <c r="K205" s="2" t="s">
        <v>253</v>
      </c>
      <c r="L205" s="21">
        <v>1</v>
      </c>
      <c r="M205" s="21">
        <v>0</v>
      </c>
      <c r="N205" s="21">
        <v>0</v>
      </c>
      <c r="O205" s="21">
        <v>0</v>
      </c>
      <c r="R205" s="19">
        <v>0</v>
      </c>
      <c r="S205" s="12">
        <v>0</v>
      </c>
      <c r="T205" s="20">
        <v>0</v>
      </c>
      <c r="U205" s="12">
        <v>11.75</v>
      </c>
      <c r="V205" s="12">
        <v>0</v>
      </c>
      <c r="W205" s="21">
        <v>1</v>
      </c>
      <c r="X205" s="19">
        <v>0</v>
      </c>
      <c r="Y205" s="22">
        <v>0</v>
      </c>
      <c r="Z205" s="9" t="s">
        <v>6</v>
      </c>
      <c r="AA205" s="23" t="s">
        <v>179</v>
      </c>
      <c r="AC205" s="4">
        <v>32.61</v>
      </c>
      <c r="AD205" s="3">
        <v>46129</v>
      </c>
    </row>
    <row r="206" spans="1:30">
      <c r="A206" s="2" t="s">
        <v>458</v>
      </c>
      <c r="B206" s="9">
        <v>170</v>
      </c>
      <c r="C206" s="2" t="s">
        <v>175</v>
      </c>
      <c r="D206" s="2" t="s">
        <v>154</v>
      </c>
      <c r="E206" s="14">
        <v>46126</v>
      </c>
      <c r="F206" s="9" t="s">
        <v>155</v>
      </c>
      <c r="G206" s="9" t="s">
        <v>156</v>
      </c>
      <c r="H206" s="2" t="s">
        <v>176</v>
      </c>
      <c r="I206" s="2" t="s">
        <v>177</v>
      </c>
      <c r="J206" s="2">
        <v>10020850</v>
      </c>
      <c r="K206" s="2" t="s">
        <v>461</v>
      </c>
      <c r="L206" s="21">
        <v>1</v>
      </c>
      <c r="M206" s="21">
        <v>0</v>
      </c>
      <c r="N206" s="21">
        <v>0</v>
      </c>
      <c r="O206" s="21">
        <v>0</v>
      </c>
      <c r="R206" s="19">
        <v>0</v>
      </c>
      <c r="S206" s="12">
        <v>0</v>
      </c>
      <c r="T206" s="20">
        <v>0</v>
      </c>
      <c r="U206" s="12">
        <v>11.75</v>
      </c>
      <c r="V206" s="12">
        <v>0</v>
      </c>
      <c r="W206" s="21">
        <v>1</v>
      </c>
      <c r="X206" s="19">
        <v>0</v>
      </c>
      <c r="Y206" s="22">
        <v>0</v>
      </c>
      <c r="Z206" s="9" t="s">
        <v>6</v>
      </c>
      <c r="AA206" s="23" t="s">
        <v>179</v>
      </c>
      <c r="AC206" s="4">
        <v>32.950000000000003</v>
      </c>
      <c r="AD206" s="3">
        <v>46129</v>
      </c>
    </row>
    <row r="207" spans="1:30">
      <c r="A207" s="2" t="s">
        <v>458</v>
      </c>
      <c r="B207" s="9">
        <v>180</v>
      </c>
      <c r="C207" s="2" t="s">
        <v>175</v>
      </c>
      <c r="D207" s="2" t="s">
        <v>154</v>
      </c>
      <c r="E207" s="14">
        <v>46126</v>
      </c>
      <c r="F207" s="9" t="s">
        <v>155</v>
      </c>
      <c r="G207" s="9" t="s">
        <v>156</v>
      </c>
      <c r="H207" s="2" t="s">
        <v>176</v>
      </c>
      <c r="I207" s="2" t="s">
        <v>177</v>
      </c>
      <c r="J207" s="2">
        <v>10038132</v>
      </c>
      <c r="K207" s="2" t="s">
        <v>462</v>
      </c>
      <c r="L207" s="21">
        <v>2</v>
      </c>
      <c r="M207" s="21">
        <v>0</v>
      </c>
      <c r="N207" s="21">
        <v>0</v>
      </c>
      <c r="O207" s="21">
        <v>0</v>
      </c>
      <c r="R207" s="19">
        <v>0</v>
      </c>
      <c r="S207" s="12">
        <v>0</v>
      </c>
      <c r="T207" s="20">
        <v>0</v>
      </c>
      <c r="U207" s="12">
        <v>28.2</v>
      </c>
      <c r="V207" s="12">
        <v>0</v>
      </c>
      <c r="W207" s="21">
        <v>2</v>
      </c>
      <c r="X207" s="19">
        <v>0</v>
      </c>
      <c r="Y207" s="22">
        <v>0</v>
      </c>
      <c r="Z207" s="9" t="s">
        <v>6</v>
      </c>
      <c r="AA207" s="23" t="s">
        <v>179</v>
      </c>
      <c r="AC207" s="4">
        <v>82.32</v>
      </c>
      <c r="AD207" s="3">
        <v>46129</v>
      </c>
    </row>
    <row r="208" spans="1:30">
      <c r="A208" s="2" t="s">
        <v>458</v>
      </c>
      <c r="B208" s="9">
        <v>230</v>
      </c>
      <c r="C208" s="2" t="s">
        <v>175</v>
      </c>
      <c r="D208" s="2" t="s">
        <v>154</v>
      </c>
      <c r="E208" s="14">
        <v>46126</v>
      </c>
      <c r="F208" s="9" t="s">
        <v>155</v>
      </c>
      <c r="G208" s="9" t="s">
        <v>156</v>
      </c>
      <c r="H208" s="2" t="s">
        <v>176</v>
      </c>
      <c r="I208" s="2" t="s">
        <v>177</v>
      </c>
      <c r="J208" s="2">
        <v>10058821</v>
      </c>
      <c r="K208" s="2" t="s">
        <v>431</v>
      </c>
      <c r="L208" s="21">
        <v>2</v>
      </c>
      <c r="M208" s="21">
        <v>0</v>
      </c>
      <c r="N208" s="21">
        <v>0</v>
      </c>
      <c r="O208" s="21">
        <v>0</v>
      </c>
      <c r="R208" s="19">
        <v>0</v>
      </c>
      <c r="S208" s="12">
        <v>0</v>
      </c>
      <c r="T208" s="20">
        <v>0</v>
      </c>
      <c r="U208" s="12">
        <v>15.52</v>
      </c>
      <c r="V208" s="12">
        <v>0</v>
      </c>
      <c r="W208" s="21">
        <v>2</v>
      </c>
      <c r="X208" s="19">
        <v>0</v>
      </c>
      <c r="Y208" s="22">
        <v>0</v>
      </c>
      <c r="Z208" s="9" t="s">
        <v>6</v>
      </c>
      <c r="AA208" s="23" t="s">
        <v>179</v>
      </c>
      <c r="AC208" s="4">
        <v>45.92</v>
      </c>
      <c r="AD208" s="3">
        <v>46129</v>
      </c>
    </row>
    <row r="209" spans="1:30">
      <c r="A209" s="2" t="s">
        <v>463</v>
      </c>
      <c r="B209" s="9">
        <v>30</v>
      </c>
      <c r="C209" s="2" t="s">
        <v>153</v>
      </c>
      <c r="D209" s="2" t="s">
        <v>154</v>
      </c>
      <c r="E209" s="14">
        <v>46126</v>
      </c>
      <c r="F209" s="9" t="s">
        <v>155</v>
      </c>
      <c r="G209" s="9" t="s">
        <v>156</v>
      </c>
      <c r="H209" s="2" t="s">
        <v>464</v>
      </c>
      <c r="I209" s="2" t="s">
        <v>465</v>
      </c>
      <c r="J209" s="2">
        <v>10019780</v>
      </c>
      <c r="K209" s="2" t="s">
        <v>220</v>
      </c>
      <c r="L209" s="21">
        <v>9</v>
      </c>
      <c r="M209" s="21">
        <v>0</v>
      </c>
      <c r="N209" s="21">
        <v>0</v>
      </c>
      <c r="O209" s="21">
        <v>0</v>
      </c>
      <c r="R209" s="19">
        <v>0</v>
      </c>
      <c r="S209" s="12">
        <v>0</v>
      </c>
      <c r="T209" s="20">
        <v>0</v>
      </c>
      <c r="U209" s="12">
        <v>144</v>
      </c>
      <c r="V209" s="12">
        <v>0</v>
      </c>
      <c r="W209" s="21">
        <v>9</v>
      </c>
      <c r="X209" s="19">
        <v>18</v>
      </c>
      <c r="Y209" s="22">
        <v>0</v>
      </c>
      <c r="Z209" s="9" t="s">
        <v>3</v>
      </c>
      <c r="AA209" s="23" t="s">
        <v>466</v>
      </c>
      <c r="AC209" s="4">
        <v>580.5</v>
      </c>
      <c r="AD209" s="3">
        <v>46128</v>
      </c>
    </row>
    <row r="210" spans="1:30">
      <c r="A210" s="2" t="s">
        <v>463</v>
      </c>
      <c r="B210" s="9">
        <v>40</v>
      </c>
      <c r="C210" s="2" t="s">
        <v>153</v>
      </c>
      <c r="D210" s="2" t="s">
        <v>154</v>
      </c>
      <c r="E210" s="14">
        <v>46126</v>
      </c>
      <c r="F210" s="9" t="s">
        <v>155</v>
      </c>
      <c r="G210" s="9" t="s">
        <v>156</v>
      </c>
      <c r="H210" s="2" t="s">
        <v>464</v>
      </c>
      <c r="I210" s="2" t="s">
        <v>465</v>
      </c>
      <c r="J210" s="2">
        <v>10019704</v>
      </c>
      <c r="K210" s="2" t="s">
        <v>323</v>
      </c>
      <c r="L210" s="21">
        <v>16</v>
      </c>
      <c r="M210" s="21">
        <v>0</v>
      </c>
      <c r="N210" s="21">
        <v>0</v>
      </c>
      <c r="O210" s="21">
        <v>0</v>
      </c>
      <c r="R210" s="19">
        <v>0</v>
      </c>
      <c r="S210" s="12">
        <v>0</v>
      </c>
      <c r="T210" s="20">
        <v>0</v>
      </c>
      <c r="U210" s="12">
        <v>273.60000000000002</v>
      </c>
      <c r="V210" s="12">
        <v>0</v>
      </c>
      <c r="W210" s="21">
        <v>16</v>
      </c>
      <c r="X210" s="19">
        <v>40</v>
      </c>
      <c r="Y210" s="22">
        <v>0</v>
      </c>
      <c r="Z210" s="9" t="s">
        <v>3</v>
      </c>
      <c r="AA210" s="23" t="s">
        <v>466</v>
      </c>
      <c r="AC210" s="4">
        <v>1105.2</v>
      </c>
      <c r="AD210" s="3">
        <v>46128</v>
      </c>
    </row>
    <row r="211" spans="1:30">
      <c r="A211" s="2" t="s">
        <v>467</v>
      </c>
      <c r="B211" s="9">
        <v>20</v>
      </c>
      <c r="C211" s="2" t="s">
        <v>187</v>
      </c>
      <c r="D211" s="2" t="s">
        <v>154</v>
      </c>
      <c r="E211" s="14">
        <v>46128</v>
      </c>
      <c r="F211" s="9" t="s">
        <v>155</v>
      </c>
      <c r="G211" s="9" t="s">
        <v>156</v>
      </c>
      <c r="H211" s="2" t="s">
        <v>403</v>
      </c>
      <c r="I211" s="2" t="s">
        <v>404</v>
      </c>
      <c r="J211" s="2">
        <v>10100028</v>
      </c>
      <c r="K211" s="2" t="s">
        <v>310</v>
      </c>
      <c r="L211" s="21">
        <v>24</v>
      </c>
      <c r="M211" s="21">
        <v>0</v>
      </c>
      <c r="N211" s="21">
        <v>0</v>
      </c>
      <c r="O211" s="21">
        <v>0</v>
      </c>
      <c r="R211" s="19">
        <v>0</v>
      </c>
      <c r="S211" s="12">
        <v>0</v>
      </c>
      <c r="T211" s="20">
        <v>0</v>
      </c>
      <c r="U211" s="12">
        <v>72</v>
      </c>
      <c r="V211" s="12">
        <v>0</v>
      </c>
      <c r="W211" s="21">
        <v>24</v>
      </c>
      <c r="X211" s="19">
        <v>0</v>
      </c>
      <c r="Y211" s="22">
        <v>0</v>
      </c>
      <c r="Z211" s="9" t="s">
        <v>3</v>
      </c>
      <c r="AA211" s="23" t="s">
        <v>406</v>
      </c>
      <c r="AC211" s="4">
        <v>897.6</v>
      </c>
      <c r="AD211" s="3">
        <v>46132</v>
      </c>
    </row>
    <row r="212" spans="1:30">
      <c r="A212" s="2" t="s">
        <v>467</v>
      </c>
      <c r="B212" s="9">
        <v>40</v>
      </c>
      <c r="C212" s="2" t="s">
        <v>187</v>
      </c>
      <c r="D212" s="2" t="s">
        <v>154</v>
      </c>
      <c r="E212" s="14">
        <v>46128</v>
      </c>
      <c r="F212" s="9" t="s">
        <v>155</v>
      </c>
      <c r="G212" s="9" t="s">
        <v>156</v>
      </c>
      <c r="H212" s="2" t="s">
        <v>403</v>
      </c>
      <c r="I212" s="2" t="s">
        <v>404</v>
      </c>
      <c r="J212" s="2">
        <v>10100030</v>
      </c>
      <c r="K212" s="2" t="s">
        <v>312</v>
      </c>
      <c r="L212" s="21">
        <v>12</v>
      </c>
      <c r="M212" s="21">
        <v>0</v>
      </c>
      <c r="N212" s="21">
        <v>0</v>
      </c>
      <c r="O212" s="21">
        <v>0</v>
      </c>
      <c r="R212" s="19">
        <v>0</v>
      </c>
      <c r="S212" s="12">
        <v>0</v>
      </c>
      <c r="T212" s="20">
        <v>0</v>
      </c>
      <c r="U212" s="12">
        <v>48</v>
      </c>
      <c r="V212" s="12">
        <v>0</v>
      </c>
      <c r="W212" s="21">
        <v>12</v>
      </c>
      <c r="X212" s="19">
        <v>0</v>
      </c>
      <c r="Y212" s="22">
        <v>0</v>
      </c>
      <c r="Z212" s="9" t="s">
        <v>3</v>
      </c>
      <c r="AA212" s="23" t="s">
        <v>406</v>
      </c>
      <c r="AC212" s="4">
        <v>419.76</v>
      </c>
      <c r="AD212" s="3">
        <v>46132</v>
      </c>
    </row>
    <row r="213" spans="1:30">
      <c r="A213" s="2" t="s">
        <v>467</v>
      </c>
      <c r="B213" s="9">
        <v>90</v>
      </c>
      <c r="C213" s="2" t="s">
        <v>187</v>
      </c>
      <c r="D213" s="2" t="s">
        <v>154</v>
      </c>
      <c r="E213" s="14">
        <v>46128</v>
      </c>
      <c r="F213" s="9" t="s">
        <v>155</v>
      </c>
      <c r="G213" s="9" t="s">
        <v>156</v>
      </c>
      <c r="H213" s="2" t="s">
        <v>403</v>
      </c>
      <c r="I213" s="2" t="s">
        <v>404</v>
      </c>
      <c r="J213" s="2">
        <v>10016081</v>
      </c>
      <c r="K213" s="2" t="s">
        <v>210</v>
      </c>
      <c r="L213" s="21">
        <v>24</v>
      </c>
      <c r="M213" s="21">
        <v>0</v>
      </c>
      <c r="N213" s="21">
        <v>0</v>
      </c>
      <c r="O213" s="21">
        <v>0</v>
      </c>
      <c r="R213" s="19">
        <v>0</v>
      </c>
      <c r="S213" s="12">
        <v>0</v>
      </c>
      <c r="T213" s="20">
        <v>0</v>
      </c>
      <c r="U213" s="12">
        <v>816</v>
      </c>
      <c r="V213" s="12">
        <v>0</v>
      </c>
      <c r="W213" s="21">
        <v>24</v>
      </c>
      <c r="X213" s="19">
        <v>96</v>
      </c>
      <c r="Y213" s="22">
        <v>0</v>
      </c>
      <c r="Z213" s="9" t="s">
        <v>3</v>
      </c>
      <c r="AA213" s="23" t="s">
        <v>406</v>
      </c>
      <c r="AC213" s="4">
        <v>2352.96</v>
      </c>
      <c r="AD213" s="3">
        <v>46132</v>
      </c>
    </row>
    <row r="214" spans="1:30">
      <c r="A214" s="2" t="s">
        <v>468</v>
      </c>
      <c r="B214" s="9">
        <v>80</v>
      </c>
      <c r="C214" s="2" t="s">
        <v>153</v>
      </c>
      <c r="D214" s="2" t="s">
        <v>154</v>
      </c>
      <c r="E214" s="14">
        <v>46132</v>
      </c>
      <c r="F214" s="9" t="s">
        <v>155</v>
      </c>
      <c r="G214" s="9" t="s">
        <v>156</v>
      </c>
      <c r="H214" s="2" t="s">
        <v>212</v>
      </c>
      <c r="I214" s="2" t="s">
        <v>213</v>
      </c>
      <c r="J214" s="2">
        <v>10100028</v>
      </c>
      <c r="K214" s="2" t="s">
        <v>310</v>
      </c>
      <c r="L214" s="21">
        <v>1</v>
      </c>
      <c r="M214" s="21">
        <v>0</v>
      </c>
      <c r="N214" s="21">
        <v>0</v>
      </c>
      <c r="O214" s="21">
        <v>0</v>
      </c>
      <c r="R214" s="19">
        <v>0</v>
      </c>
      <c r="S214" s="12">
        <v>0</v>
      </c>
      <c r="T214" s="20">
        <v>0</v>
      </c>
      <c r="U214" s="12">
        <v>11.48</v>
      </c>
      <c r="V214" s="12">
        <v>0</v>
      </c>
      <c r="W214" s="21">
        <v>1</v>
      </c>
      <c r="X214" s="19">
        <v>0</v>
      </c>
      <c r="Y214" s="22">
        <v>0</v>
      </c>
      <c r="Z214" s="9" t="s">
        <v>3</v>
      </c>
      <c r="AA214" s="23" t="s">
        <v>215</v>
      </c>
      <c r="AC214" s="4">
        <v>37.4</v>
      </c>
      <c r="AD214" s="3">
        <v>46139</v>
      </c>
    </row>
    <row r="215" spans="1:30">
      <c r="A215" s="2" t="s">
        <v>468</v>
      </c>
      <c r="B215" s="9">
        <v>160</v>
      </c>
      <c r="C215" s="2" t="s">
        <v>153</v>
      </c>
      <c r="D215" s="2" t="s">
        <v>154</v>
      </c>
      <c r="E215" s="14">
        <v>46132</v>
      </c>
      <c r="F215" s="9" t="s">
        <v>155</v>
      </c>
      <c r="G215" s="9" t="s">
        <v>156</v>
      </c>
      <c r="H215" s="2" t="s">
        <v>212</v>
      </c>
      <c r="I215" s="2" t="s">
        <v>213</v>
      </c>
      <c r="J215" s="2">
        <v>10061008</v>
      </c>
      <c r="K215" s="2" t="s">
        <v>353</v>
      </c>
      <c r="L215" s="21">
        <v>4</v>
      </c>
      <c r="M215" s="21">
        <v>0</v>
      </c>
      <c r="N215" s="21">
        <v>0</v>
      </c>
      <c r="O215" s="21">
        <v>0</v>
      </c>
      <c r="R215" s="19">
        <v>0</v>
      </c>
      <c r="S215" s="12">
        <v>0</v>
      </c>
      <c r="T215" s="20">
        <v>0</v>
      </c>
      <c r="U215" s="12">
        <v>35.56</v>
      </c>
      <c r="V215" s="12">
        <v>0</v>
      </c>
      <c r="W215" s="21">
        <v>4</v>
      </c>
      <c r="X215" s="19">
        <v>0</v>
      </c>
      <c r="Y215" s="22">
        <v>0</v>
      </c>
      <c r="Z215" s="9" t="s">
        <v>3</v>
      </c>
      <c r="AA215" s="23" t="s">
        <v>215</v>
      </c>
      <c r="AC215" s="4">
        <v>104.44</v>
      </c>
      <c r="AD215" s="3">
        <v>46139</v>
      </c>
    </row>
    <row r="216" spans="1:30">
      <c r="A216" s="2" t="s">
        <v>469</v>
      </c>
      <c r="B216" s="9">
        <v>90</v>
      </c>
      <c r="C216" s="2" t="s">
        <v>153</v>
      </c>
      <c r="D216" s="2" t="s">
        <v>154</v>
      </c>
      <c r="E216" s="14">
        <v>46132</v>
      </c>
      <c r="F216" s="9" t="s">
        <v>155</v>
      </c>
      <c r="G216" s="9" t="s">
        <v>156</v>
      </c>
      <c r="H216" s="2" t="s">
        <v>339</v>
      </c>
      <c r="I216" s="2" t="s">
        <v>340</v>
      </c>
      <c r="J216" s="2">
        <v>10019704</v>
      </c>
      <c r="K216" s="2" t="s">
        <v>323</v>
      </c>
      <c r="L216" s="21">
        <v>16</v>
      </c>
      <c r="M216" s="21">
        <v>0</v>
      </c>
      <c r="N216" s="21">
        <v>0</v>
      </c>
      <c r="O216" s="21">
        <v>0</v>
      </c>
      <c r="R216" s="19">
        <v>0</v>
      </c>
      <c r="S216" s="12">
        <v>0</v>
      </c>
      <c r="T216" s="20">
        <v>0</v>
      </c>
      <c r="U216" s="12">
        <v>273.60000000000002</v>
      </c>
      <c r="V216" s="12">
        <v>0</v>
      </c>
      <c r="W216" s="21">
        <v>16</v>
      </c>
      <c r="X216" s="19">
        <v>40</v>
      </c>
      <c r="Y216" s="22">
        <v>0</v>
      </c>
      <c r="Z216" s="9" t="s">
        <v>3</v>
      </c>
      <c r="AA216" s="23" t="s">
        <v>341</v>
      </c>
      <c r="AC216" s="4">
        <v>1105.2</v>
      </c>
      <c r="AD216" s="3">
        <v>46135</v>
      </c>
    </row>
    <row r="217" spans="1:30">
      <c r="A217" s="2" t="s">
        <v>470</v>
      </c>
      <c r="B217" s="9">
        <v>210</v>
      </c>
      <c r="C217" s="2" t="s">
        <v>192</v>
      </c>
      <c r="D217" s="2" t="s">
        <v>154</v>
      </c>
      <c r="E217" s="14">
        <v>46133</v>
      </c>
      <c r="F217" s="9" t="s">
        <v>155</v>
      </c>
      <c r="G217" s="9" t="s">
        <v>156</v>
      </c>
      <c r="H217" s="2" t="s">
        <v>314</v>
      </c>
      <c r="I217" s="2" t="s">
        <v>315</v>
      </c>
      <c r="J217" s="2">
        <v>10061008</v>
      </c>
      <c r="K217" s="2" t="s">
        <v>353</v>
      </c>
      <c r="L217" s="21">
        <v>4</v>
      </c>
      <c r="M217" s="21">
        <v>0</v>
      </c>
      <c r="N217" s="21">
        <v>0</v>
      </c>
      <c r="O217" s="21">
        <v>0</v>
      </c>
      <c r="R217" s="19">
        <v>0</v>
      </c>
      <c r="S217" s="12">
        <v>0</v>
      </c>
      <c r="T217" s="20">
        <v>0</v>
      </c>
      <c r="U217" s="12">
        <v>35.56</v>
      </c>
      <c r="V217" s="12">
        <v>0</v>
      </c>
      <c r="W217" s="21">
        <v>4</v>
      </c>
      <c r="X217" s="19">
        <v>0</v>
      </c>
      <c r="Y217" s="22">
        <v>0</v>
      </c>
      <c r="Z217" s="9" t="s">
        <v>3</v>
      </c>
      <c r="AA217" s="23" t="s">
        <v>317</v>
      </c>
      <c r="AC217" s="4">
        <v>104.44</v>
      </c>
      <c r="AD217" s="3">
        <v>46141</v>
      </c>
    </row>
    <row r="218" spans="1:30">
      <c r="A218" s="2" t="s">
        <v>471</v>
      </c>
      <c r="B218" s="9">
        <v>50</v>
      </c>
      <c r="C218" s="2" t="s">
        <v>181</v>
      </c>
      <c r="D218" s="2" t="s">
        <v>154</v>
      </c>
      <c r="E218" s="14">
        <v>46135</v>
      </c>
      <c r="F218" s="9" t="s">
        <v>155</v>
      </c>
      <c r="G218" s="9" t="s">
        <v>156</v>
      </c>
      <c r="H218" s="2" t="s">
        <v>218</v>
      </c>
      <c r="I218" s="2" t="s">
        <v>219</v>
      </c>
      <c r="J218" s="2">
        <v>10019704</v>
      </c>
      <c r="K218" s="2" t="s">
        <v>323</v>
      </c>
      <c r="L218" s="21">
        <v>16</v>
      </c>
      <c r="M218" s="21">
        <v>0</v>
      </c>
      <c r="N218" s="21">
        <v>0</v>
      </c>
      <c r="O218" s="21">
        <v>0</v>
      </c>
      <c r="R218" s="19">
        <v>0</v>
      </c>
      <c r="S218" s="12">
        <v>0</v>
      </c>
      <c r="T218" s="20">
        <v>0</v>
      </c>
      <c r="U218" s="12">
        <v>200</v>
      </c>
      <c r="V218" s="12">
        <v>0</v>
      </c>
      <c r="W218" s="21">
        <v>16</v>
      </c>
      <c r="X218" s="19">
        <v>40</v>
      </c>
      <c r="Y218" s="22">
        <v>0</v>
      </c>
      <c r="Z218" s="9" t="s">
        <v>3</v>
      </c>
      <c r="AA218" s="23" t="s">
        <v>221</v>
      </c>
      <c r="AC218" s="4">
        <v>1116.4000000000001</v>
      </c>
      <c r="AD218" s="3">
        <v>46139</v>
      </c>
    </row>
    <row r="219" spans="1:30">
      <c r="A219" s="2" t="s">
        <v>472</v>
      </c>
      <c r="B219" s="9">
        <v>90</v>
      </c>
      <c r="C219" s="2" t="s">
        <v>153</v>
      </c>
      <c r="D219" s="2" t="s">
        <v>154</v>
      </c>
      <c r="E219" s="14">
        <v>46139</v>
      </c>
      <c r="F219" s="9" t="s">
        <v>155</v>
      </c>
      <c r="G219" s="9" t="s">
        <v>156</v>
      </c>
      <c r="H219" s="2" t="s">
        <v>272</v>
      </c>
      <c r="I219" s="2" t="s">
        <v>273</v>
      </c>
      <c r="J219" s="2">
        <v>10061008</v>
      </c>
      <c r="K219" s="2" t="s">
        <v>353</v>
      </c>
      <c r="L219" s="21">
        <v>4</v>
      </c>
      <c r="M219" s="21">
        <v>0</v>
      </c>
      <c r="N219" s="21">
        <v>0</v>
      </c>
      <c r="O219" s="21">
        <v>0</v>
      </c>
      <c r="R219" s="19">
        <v>0</v>
      </c>
      <c r="S219" s="12">
        <v>0</v>
      </c>
      <c r="T219" s="20">
        <v>0</v>
      </c>
      <c r="U219" s="12">
        <v>35.56</v>
      </c>
      <c r="V219" s="12">
        <v>0</v>
      </c>
      <c r="W219" s="21">
        <v>4</v>
      </c>
      <c r="X219" s="19">
        <v>0</v>
      </c>
      <c r="Y219" s="22">
        <v>0</v>
      </c>
      <c r="Z219" s="9" t="s">
        <v>3</v>
      </c>
      <c r="AA219" s="23" t="s">
        <v>274</v>
      </c>
      <c r="AC219" s="4">
        <v>102.16</v>
      </c>
      <c r="AD219" s="3">
        <v>46141</v>
      </c>
    </row>
    <row r="220" spans="1:30">
      <c r="A220" s="2" t="s">
        <v>473</v>
      </c>
      <c r="B220" s="9">
        <v>10</v>
      </c>
      <c r="C220" s="2" t="s">
        <v>192</v>
      </c>
      <c r="D220" s="2" t="s">
        <v>154</v>
      </c>
      <c r="E220" s="14">
        <v>46140</v>
      </c>
      <c r="F220" s="9" t="s">
        <v>155</v>
      </c>
      <c r="G220" s="9" t="s">
        <v>156</v>
      </c>
      <c r="H220" s="2" t="s">
        <v>314</v>
      </c>
      <c r="I220" s="2" t="s">
        <v>315</v>
      </c>
      <c r="J220" s="2">
        <v>10019704</v>
      </c>
      <c r="K220" s="2" t="s">
        <v>323</v>
      </c>
      <c r="L220" s="21">
        <v>5</v>
      </c>
      <c r="M220" s="21">
        <v>0</v>
      </c>
      <c r="N220" s="21">
        <v>0</v>
      </c>
      <c r="O220" s="21">
        <v>0</v>
      </c>
      <c r="R220" s="19">
        <v>0</v>
      </c>
      <c r="S220" s="12">
        <v>0</v>
      </c>
      <c r="T220" s="20">
        <v>0</v>
      </c>
      <c r="U220" s="12">
        <v>85.5</v>
      </c>
      <c r="V220" s="12">
        <v>0</v>
      </c>
      <c r="W220" s="21">
        <v>5</v>
      </c>
      <c r="X220" s="19">
        <v>12.5</v>
      </c>
      <c r="Y220" s="22">
        <v>0</v>
      </c>
      <c r="Z220" s="9" t="s">
        <v>3</v>
      </c>
      <c r="AA220" s="23" t="s">
        <v>317</v>
      </c>
      <c r="AC220" s="4">
        <v>348.13</v>
      </c>
      <c r="AD220" s="3">
        <v>46147</v>
      </c>
    </row>
    <row r="221" spans="1:30">
      <c r="A221" s="2" t="s">
        <v>473</v>
      </c>
      <c r="B221" s="9">
        <v>260</v>
      </c>
      <c r="C221" s="2" t="s">
        <v>192</v>
      </c>
      <c r="D221" s="2" t="s">
        <v>154</v>
      </c>
      <c r="E221" s="14">
        <v>46140</v>
      </c>
      <c r="F221" s="9" t="s">
        <v>155</v>
      </c>
      <c r="G221" s="9" t="s">
        <v>156</v>
      </c>
      <c r="H221" s="2" t="s">
        <v>314</v>
      </c>
      <c r="I221" s="2" t="s">
        <v>315</v>
      </c>
      <c r="J221" s="2">
        <v>10017611</v>
      </c>
      <c r="K221" s="2" t="s">
        <v>474</v>
      </c>
      <c r="L221" s="21">
        <v>5</v>
      </c>
      <c r="M221" s="21">
        <v>0</v>
      </c>
      <c r="N221" s="21">
        <v>0</v>
      </c>
      <c r="O221" s="21">
        <v>0</v>
      </c>
      <c r="R221" s="19">
        <v>0</v>
      </c>
      <c r="S221" s="12">
        <v>0</v>
      </c>
      <c r="T221" s="20">
        <v>0</v>
      </c>
      <c r="U221" s="12">
        <v>59</v>
      </c>
      <c r="V221" s="12">
        <v>0</v>
      </c>
      <c r="W221" s="21">
        <v>5</v>
      </c>
      <c r="X221" s="19">
        <v>0</v>
      </c>
      <c r="Y221" s="22">
        <v>0</v>
      </c>
      <c r="Z221" s="9" t="s">
        <v>3</v>
      </c>
      <c r="AA221" s="23" t="s">
        <v>317</v>
      </c>
      <c r="AC221" s="4">
        <v>74.95</v>
      </c>
      <c r="AD221" s="3">
        <v>46147</v>
      </c>
    </row>
    <row r="222" spans="1:30">
      <c r="A222" s="2" t="s">
        <v>475</v>
      </c>
      <c r="B222" s="9">
        <v>40</v>
      </c>
      <c r="C222" s="2" t="s">
        <v>175</v>
      </c>
      <c r="D222" s="2" t="s">
        <v>154</v>
      </c>
      <c r="E222" s="14">
        <v>46141</v>
      </c>
      <c r="F222" s="9" t="s">
        <v>155</v>
      </c>
      <c r="G222" s="9" t="s">
        <v>156</v>
      </c>
      <c r="H222" s="2" t="s">
        <v>176</v>
      </c>
      <c r="I222" s="2" t="s">
        <v>177</v>
      </c>
      <c r="J222" s="2">
        <v>10011275</v>
      </c>
      <c r="K222" s="2" t="s">
        <v>476</v>
      </c>
      <c r="L222" s="21">
        <v>2</v>
      </c>
      <c r="M222" s="21">
        <v>0</v>
      </c>
      <c r="N222" s="21">
        <v>0</v>
      </c>
      <c r="O222" s="21">
        <v>0</v>
      </c>
      <c r="R222" s="19">
        <v>0</v>
      </c>
      <c r="S222" s="12">
        <v>0</v>
      </c>
      <c r="T222" s="20">
        <v>0</v>
      </c>
      <c r="U222" s="12">
        <v>13.06</v>
      </c>
      <c r="V222" s="12">
        <v>0</v>
      </c>
      <c r="W222" s="21">
        <v>2</v>
      </c>
      <c r="X222" s="19">
        <v>0</v>
      </c>
      <c r="Y222" s="22">
        <v>0</v>
      </c>
      <c r="Z222" s="9" t="s">
        <v>6</v>
      </c>
      <c r="AA222" s="23" t="s">
        <v>179</v>
      </c>
      <c r="AC222" s="4">
        <v>39.340000000000003</v>
      </c>
      <c r="AD222" s="3">
        <v>46143</v>
      </c>
    </row>
    <row r="223" spans="1:30">
      <c r="A223" s="2" t="s">
        <v>475</v>
      </c>
      <c r="B223" s="9">
        <v>70</v>
      </c>
      <c r="C223" s="2" t="s">
        <v>175</v>
      </c>
      <c r="D223" s="2" t="s">
        <v>154</v>
      </c>
      <c r="E223" s="14">
        <v>46141</v>
      </c>
      <c r="F223" s="9" t="s">
        <v>155</v>
      </c>
      <c r="G223" s="9" t="s">
        <v>156</v>
      </c>
      <c r="H223" s="2" t="s">
        <v>176</v>
      </c>
      <c r="I223" s="2" t="s">
        <v>177</v>
      </c>
      <c r="J223" s="2">
        <v>10052114</v>
      </c>
      <c r="K223" s="2" t="s">
        <v>184</v>
      </c>
      <c r="L223" s="21">
        <v>3</v>
      </c>
      <c r="M223" s="21">
        <v>0</v>
      </c>
      <c r="N223" s="21">
        <v>0</v>
      </c>
      <c r="O223" s="21">
        <v>0</v>
      </c>
      <c r="R223" s="19">
        <v>0</v>
      </c>
      <c r="S223" s="12">
        <v>0</v>
      </c>
      <c r="T223" s="20">
        <v>0</v>
      </c>
      <c r="U223" s="12">
        <v>70.56</v>
      </c>
      <c r="V223" s="12">
        <v>0</v>
      </c>
      <c r="W223" s="21">
        <v>3</v>
      </c>
      <c r="X223" s="19">
        <v>0</v>
      </c>
      <c r="Y223" s="22">
        <v>0</v>
      </c>
      <c r="Z223" s="9" t="s">
        <v>6</v>
      </c>
      <c r="AA223" s="23" t="s">
        <v>179</v>
      </c>
      <c r="AC223" s="4">
        <v>217.26</v>
      </c>
      <c r="AD223" s="3">
        <v>46143</v>
      </c>
    </row>
    <row r="224" spans="1:30">
      <c r="A224" s="2" t="s">
        <v>475</v>
      </c>
      <c r="B224" s="9">
        <v>120</v>
      </c>
      <c r="C224" s="2" t="s">
        <v>175</v>
      </c>
      <c r="D224" s="2" t="s">
        <v>154</v>
      </c>
      <c r="E224" s="14">
        <v>46141</v>
      </c>
      <c r="F224" s="9" t="s">
        <v>155</v>
      </c>
      <c r="G224" s="9" t="s">
        <v>156</v>
      </c>
      <c r="H224" s="2" t="s">
        <v>176</v>
      </c>
      <c r="I224" s="2" t="s">
        <v>177</v>
      </c>
      <c r="J224" s="2">
        <v>10010755</v>
      </c>
      <c r="K224" s="2" t="s">
        <v>289</v>
      </c>
      <c r="L224" s="21">
        <v>3</v>
      </c>
      <c r="M224" s="21">
        <v>0</v>
      </c>
      <c r="N224" s="21">
        <v>0</v>
      </c>
      <c r="O224" s="21">
        <v>0</v>
      </c>
      <c r="R224" s="19">
        <v>0</v>
      </c>
      <c r="S224" s="12">
        <v>0</v>
      </c>
      <c r="T224" s="20">
        <v>0</v>
      </c>
      <c r="U224" s="12">
        <v>132.34</v>
      </c>
      <c r="V224" s="12">
        <v>0</v>
      </c>
      <c r="W224" s="21">
        <v>3</v>
      </c>
      <c r="X224" s="19">
        <v>14.4</v>
      </c>
      <c r="Y224" s="22">
        <v>0</v>
      </c>
      <c r="Z224" s="9" t="s">
        <v>6</v>
      </c>
      <c r="AA224" s="23" t="s">
        <v>179</v>
      </c>
      <c r="AC224" s="4">
        <v>280.94</v>
      </c>
      <c r="AD224" s="3">
        <v>46143</v>
      </c>
    </row>
    <row r="225" spans="1:30">
      <c r="A225" s="2" t="s">
        <v>477</v>
      </c>
      <c r="B225" s="9">
        <v>40</v>
      </c>
      <c r="C225" s="2" t="s">
        <v>181</v>
      </c>
      <c r="D225" s="2" t="s">
        <v>154</v>
      </c>
      <c r="E225" s="14">
        <v>46142</v>
      </c>
      <c r="F225" s="9" t="s">
        <v>155</v>
      </c>
      <c r="G225" s="9" t="s">
        <v>156</v>
      </c>
      <c r="H225" s="2" t="s">
        <v>218</v>
      </c>
      <c r="I225" s="2" t="s">
        <v>219</v>
      </c>
      <c r="J225" s="2">
        <v>10016204</v>
      </c>
      <c r="K225" s="2" t="s">
        <v>279</v>
      </c>
      <c r="L225" s="21">
        <v>20</v>
      </c>
      <c r="M225" s="21">
        <v>0</v>
      </c>
      <c r="N225" s="21">
        <v>0</v>
      </c>
      <c r="O225" s="21">
        <v>0</v>
      </c>
      <c r="R225" s="19">
        <v>0</v>
      </c>
      <c r="S225" s="12">
        <v>0</v>
      </c>
      <c r="T225" s="20">
        <v>0</v>
      </c>
      <c r="U225" s="12">
        <v>360</v>
      </c>
      <c r="V225" s="12">
        <v>0</v>
      </c>
      <c r="W225" s="21">
        <v>20</v>
      </c>
      <c r="X225" s="19">
        <v>0</v>
      </c>
      <c r="Y225" s="22">
        <v>0</v>
      </c>
      <c r="Z225" s="9" t="s">
        <v>3</v>
      </c>
      <c r="AA225" s="23" t="s">
        <v>221</v>
      </c>
      <c r="AC225" s="4">
        <v>874.4</v>
      </c>
      <c r="AD225" s="3">
        <v>46146</v>
      </c>
    </row>
    <row r="226" spans="1:30">
      <c r="A226" s="2" t="s">
        <v>477</v>
      </c>
      <c r="B226" s="9">
        <v>140</v>
      </c>
      <c r="C226" s="2" t="s">
        <v>181</v>
      </c>
      <c r="D226" s="2" t="s">
        <v>154</v>
      </c>
      <c r="E226" s="14">
        <v>46142</v>
      </c>
      <c r="F226" s="9" t="s">
        <v>155</v>
      </c>
      <c r="G226" s="9" t="s">
        <v>156</v>
      </c>
      <c r="H226" s="2" t="s">
        <v>218</v>
      </c>
      <c r="I226" s="2" t="s">
        <v>219</v>
      </c>
      <c r="J226" s="2">
        <v>10019778</v>
      </c>
      <c r="K226" s="2" t="s">
        <v>164</v>
      </c>
      <c r="L226" s="21">
        <v>6</v>
      </c>
      <c r="M226" s="21">
        <v>0</v>
      </c>
      <c r="N226" s="21">
        <v>0</v>
      </c>
      <c r="O226" s="21">
        <v>0</v>
      </c>
      <c r="R226" s="19">
        <v>0</v>
      </c>
      <c r="S226" s="12">
        <v>0</v>
      </c>
      <c r="T226" s="20">
        <v>0</v>
      </c>
      <c r="U226" s="12">
        <v>48</v>
      </c>
      <c r="V226" s="12">
        <v>0</v>
      </c>
      <c r="W226" s="21">
        <v>6</v>
      </c>
      <c r="X226" s="19">
        <v>0</v>
      </c>
      <c r="Y226" s="22">
        <v>0</v>
      </c>
      <c r="Z226" s="9" t="s">
        <v>3</v>
      </c>
      <c r="AA226" s="23" t="s">
        <v>221</v>
      </c>
      <c r="AC226" s="4">
        <v>253.44</v>
      </c>
      <c r="AD226" s="3">
        <v>46146</v>
      </c>
    </row>
    <row r="227" spans="1:30">
      <c r="A227" s="2" t="s">
        <v>477</v>
      </c>
      <c r="B227" s="9">
        <v>210</v>
      </c>
      <c r="C227" s="2" t="s">
        <v>181</v>
      </c>
      <c r="D227" s="2" t="s">
        <v>154</v>
      </c>
      <c r="E227" s="14">
        <v>46142</v>
      </c>
      <c r="F227" s="9" t="s">
        <v>155</v>
      </c>
      <c r="G227" s="9" t="s">
        <v>156</v>
      </c>
      <c r="H227" s="2" t="s">
        <v>218</v>
      </c>
      <c r="I227" s="2" t="s">
        <v>219</v>
      </c>
      <c r="J227" s="2">
        <v>10061008</v>
      </c>
      <c r="K227" s="2" t="s">
        <v>353</v>
      </c>
      <c r="L227" s="21">
        <v>4</v>
      </c>
      <c r="M227" s="21">
        <v>0</v>
      </c>
      <c r="N227" s="21">
        <v>0</v>
      </c>
      <c r="O227" s="21">
        <v>0</v>
      </c>
      <c r="R227" s="19">
        <v>0</v>
      </c>
      <c r="S227" s="12">
        <v>0</v>
      </c>
      <c r="T227" s="20">
        <v>0</v>
      </c>
      <c r="U227" s="12">
        <v>28</v>
      </c>
      <c r="V227" s="12">
        <v>0</v>
      </c>
      <c r="W227" s="21">
        <v>4</v>
      </c>
      <c r="X227" s="19">
        <v>0</v>
      </c>
      <c r="Y227" s="22">
        <v>0</v>
      </c>
      <c r="Z227" s="9" t="s">
        <v>3</v>
      </c>
      <c r="AA227" s="23" t="s">
        <v>221</v>
      </c>
      <c r="AC227" s="4">
        <v>102</v>
      </c>
      <c r="AD227" s="3">
        <v>46146</v>
      </c>
    </row>
    <row r="228" spans="1:30">
      <c r="A228" s="2" t="s">
        <v>477</v>
      </c>
      <c r="B228" s="9">
        <v>270</v>
      </c>
      <c r="C228" s="2" t="s">
        <v>181</v>
      </c>
      <c r="D228" s="2" t="s">
        <v>154</v>
      </c>
      <c r="E228" s="14">
        <v>46142</v>
      </c>
      <c r="F228" s="9" t="s">
        <v>155</v>
      </c>
      <c r="G228" s="9" t="s">
        <v>156</v>
      </c>
      <c r="H228" s="2" t="s">
        <v>218</v>
      </c>
      <c r="I228" s="2" t="s">
        <v>219</v>
      </c>
      <c r="J228" s="2">
        <v>10050613</v>
      </c>
      <c r="K228" s="2" t="s">
        <v>478</v>
      </c>
      <c r="L228" s="21">
        <v>22</v>
      </c>
      <c r="M228" s="21">
        <v>0</v>
      </c>
      <c r="N228" s="21">
        <v>0</v>
      </c>
      <c r="O228" s="21">
        <v>0</v>
      </c>
      <c r="R228" s="19">
        <v>0</v>
      </c>
      <c r="S228" s="12">
        <v>0</v>
      </c>
      <c r="T228" s="20">
        <v>0</v>
      </c>
      <c r="U228" s="12">
        <v>88</v>
      </c>
      <c r="V228" s="12">
        <v>0</v>
      </c>
      <c r="W228" s="21">
        <v>22</v>
      </c>
      <c r="X228" s="19">
        <v>0</v>
      </c>
      <c r="Y228" s="22">
        <v>0</v>
      </c>
      <c r="Z228" s="9" t="s">
        <v>3</v>
      </c>
      <c r="AA228" s="23" t="s">
        <v>221</v>
      </c>
      <c r="AC228" s="4">
        <v>368.72</v>
      </c>
      <c r="AD228" s="3">
        <v>46146</v>
      </c>
    </row>
    <row r="229" spans="1:30">
      <c r="A229" s="2" t="s">
        <v>477</v>
      </c>
      <c r="B229" s="9">
        <v>280</v>
      </c>
      <c r="C229" s="2" t="s">
        <v>181</v>
      </c>
      <c r="D229" s="2" t="s">
        <v>154</v>
      </c>
      <c r="E229" s="14">
        <v>46142</v>
      </c>
      <c r="F229" s="9" t="s">
        <v>155</v>
      </c>
      <c r="G229" s="9" t="s">
        <v>156</v>
      </c>
      <c r="H229" s="2" t="s">
        <v>218</v>
      </c>
      <c r="I229" s="2" t="s">
        <v>219</v>
      </c>
      <c r="J229" s="2">
        <v>10010755</v>
      </c>
      <c r="K229" s="2" t="s">
        <v>289</v>
      </c>
      <c r="L229" s="21">
        <v>8</v>
      </c>
      <c r="M229" s="21">
        <v>0</v>
      </c>
      <c r="N229" s="21">
        <v>0</v>
      </c>
      <c r="O229" s="21">
        <v>0</v>
      </c>
      <c r="R229" s="19">
        <v>0</v>
      </c>
      <c r="S229" s="12">
        <v>0</v>
      </c>
      <c r="T229" s="20">
        <v>0</v>
      </c>
      <c r="U229" s="12">
        <v>268.8</v>
      </c>
      <c r="V229" s="12">
        <v>0</v>
      </c>
      <c r="W229" s="21">
        <v>8</v>
      </c>
      <c r="X229" s="19">
        <v>38.4</v>
      </c>
      <c r="Y229" s="22">
        <v>0</v>
      </c>
      <c r="Z229" s="9" t="s">
        <v>3</v>
      </c>
      <c r="AA229" s="23" t="s">
        <v>221</v>
      </c>
      <c r="AC229" s="4">
        <v>747.65</v>
      </c>
      <c r="AD229" s="3">
        <v>46146</v>
      </c>
    </row>
    <row r="230" spans="1:30">
      <c r="A230" s="2" t="s">
        <v>477</v>
      </c>
      <c r="B230" s="9">
        <v>450</v>
      </c>
      <c r="C230" s="2" t="s">
        <v>181</v>
      </c>
      <c r="D230" s="2" t="s">
        <v>154</v>
      </c>
      <c r="E230" s="14">
        <v>46142</v>
      </c>
      <c r="F230" s="9" t="s">
        <v>155</v>
      </c>
      <c r="G230" s="9" t="s">
        <v>156</v>
      </c>
      <c r="H230" s="2" t="s">
        <v>218</v>
      </c>
      <c r="I230" s="2" t="s">
        <v>219</v>
      </c>
      <c r="J230" s="2">
        <v>10079023</v>
      </c>
      <c r="K230" s="2" t="s">
        <v>479</v>
      </c>
      <c r="L230" s="21">
        <v>166</v>
      </c>
      <c r="M230" s="21">
        <v>0</v>
      </c>
      <c r="N230" s="21">
        <v>0</v>
      </c>
      <c r="O230" s="21">
        <v>0</v>
      </c>
      <c r="R230" s="19">
        <v>0</v>
      </c>
      <c r="S230" s="12">
        <v>0</v>
      </c>
      <c r="T230" s="20">
        <v>0</v>
      </c>
      <c r="U230" s="12">
        <v>2988</v>
      </c>
      <c r="V230" s="12">
        <v>0</v>
      </c>
      <c r="W230" s="21">
        <v>166</v>
      </c>
      <c r="X230" s="19">
        <v>0</v>
      </c>
      <c r="Y230" s="22">
        <v>0</v>
      </c>
      <c r="Z230" s="9" t="s">
        <v>3</v>
      </c>
      <c r="AA230" s="23" t="s">
        <v>221</v>
      </c>
      <c r="AC230" s="4">
        <v>9578.2000000000007</v>
      </c>
      <c r="AD230" s="3">
        <v>46146</v>
      </c>
    </row>
    <row r="231" spans="1:30">
      <c r="A231" s="2" t="s">
        <v>480</v>
      </c>
      <c r="B231" s="9">
        <v>10</v>
      </c>
      <c r="C231" s="2" t="s">
        <v>192</v>
      </c>
      <c r="D231" s="2" t="s">
        <v>154</v>
      </c>
      <c r="E231" s="14">
        <v>46146</v>
      </c>
      <c r="F231" s="9" t="s">
        <v>155</v>
      </c>
      <c r="G231" s="9" t="s">
        <v>156</v>
      </c>
      <c r="H231" s="2" t="s">
        <v>314</v>
      </c>
      <c r="I231" s="2" t="s">
        <v>315</v>
      </c>
      <c r="J231" s="2">
        <v>10019704</v>
      </c>
      <c r="K231" s="2" t="s">
        <v>323</v>
      </c>
      <c r="L231" s="21">
        <v>5</v>
      </c>
      <c r="M231" s="21">
        <v>0</v>
      </c>
      <c r="N231" s="21">
        <v>0</v>
      </c>
      <c r="O231" s="21">
        <v>0</v>
      </c>
      <c r="R231" s="19">
        <v>0</v>
      </c>
      <c r="S231" s="12">
        <v>0</v>
      </c>
      <c r="T231" s="20">
        <v>0</v>
      </c>
      <c r="U231" s="12">
        <v>85.5</v>
      </c>
      <c r="V231" s="12">
        <v>0</v>
      </c>
      <c r="W231" s="21">
        <v>5</v>
      </c>
      <c r="X231" s="19">
        <v>12.5</v>
      </c>
      <c r="Y231" s="22">
        <v>0</v>
      </c>
      <c r="Z231" s="9" t="s">
        <v>3</v>
      </c>
      <c r="AA231" s="23" t="s">
        <v>317</v>
      </c>
      <c r="AC231" s="4">
        <v>352.75</v>
      </c>
      <c r="AD231" s="3">
        <v>46153</v>
      </c>
    </row>
    <row r="232" spans="1:30">
      <c r="A232" s="2" t="s">
        <v>481</v>
      </c>
      <c r="B232" s="9">
        <v>120</v>
      </c>
      <c r="C232" s="2" t="s">
        <v>153</v>
      </c>
      <c r="D232" s="2" t="s">
        <v>154</v>
      </c>
      <c r="E232" s="14">
        <v>46146</v>
      </c>
      <c r="F232" s="9" t="s">
        <v>155</v>
      </c>
      <c r="G232" s="9" t="s">
        <v>156</v>
      </c>
      <c r="H232" s="2" t="s">
        <v>482</v>
      </c>
      <c r="I232" s="2" t="s">
        <v>483</v>
      </c>
      <c r="J232" s="2">
        <v>10016401</v>
      </c>
      <c r="K232" s="2" t="s">
        <v>269</v>
      </c>
      <c r="L232" s="21">
        <v>12</v>
      </c>
      <c r="M232" s="21">
        <v>0</v>
      </c>
      <c r="N232" s="21">
        <v>0</v>
      </c>
      <c r="O232" s="21">
        <v>0</v>
      </c>
      <c r="R232" s="19">
        <v>0</v>
      </c>
      <c r="S232" s="12">
        <v>0</v>
      </c>
      <c r="T232" s="20">
        <v>0</v>
      </c>
      <c r="U232" s="12">
        <v>117.24</v>
      </c>
      <c r="V232" s="12">
        <v>0</v>
      </c>
      <c r="W232" s="21">
        <v>12</v>
      </c>
      <c r="X232" s="19">
        <v>0</v>
      </c>
      <c r="Y232" s="22">
        <v>0</v>
      </c>
      <c r="Z232" s="9" t="s">
        <v>3</v>
      </c>
      <c r="AA232" s="23" t="s">
        <v>484</v>
      </c>
      <c r="AC232" s="4">
        <v>308.39999999999998</v>
      </c>
      <c r="AD232" s="3">
        <v>46148</v>
      </c>
    </row>
    <row r="233" spans="1:30">
      <c r="A233" s="2" t="s">
        <v>485</v>
      </c>
      <c r="B233" s="9">
        <v>40</v>
      </c>
      <c r="C233" s="2" t="s">
        <v>153</v>
      </c>
      <c r="D233" s="2" t="s">
        <v>154</v>
      </c>
      <c r="E233" s="14">
        <v>46146</v>
      </c>
      <c r="F233" s="9" t="s">
        <v>155</v>
      </c>
      <c r="G233" s="9" t="s">
        <v>156</v>
      </c>
      <c r="H233" s="2" t="s">
        <v>212</v>
      </c>
      <c r="I233" s="2" t="s">
        <v>213</v>
      </c>
      <c r="J233" s="2">
        <v>10019706</v>
      </c>
      <c r="K233" s="2" t="s">
        <v>295</v>
      </c>
      <c r="L233" s="21">
        <v>10</v>
      </c>
      <c r="M233" s="21">
        <v>0</v>
      </c>
      <c r="N233" s="21">
        <v>0</v>
      </c>
      <c r="O233" s="21">
        <v>0</v>
      </c>
      <c r="R233" s="19">
        <v>0</v>
      </c>
      <c r="S233" s="12">
        <v>0</v>
      </c>
      <c r="T233" s="20">
        <v>0</v>
      </c>
      <c r="U233" s="12">
        <v>185.75</v>
      </c>
      <c r="V233" s="12">
        <v>0</v>
      </c>
      <c r="W233" s="21">
        <v>10</v>
      </c>
      <c r="X233" s="19">
        <v>25</v>
      </c>
      <c r="Y233" s="22">
        <v>0</v>
      </c>
      <c r="Z233" s="9" t="s">
        <v>3</v>
      </c>
      <c r="AA233" s="23" t="s">
        <v>215</v>
      </c>
      <c r="AC233" s="4">
        <v>763.5</v>
      </c>
      <c r="AD233" s="3">
        <v>46153</v>
      </c>
    </row>
    <row r="234" spans="1:30">
      <c r="A234" s="2" t="s">
        <v>485</v>
      </c>
      <c r="B234" s="9">
        <v>80</v>
      </c>
      <c r="C234" s="2" t="s">
        <v>153</v>
      </c>
      <c r="D234" s="2" t="s">
        <v>154</v>
      </c>
      <c r="E234" s="14">
        <v>46146</v>
      </c>
      <c r="F234" s="9" t="s">
        <v>155</v>
      </c>
      <c r="G234" s="9" t="s">
        <v>156</v>
      </c>
      <c r="H234" s="2" t="s">
        <v>212</v>
      </c>
      <c r="I234" s="2" t="s">
        <v>213</v>
      </c>
      <c r="J234" s="2">
        <v>10019648</v>
      </c>
      <c r="K234" s="2" t="s">
        <v>284</v>
      </c>
      <c r="L234" s="21">
        <v>18</v>
      </c>
      <c r="M234" s="21">
        <v>0</v>
      </c>
      <c r="N234" s="21">
        <v>0</v>
      </c>
      <c r="O234" s="21">
        <v>0</v>
      </c>
      <c r="R234" s="19">
        <v>0</v>
      </c>
      <c r="S234" s="12">
        <v>0</v>
      </c>
      <c r="T234" s="20">
        <v>0</v>
      </c>
      <c r="U234" s="12">
        <v>180</v>
      </c>
      <c r="V234" s="12">
        <v>0</v>
      </c>
      <c r="W234" s="21">
        <v>18</v>
      </c>
      <c r="X234" s="19">
        <v>0</v>
      </c>
      <c r="Y234" s="22">
        <v>0</v>
      </c>
      <c r="Z234" s="9" t="s">
        <v>3</v>
      </c>
      <c r="AA234" s="23" t="s">
        <v>215</v>
      </c>
      <c r="AC234" s="4">
        <v>764.64</v>
      </c>
      <c r="AD234" s="3">
        <v>46153</v>
      </c>
    </row>
    <row r="235" spans="1:30">
      <c r="A235" s="2" t="s">
        <v>485</v>
      </c>
      <c r="B235" s="9">
        <v>100</v>
      </c>
      <c r="C235" s="2" t="s">
        <v>153</v>
      </c>
      <c r="D235" s="2" t="s">
        <v>154</v>
      </c>
      <c r="E235" s="14">
        <v>46146</v>
      </c>
      <c r="F235" s="9" t="s">
        <v>155</v>
      </c>
      <c r="G235" s="9" t="s">
        <v>156</v>
      </c>
      <c r="H235" s="2" t="s">
        <v>212</v>
      </c>
      <c r="I235" s="2" t="s">
        <v>213</v>
      </c>
      <c r="J235" s="2">
        <v>10061008</v>
      </c>
      <c r="K235" s="2" t="s">
        <v>353</v>
      </c>
      <c r="L235" s="21">
        <v>4</v>
      </c>
      <c r="M235" s="21">
        <v>0</v>
      </c>
      <c r="N235" s="21">
        <v>0</v>
      </c>
      <c r="O235" s="21">
        <v>0</v>
      </c>
      <c r="R235" s="19">
        <v>0</v>
      </c>
      <c r="S235" s="12">
        <v>0</v>
      </c>
      <c r="T235" s="20">
        <v>0</v>
      </c>
      <c r="U235" s="12">
        <v>35.56</v>
      </c>
      <c r="V235" s="12">
        <v>0</v>
      </c>
      <c r="W235" s="21">
        <v>4</v>
      </c>
      <c r="X235" s="19">
        <v>0</v>
      </c>
      <c r="Y235" s="22">
        <v>0</v>
      </c>
      <c r="Z235" s="9" t="s">
        <v>3</v>
      </c>
      <c r="AA235" s="23" t="s">
        <v>215</v>
      </c>
      <c r="AC235" s="4">
        <v>102</v>
      </c>
      <c r="AD235" s="3">
        <v>46153</v>
      </c>
    </row>
    <row r="236" spans="1:30">
      <c r="A236" s="2" t="s">
        <v>486</v>
      </c>
      <c r="B236" s="9">
        <v>80</v>
      </c>
      <c r="C236" s="2" t="s">
        <v>175</v>
      </c>
      <c r="D236" s="2" t="s">
        <v>154</v>
      </c>
      <c r="E236" s="14">
        <v>46149</v>
      </c>
      <c r="F236" s="9" t="s">
        <v>155</v>
      </c>
      <c r="G236" s="9" t="s">
        <v>156</v>
      </c>
      <c r="H236" s="2" t="s">
        <v>224</v>
      </c>
      <c r="I236" s="2" t="s">
        <v>225</v>
      </c>
      <c r="J236" s="2">
        <v>10013105</v>
      </c>
      <c r="K236" s="2" t="s">
        <v>277</v>
      </c>
      <c r="L236" s="21">
        <v>10</v>
      </c>
      <c r="M236" s="21">
        <v>0</v>
      </c>
      <c r="N236" s="21">
        <v>0</v>
      </c>
      <c r="O236" s="21">
        <v>0</v>
      </c>
      <c r="R236" s="19">
        <v>0</v>
      </c>
      <c r="S236" s="12">
        <v>0</v>
      </c>
      <c r="T236" s="20">
        <v>0</v>
      </c>
      <c r="U236" s="12">
        <v>360</v>
      </c>
      <c r="V236" s="12">
        <v>0</v>
      </c>
      <c r="W236" s="21">
        <v>10</v>
      </c>
      <c r="X236" s="19">
        <v>60</v>
      </c>
      <c r="Y236" s="22">
        <v>0</v>
      </c>
      <c r="Z236" s="9" t="s">
        <v>6</v>
      </c>
      <c r="AA236" s="23" t="s">
        <v>227</v>
      </c>
      <c r="AC236" s="4">
        <v>1161</v>
      </c>
      <c r="AD236" s="3">
        <v>46150</v>
      </c>
    </row>
    <row r="237" spans="1:30">
      <c r="A237" s="2" t="s">
        <v>487</v>
      </c>
      <c r="B237" s="9">
        <v>40</v>
      </c>
      <c r="C237" s="2" t="s">
        <v>181</v>
      </c>
      <c r="D237" s="2" t="s">
        <v>154</v>
      </c>
      <c r="E237" s="14">
        <v>46150</v>
      </c>
      <c r="F237" s="9" t="s">
        <v>155</v>
      </c>
      <c r="G237" s="9" t="s">
        <v>156</v>
      </c>
      <c r="H237" s="2" t="s">
        <v>218</v>
      </c>
      <c r="I237" s="2" t="s">
        <v>219</v>
      </c>
      <c r="J237" s="2">
        <v>10019648</v>
      </c>
      <c r="K237" s="2" t="s">
        <v>284</v>
      </c>
      <c r="L237" s="21">
        <v>18</v>
      </c>
      <c r="M237" s="21">
        <v>0</v>
      </c>
      <c r="N237" s="21">
        <v>0</v>
      </c>
      <c r="O237" s="21">
        <v>0</v>
      </c>
      <c r="R237" s="19">
        <v>0</v>
      </c>
      <c r="S237" s="12">
        <v>0</v>
      </c>
      <c r="T237" s="20">
        <v>0</v>
      </c>
      <c r="U237" s="12">
        <v>72</v>
      </c>
      <c r="V237" s="12">
        <v>0</v>
      </c>
      <c r="W237" s="21">
        <v>18</v>
      </c>
      <c r="X237" s="19">
        <v>0</v>
      </c>
      <c r="Y237" s="22">
        <v>0</v>
      </c>
      <c r="Z237" s="9" t="s">
        <v>3</v>
      </c>
      <c r="AA237" s="23" t="s">
        <v>221</v>
      </c>
      <c r="AC237" s="4">
        <v>731.16</v>
      </c>
      <c r="AD237" s="3">
        <v>46155</v>
      </c>
    </row>
    <row r="238" spans="1:30">
      <c r="A238" s="2" t="s">
        <v>487</v>
      </c>
      <c r="B238" s="9">
        <v>70</v>
      </c>
      <c r="C238" s="2" t="s">
        <v>181</v>
      </c>
      <c r="D238" s="2" t="s">
        <v>154</v>
      </c>
      <c r="E238" s="14">
        <v>46150</v>
      </c>
      <c r="F238" s="9" t="s">
        <v>155</v>
      </c>
      <c r="G238" s="9" t="s">
        <v>156</v>
      </c>
      <c r="H238" s="2" t="s">
        <v>218</v>
      </c>
      <c r="I238" s="2" t="s">
        <v>219</v>
      </c>
      <c r="J238" s="2">
        <v>10061008</v>
      </c>
      <c r="K238" s="2" t="s">
        <v>353</v>
      </c>
      <c r="L238" s="21">
        <v>4</v>
      </c>
      <c r="M238" s="21">
        <v>0</v>
      </c>
      <c r="N238" s="21">
        <v>0</v>
      </c>
      <c r="O238" s="21">
        <v>0</v>
      </c>
      <c r="R238" s="19">
        <v>0</v>
      </c>
      <c r="S238" s="12">
        <v>0</v>
      </c>
      <c r="T238" s="20">
        <v>0</v>
      </c>
      <c r="U238" s="12">
        <v>28</v>
      </c>
      <c r="V238" s="12">
        <v>0</v>
      </c>
      <c r="W238" s="21">
        <v>4</v>
      </c>
      <c r="X238" s="19">
        <v>0</v>
      </c>
      <c r="Y238" s="22">
        <v>0</v>
      </c>
      <c r="Z238" s="9" t="s">
        <v>3</v>
      </c>
      <c r="AA238" s="23" t="s">
        <v>221</v>
      </c>
      <c r="AC238" s="4">
        <v>101.72</v>
      </c>
      <c r="AD238" s="3">
        <v>46155</v>
      </c>
    </row>
    <row r="239" spans="1:30">
      <c r="A239" s="2" t="s">
        <v>487</v>
      </c>
      <c r="B239" s="9">
        <v>210</v>
      </c>
      <c r="C239" s="2" t="s">
        <v>181</v>
      </c>
      <c r="D239" s="2" t="s">
        <v>154</v>
      </c>
      <c r="E239" s="14">
        <v>46150</v>
      </c>
      <c r="F239" s="9" t="s">
        <v>155</v>
      </c>
      <c r="G239" s="9" t="s">
        <v>156</v>
      </c>
      <c r="H239" s="2" t="s">
        <v>218</v>
      </c>
      <c r="I239" s="2" t="s">
        <v>219</v>
      </c>
      <c r="J239" s="2">
        <v>10020851</v>
      </c>
      <c r="K239" s="2" t="s">
        <v>253</v>
      </c>
      <c r="L239" s="21">
        <v>10</v>
      </c>
      <c r="M239" s="21">
        <v>0</v>
      </c>
      <c r="N239" s="21">
        <v>0</v>
      </c>
      <c r="O239" s="21">
        <v>0</v>
      </c>
      <c r="R239" s="19">
        <v>0</v>
      </c>
      <c r="S239" s="12">
        <v>0</v>
      </c>
      <c r="T239" s="20">
        <v>0</v>
      </c>
      <c r="U239" s="12">
        <v>70</v>
      </c>
      <c r="V239" s="12">
        <v>0</v>
      </c>
      <c r="W239" s="21">
        <v>10</v>
      </c>
      <c r="X239" s="19">
        <v>0</v>
      </c>
      <c r="Y239" s="22">
        <v>0</v>
      </c>
      <c r="Z239" s="9" t="s">
        <v>3</v>
      </c>
      <c r="AA239" s="23" t="s">
        <v>221</v>
      </c>
      <c r="AC239" s="4">
        <v>333.8</v>
      </c>
      <c r="AD239" s="3">
        <v>46155</v>
      </c>
    </row>
    <row r="240" spans="1:30">
      <c r="A240" s="2" t="s">
        <v>488</v>
      </c>
      <c r="B240" s="9">
        <v>10</v>
      </c>
      <c r="C240" s="2" t="s">
        <v>175</v>
      </c>
      <c r="D240" s="2" t="s">
        <v>154</v>
      </c>
      <c r="E240" s="14">
        <v>46161</v>
      </c>
      <c r="F240" s="9" t="s">
        <v>155</v>
      </c>
      <c r="G240" s="9" t="s">
        <v>156</v>
      </c>
      <c r="H240" s="2" t="s">
        <v>489</v>
      </c>
      <c r="I240" s="2" t="s">
        <v>490</v>
      </c>
      <c r="J240" s="2">
        <v>10013105</v>
      </c>
      <c r="K240" s="2" t="s">
        <v>277</v>
      </c>
      <c r="L240" s="21">
        <v>5</v>
      </c>
      <c r="M240" s="21">
        <v>0</v>
      </c>
      <c r="N240" s="21">
        <v>0</v>
      </c>
      <c r="O240" s="21">
        <v>0</v>
      </c>
      <c r="R240" s="19">
        <v>0</v>
      </c>
      <c r="S240" s="12">
        <v>0</v>
      </c>
      <c r="T240" s="20">
        <v>0</v>
      </c>
      <c r="U240" s="12">
        <v>322.5</v>
      </c>
      <c r="V240" s="12">
        <v>0</v>
      </c>
      <c r="W240" s="21">
        <v>5</v>
      </c>
      <c r="X240" s="19">
        <v>30</v>
      </c>
      <c r="Y240" s="22">
        <v>0</v>
      </c>
      <c r="Z240" s="9" t="s">
        <v>6</v>
      </c>
      <c r="AA240" s="23" t="s">
        <v>491</v>
      </c>
      <c r="AC240" s="4">
        <v>580.5</v>
      </c>
      <c r="AD240" s="3">
        <v>46163</v>
      </c>
    </row>
    <row r="241" spans="1:30">
      <c r="A241" s="2" t="s">
        <v>492</v>
      </c>
      <c r="B241" s="9">
        <v>50</v>
      </c>
      <c r="C241" s="2" t="s">
        <v>153</v>
      </c>
      <c r="D241" s="2" t="s">
        <v>154</v>
      </c>
      <c r="E241" s="14">
        <v>46167</v>
      </c>
      <c r="F241" s="9" t="s">
        <v>155</v>
      </c>
      <c r="G241" s="9" t="s">
        <v>156</v>
      </c>
      <c r="H241" s="2" t="s">
        <v>272</v>
      </c>
      <c r="I241" s="2" t="s">
        <v>273</v>
      </c>
      <c r="J241" s="2">
        <v>10061013</v>
      </c>
      <c r="K241" s="2" t="s">
        <v>370</v>
      </c>
      <c r="L241" s="21">
        <v>2</v>
      </c>
      <c r="M241" s="21">
        <v>0</v>
      </c>
      <c r="N241" s="21">
        <v>0</v>
      </c>
      <c r="O241" s="21">
        <v>0</v>
      </c>
      <c r="R241" s="19">
        <v>0</v>
      </c>
      <c r="S241" s="12">
        <v>0</v>
      </c>
      <c r="T241" s="20">
        <v>0</v>
      </c>
      <c r="U241" s="12">
        <v>17.78</v>
      </c>
      <c r="V241" s="12">
        <v>0</v>
      </c>
      <c r="W241" s="21">
        <v>2</v>
      </c>
      <c r="X241" s="19">
        <v>0</v>
      </c>
      <c r="Y241" s="22">
        <v>0</v>
      </c>
      <c r="Z241" s="9" t="s">
        <v>3</v>
      </c>
      <c r="AA241" s="23" t="s">
        <v>274</v>
      </c>
      <c r="AC241" s="4">
        <v>51.68</v>
      </c>
      <c r="AD241" s="3">
        <v>46169</v>
      </c>
    </row>
    <row r="242" spans="1:30">
      <c r="A242" s="2" t="s">
        <v>493</v>
      </c>
      <c r="B242" s="9">
        <v>80</v>
      </c>
      <c r="C242" s="2" t="s">
        <v>192</v>
      </c>
      <c r="D242" s="2" t="s">
        <v>154</v>
      </c>
      <c r="E242" s="14">
        <v>46167</v>
      </c>
      <c r="F242" s="9" t="s">
        <v>155</v>
      </c>
      <c r="G242" s="9" t="s">
        <v>156</v>
      </c>
      <c r="H242" s="2" t="s">
        <v>442</v>
      </c>
      <c r="I242" s="2" t="s">
        <v>443</v>
      </c>
      <c r="J242" s="2">
        <v>10052112</v>
      </c>
      <c r="K242" s="2" t="s">
        <v>494</v>
      </c>
      <c r="L242" s="21">
        <v>3</v>
      </c>
      <c r="M242" s="21">
        <v>0</v>
      </c>
      <c r="N242" s="21">
        <v>0</v>
      </c>
      <c r="O242" s="21">
        <v>0</v>
      </c>
      <c r="R242" s="19">
        <v>0</v>
      </c>
      <c r="S242" s="12">
        <v>0</v>
      </c>
      <c r="T242" s="20">
        <v>0</v>
      </c>
      <c r="U242" s="12">
        <v>55.68</v>
      </c>
      <c r="V242" s="12">
        <v>0</v>
      </c>
      <c r="W242" s="21">
        <v>3</v>
      </c>
      <c r="X242" s="19">
        <v>0</v>
      </c>
      <c r="Y242" s="22">
        <v>0</v>
      </c>
      <c r="Z242" s="9" t="s">
        <v>3</v>
      </c>
      <c r="AA242" s="23" t="s">
        <v>444</v>
      </c>
      <c r="AC242" s="4">
        <v>168.39</v>
      </c>
      <c r="AD242" s="3">
        <v>46175</v>
      </c>
    </row>
    <row r="243" spans="1:30">
      <c r="A243" s="2" t="s">
        <v>495</v>
      </c>
      <c r="B243" s="9">
        <v>80</v>
      </c>
      <c r="C243" s="2" t="s">
        <v>153</v>
      </c>
      <c r="D243" s="2" t="s">
        <v>154</v>
      </c>
      <c r="E243" s="14">
        <v>46167</v>
      </c>
      <c r="F243" s="9" t="s">
        <v>155</v>
      </c>
      <c r="G243" s="9" t="s">
        <v>156</v>
      </c>
      <c r="H243" s="2" t="s">
        <v>496</v>
      </c>
      <c r="I243" s="2" t="s">
        <v>497</v>
      </c>
      <c r="J243" s="2">
        <v>10019131</v>
      </c>
      <c r="K243" s="2" t="s">
        <v>415</v>
      </c>
      <c r="L243" s="21">
        <v>20</v>
      </c>
      <c r="M243" s="21">
        <v>0</v>
      </c>
      <c r="N243" s="21">
        <v>0</v>
      </c>
      <c r="O243" s="21">
        <v>0</v>
      </c>
      <c r="R243" s="19">
        <v>0</v>
      </c>
      <c r="S243" s="12">
        <v>0</v>
      </c>
      <c r="T243" s="20">
        <v>0</v>
      </c>
      <c r="U243" s="12">
        <v>76.599999999999994</v>
      </c>
      <c r="V243" s="12">
        <v>0</v>
      </c>
      <c r="W243" s="21">
        <v>20</v>
      </c>
      <c r="X243" s="19">
        <v>0</v>
      </c>
      <c r="Y243" s="22">
        <v>0</v>
      </c>
      <c r="Z243" s="9" t="s">
        <v>3</v>
      </c>
      <c r="AA243" s="23" t="s">
        <v>498</v>
      </c>
      <c r="AC243" s="4">
        <v>136.80000000000001</v>
      </c>
      <c r="AD243" s="3">
        <v>46170</v>
      </c>
    </row>
    <row r="244" spans="1:30">
      <c r="A244" s="2" t="s">
        <v>499</v>
      </c>
      <c r="B244" s="9">
        <v>80</v>
      </c>
      <c r="C244" s="2" t="s">
        <v>192</v>
      </c>
      <c r="D244" s="2" t="s">
        <v>154</v>
      </c>
      <c r="E244" s="14">
        <v>46167</v>
      </c>
      <c r="F244" s="9" t="s">
        <v>155</v>
      </c>
      <c r="G244" s="9" t="s">
        <v>156</v>
      </c>
      <c r="H244" s="2" t="s">
        <v>355</v>
      </c>
      <c r="I244" s="2" t="s">
        <v>356</v>
      </c>
      <c r="J244" s="2">
        <v>10052112</v>
      </c>
      <c r="K244" s="2" t="s">
        <v>494</v>
      </c>
      <c r="L244" s="21">
        <v>3</v>
      </c>
      <c r="M244" s="21">
        <v>0</v>
      </c>
      <c r="N244" s="21">
        <v>0</v>
      </c>
      <c r="O244" s="21">
        <v>0</v>
      </c>
      <c r="R244" s="19">
        <v>0</v>
      </c>
      <c r="S244" s="12">
        <v>0</v>
      </c>
      <c r="T244" s="20">
        <v>0</v>
      </c>
      <c r="U244" s="12">
        <v>55.68</v>
      </c>
      <c r="V244" s="12">
        <v>0</v>
      </c>
      <c r="W244" s="21">
        <v>3</v>
      </c>
      <c r="X244" s="19">
        <v>0</v>
      </c>
      <c r="Y244" s="22">
        <v>0</v>
      </c>
      <c r="Z244" s="9" t="s">
        <v>3</v>
      </c>
      <c r="AA244" s="23" t="s">
        <v>357</v>
      </c>
      <c r="AC244" s="4">
        <v>168.39</v>
      </c>
      <c r="AD244" s="3">
        <v>46171</v>
      </c>
    </row>
    <row r="245" spans="1:30">
      <c r="A245" s="2" t="s">
        <v>500</v>
      </c>
      <c r="B245" s="9">
        <v>60</v>
      </c>
      <c r="C245" s="2" t="s">
        <v>192</v>
      </c>
      <c r="D245" s="2" t="s">
        <v>154</v>
      </c>
      <c r="E245" s="14">
        <v>46167</v>
      </c>
      <c r="F245" s="9" t="s">
        <v>155</v>
      </c>
      <c r="G245" s="9" t="s">
        <v>156</v>
      </c>
      <c r="H245" s="2" t="s">
        <v>314</v>
      </c>
      <c r="I245" s="2" t="s">
        <v>315</v>
      </c>
      <c r="J245" s="2">
        <v>10061013</v>
      </c>
      <c r="K245" s="2" t="s">
        <v>370</v>
      </c>
      <c r="L245" s="21">
        <v>2</v>
      </c>
      <c r="M245" s="21">
        <v>0</v>
      </c>
      <c r="N245" s="21">
        <v>0</v>
      </c>
      <c r="O245" s="21">
        <v>0</v>
      </c>
      <c r="R245" s="19">
        <v>0</v>
      </c>
      <c r="S245" s="12">
        <v>0</v>
      </c>
      <c r="T245" s="20">
        <v>0</v>
      </c>
      <c r="U245" s="12">
        <v>17.78</v>
      </c>
      <c r="V245" s="12">
        <v>0</v>
      </c>
      <c r="W245" s="21">
        <v>2</v>
      </c>
      <c r="X245" s="19">
        <v>0</v>
      </c>
      <c r="Y245" s="22">
        <v>0</v>
      </c>
      <c r="Z245" s="9" t="s">
        <v>3</v>
      </c>
      <c r="AA245" s="23" t="s">
        <v>317</v>
      </c>
      <c r="AC245" s="4">
        <v>51.68</v>
      </c>
      <c r="AD245" s="3">
        <v>46171</v>
      </c>
    </row>
    <row r="246" spans="1:30">
      <c r="A246" s="2" t="s">
        <v>501</v>
      </c>
      <c r="B246" s="9">
        <v>80</v>
      </c>
      <c r="C246" s="2" t="s">
        <v>187</v>
      </c>
      <c r="D246" s="2" t="s">
        <v>154</v>
      </c>
      <c r="E246" s="14">
        <v>46167</v>
      </c>
      <c r="F246" s="9" t="s">
        <v>155</v>
      </c>
      <c r="G246" s="9" t="s">
        <v>156</v>
      </c>
      <c r="H246" s="2" t="s">
        <v>502</v>
      </c>
      <c r="I246" s="2" t="s">
        <v>503</v>
      </c>
      <c r="J246" s="2">
        <v>10019131</v>
      </c>
      <c r="K246" s="2" t="s">
        <v>415</v>
      </c>
      <c r="L246" s="21">
        <v>126</v>
      </c>
      <c r="M246" s="21">
        <v>0</v>
      </c>
      <c r="N246" s="21">
        <v>0</v>
      </c>
      <c r="O246" s="21">
        <v>0</v>
      </c>
      <c r="R246" s="19">
        <v>0</v>
      </c>
      <c r="S246" s="12">
        <v>0</v>
      </c>
      <c r="T246" s="20">
        <v>0</v>
      </c>
      <c r="U246" s="12">
        <v>482.58</v>
      </c>
      <c r="V246" s="12">
        <v>0</v>
      </c>
      <c r="W246" s="21">
        <v>126</v>
      </c>
      <c r="X246" s="19">
        <v>0</v>
      </c>
      <c r="Y246" s="22">
        <v>0</v>
      </c>
      <c r="Z246" s="9" t="s">
        <v>3</v>
      </c>
      <c r="AA246" s="23" t="s">
        <v>504</v>
      </c>
      <c r="AC246" s="4">
        <v>861.84</v>
      </c>
      <c r="AD246" s="3">
        <v>46170</v>
      </c>
    </row>
    <row r="247" spans="1:30">
      <c r="A247" s="2" t="s">
        <v>505</v>
      </c>
      <c r="B247" s="9">
        <v>30</v>
      </c>
      <c r="C247" s="2" t="s">
        <v>153</v>
      </c>
      <c r="D247" s="2" t="s">
        <v>154</v>
      </c>
      <c r="E247" s="14">
        <v>46168</v>
      </c>
      <c r="F247" s="9" t="s">
        <v>155</v>
      </c>
      <c r="G247" s="9" t="s">
        <v>156</v>
      </c>
      <c r="H247" s="2" t="s">
        <v>482</v>
      </c>
      <c r="I247" s="2" t="s">
        <v>483</v>
      </c>
      <c r="J247" s="2">
        <v>10061013</v>
      </c>
      <c r="K247" s="2" t="s">
        <v>370</v>
      </c>
      <c r="L247" s="21">
        <v>2</v>
      </c>
      <c r="M247" s="21">
        <v>0</v>
      </c>
      <c r="N247" s="21">
        <v>0</v>
      </c>
      <c r="O247" s="21">
        <v>0</v>
      </c>
      <c r="R247" s="19">
        <v>0</v>
      </c>
      <c r="S247" s="12">
        <v>0</v>
      </c>
      <c r="T247" s="20">
        <v>0</v>
      </c>
      <c r="U247" s="12">
        <v>17.78</v>
      </c>
      <c r="V247" s="12">
        <v>0</v>
      </c>
      <c r="W247" s="21">
        <v>2</v>
      </c>
      <c r="X247" s="19">
        <v>0</v>
      </c>
      <c r="Y247" s="22">
        <v>0</v>
      </c>
      <c r="Z247" s="9" t="s">
        <v>3</v>
      </c>
      <c r="AA247" s="23" t="s">
        <v>484</v>
      </c>
      <c r="AC247" s="4">
        <v>51.68</v>
      </c>
      <c r="AD247" s="3">
        <v>46170</v>
      </c>
    </row>
    <row r="248" spans="1:30">
      <c r="A248" s="2" t="s">
        <v>505</v>
      </c>
      <c r="B248" s="9">
        <v>60</v>
      </c>
      <c r="C248" s="2" t="s">
        <v>153</v>
      </c>
      <c r="D248" s="2" t="s">
        <v>154</v>
      </c>
      <c r="E248" s="14">
        <v>46168</v>
      </c>
      <c r="F248" s="9" t="s">
        <v>155</v>
      </c>
      <c r="G248" s="9" t="s">
        <v>156</v>
      </c>
      <c r="H248" s="2" t="s">
        <v>482</v>
      </c>
      <c r="I248" s="2" t="s">
        <v>483</v>
      </c>
      <c r="J248" s="2">
        <v>10052112</v>
      </c>
      <c r="K248" s="2" t="s">
        <v>494</v>
      </c>
      <c r="L248" s="21">
        <v>3</v>
      </c>
      <c r="M248" s="21">
        <v>0</v>
      </c>
      <c r="N248" s="21">
        <v>0</v>
      </c>
      <c r="O248" s="21">
        <v>0</v>
      </c>
      <c r="R248" s="19">
        <v>0</v>
      </c>
      <c r="S248" s="12">
        <v>0</v>
      </c>
      <c r="T248" s="20">
        <v>0</v>
      </c>
      <c r="U248" s="12">
        <v>55.68</v>
      </c>
      <c r="V248" s="12">
        <v>0</v>
      </c>
      <c r="W248" s="21">
        <v>3</v>
      </c>
      <c r="X248" s="19">
        <v>0</v>
      </c>
      <c r="Y248" s="22">
        <v>0</v>
      </c>
      <c r="Z248" s="9" t="s">
        <v>3</v>
      </c>
      <c r="AA248" s="23" t="s">
        <v>484</v>
      </c>
      <c r="AC248" s="4">
        <v>168.39</v>
      </c>
      <c r="AD248" s="3">
        <v>46170</v>
      </c>
    </row>
    <row r="249" spans="1:30">
      <c r="A249" s="2" t="s">
        <v>505</v>
      </c>
      <c r="B249" s="9">
        <v>150</v>
      </c>
      <c r="C249" s="2" t="s">
        <v>153</v>
      </c>
      <c r="D249" s="2" t="s">
        <v>154</v>
      </c>
      <c r="E249" s="14">
        <v>46168</v>
      </c>
      <c r="F249" s="9" t="s">
        <v>155</v>
      </c>
      <c r="G249" s="9" t="s">
        <v>156</v>
      </c>
      <c r="H249" s="2" t="s">
        <v>482</v>
      </c>
      <c r="I249" s="2" t="s">
        <v>483</v>
      </c>
      <c r="J249" s="2">
        <v>10058342</v>
      </c>
      <c r="K249" s="2" t="s">
        <v>428</v>
      </c>
      <c r="L249" s="21">
        <v>10</v>
      </c>
      <c r="M249" s="21">
        <v>0</v>
      </c>
      <c r="N249" s="21">
        <v>0</v>
      </c>
      <c r="O249" s="21">
        <v>0</v>
      </c>
      <c r="R249" s="19">
        <v>0</v>
      </c>
      <c r="S249" s="12">
        <v>0</v>
      </c>
      <c r="T249" s="20">
        <v>0</v>
      </c>
      <c r="U249" s="12">
        <v>73.5</v>
      </c>
      <c r="V249" s="12">
        <v>0</v>
      </c>
      <c r="W249" s="21">
        <v>10</v>
      </c>
      <c r="X249" s="19">
        <v>0</v>
      </c>
      <c r="Y249" s="22">
        <v>0</v>
      </c>
      <c r="Z249" s="9" t="s">
        <v>3</v>
      </c>
      <c r="AA249" s="23" t="s">
        <v>484</v>
      </c>
      <c r="AC249" s="4">
        <v>206.4</v>
      </c>
      <c r="AD249" s="3">
        <v>46170</v>
      </c>
    </row>
    <row r="250" spans="1:30">
      <c r="A250" s="2" t="s">
        <v>505</v>
      </c>
      <c r="B250" s="9">
        <v>260</v>
      </c>
      <c r="C250" s="2" t="s">
        <v>153</v>
      </c>
      <c r="D250" s="2" t="s">
        <v>154</v>
      </c>
      <c r="E250" s="14">
        <v>46168</v>
      </c>
      <c r="F250" s="9" t="s">
        <v>155</v>
      </c>
      <c r="G250" s="9" t="s">
        <v>156</v>
      </c>
      <c r="H250" s="2" t="s">
        <v>482</v>
      </c>
      <c r="I250" s="2" t="s">
        <v>483</v>
      </c>
      <c r="J250" s="2">
        <v>10019131</v>
      </c>
      <c r="K250" s="2" t="s">
        <v>415</v>
      </c>
      <c r="L250" s="21">
        <v>10</v>
      </c>
      <c r="M250" s="21">
        <v>0</v>
      </c>
      <c r="N250" s="21">
        <v>0</v>
      </c>
      <c r="O250" s="21">
        <v>0</v>
      </c>
      <c r="R250" s="19">
        <v>0</v>
      </c>
      <c r="S250" s="12">
        <v>0</v>
      </c>
      <c r="T250" s="20">
        <v>0</v>
      </c>
      <c r="U250" s="12">
        <v>38.299999999999997</v>
      </c>
      <c r="V250" s="12">
        <v>0</v>
      </c>
      <c r="W250" s="21">
        <v>10</v>
      </c>
      <c r="X250" s="19">
        <v>0</v>
      </c>
      <c r="Y250" s="22">
        <v>0</v>
      </c>
      <c r="Z250" s="9" t="s">
        <v>3</v>
      </c>
      <c r="AA250" s="23" t="s">
        <v>484</v>
      </c>
      <c r="AC250" s="4">
        <v>68.400000000000006</v>
      </c>
      <c r="AD250" s="3">
        <v>46170</v>
      </c>
    </row>
    <row r="251" spans="1:30">
      <c r="A251" s="2" t="s">
        <v>506</v>
      </c>
      <c r="B251" s="9">
        <v>50</v>
      </c>
      <c r="C251" s="2" t="s">
        <v>192</v>
      </c>
      <c r="D251" s="2" t="s">
        <v>154</v>
      </c>
      <c r="E251" s="14">
        <v>46174</v>
      </c>
      <c r="F251" s="9" t="s">
        <v>155</v>
      </c>
      <c r="G251" s="9" t="s">
        <v>156</v>
      </c>
      <c r="H251" s="2" t="s">
        <v>314</v>
      </c>
      <c r="I251" s="2" t="s">
        <v>315</v>
      </c>
      <c r="J251" s="2">
        <v>10100030</v>
      </c>
      <c r="K251" s="2" t="s">
        <v>312</v>
      </c>
      <c r="L251" s="21">
        <v>1</v>
      </c>
      <c r="M251" s="21">
        <v>0</v>
      </c>
      <c r="N251" s="21">
        <v>0</v>
      </c>
      <c r="O251" s="21">
        <v>0</v>
      </c>
      <c r="R251" s="19">
        <v>0</v>
      </c>
      <c r="S251" s="12">
        <v>0</v>
      </c>
      <c r="T251" s="20">
        <v>0</v>
      </c>
      <c r="U251" s="12">
        <v>12.23</v>
      </c>
      <c r="V251" s="12">
        <v>0</v>
      </c>
      <c r="W251" s="21">
        <v>1</v>
      </c>
      <c r="X251" s="19">
        <v>0</v>
      </c>
      <c r="Y251" s="22">
        <v>0</v>
      </c>
      <c r="Z251" s="9" t="s">
        <v>3</v>
      </c>
      <c r="AA251" s="23" t="s">
        <v>317</v>
      </c>
      <c r="AC251" s="4">
        <v>36.82</v>
      </c>
      <c r="AD251" s="3">
        <v>46176</v>
      </c>
    </row>
    <row r="252" spans="1:30">
      <c r="A252" s="2" t="s">
        <v>506</v>
      </c>
      <c r="B252" s="9">
        <v>70</v>
      </c>
      <c r="C252" s="2" t="s">
        <v>192</v>
      </c>
      <c r="D252" s="2" t="s">
        <v>154</v>
      </c>
      <c r="E252" s="14">
        <v>46174</v>
      </c>
      <c r="F252" s="9" t="s">
        <v>155</v>
      </c>
      <c r="G252" s="9" t="s">
        <v>156</v>
      </c>
      <c r="H252" s="2" t="s">
        <v>314</v>
      </c>
      <c r="I252" s="2" t="s">
        <v>315</v>
      </c>
      <c r="J252" s="2">
        <v>10100028</v>
      </c>
      <c r="K252" s="2" t="s">
        <v>310</v>
      </c>
      <c r="L252" s="21">
        <v>4</v>
      </c>
      <c r="M252" s="21">
        <v>0</v>
      </c>
      <c r="N252" s="21">
        <v>0</v>
      </c>
      <c r="O252" s="21">
        <v>0</v>
      </c>
      <c r="R252" s="19">
        <v>0</v>
      </c>
      <c r="S252" s="12">
        <v>0</v>
      </c>
      <c r="T252" s="20">
        <v>0</v>
      </c>
      <c r="U252" s="12">
        <v>51.2</v>
      </c>
      <c r="V252" s="12">
        <v>0</v>
      </c>
      <c r="W252" s="21">
        <v>4</v>
      </c>
      <c r="X252" s="19">
        <v>0</v>
      </c>
      <c r="Y252" s="22">
        <v>0</v>
      </c>
      <c r="Z252" s="9" t="s">
        <v>3</v>
      </c>
      <c r="AA252" s="23" t="s">
        <v>317</v>
      </c>
      <c r="AC252" s="4">
        <v>154.12</v>
      </c>
      <c r="AD252" s="3">
        <v>46176</v>
      </c>
    </row>
    <row r="253" spans="1:30">
      <c r="A253" s="2" t="s">
        <v>506</v>
      </c>
      <c r="B253" s="9">
        <v>120</v>
      </c>
      <c r="C253" s="2" t="s">
        <v>192</v>
      </c>
      <c r="D253" s="2" t="s">
        <v>154</v>
      </c>
      <c r="E253" s="14">
        <v>46174</v>
      </c>
      <c r="F253" s="9" t="s">
        <v>155</v>
      </c>
      <c r="G253" s="9" t="s">
        <v>156</v>
      </c>
      <c r="H253" s="2" t="s">
        <v>314</v>
      </c>
      <c r="I253" s="2" t="s">
        <v>315</v>
      </c>
      <c r="J253" s="2">
        <v>10029944</v>
      </c>
      <c r="K253" s="2" t="s">
        <v>507</v>
      </c>
      <c r="L253" s="21">
        <v>10</v>
      </c>
      <c r="M253" s="21">
        <v>0</v>
      </c>
      <c r="N253" s="21">
        <v>0</v>
      </c>
      <c r="O253" s="21">
        <v>0</v>
      </c>
      <c r="R253" s="19">
        <v>0</v>
      </c>
      <c r="S253" s="12">
        <v>0</v>
      </c>
      <c r="T253" s="20">
        <v>0</v>
      </c>
      <c r="U253" s="12">
        <v>136.19999999999999</v>
      </c>
      <c r="V253" s="12">
        <v>0</v>
      </c>
      <c r="W253" s="21">
        <v>10</v>
      </c>
      <c r="X253" s="19">
        <v>0</v>
      </c>
      <c r="Y253" s="22">
        <v>0</v>
      </c>
      <c r="Z253" s="9" t="s">
        <v>3</v>
      </c>
      <c r="AA253" s="23" t="s">
        <v>317</v>
      </c>
      <c r="AC253" s="4">
        <v>364.3</v>
      </c>
      <c r="AD253" s="3">
        <v>46176</v>
      </c>
    </row>
    <row r="254" spans="1:30">
      <c r="A254" s="2" t="s">
        <v>508</v>
      </c>
      <c r="B254" s="9">
        <v>110</v>
      </c>
      <c r="C254" s="2" t="s">
        <v>175</v>
      </c>
      <c r="D254" s="2" t="s">
        <v>154</v>
      </c>
      <c r="E254" s="14">
        <v>46174</v>
      </c>
      <c r="F254" s="9" t="s">
        <v>155</v>
      </c>
      <c r="G254" s="9" t="s">
        <v>156</v>
      </c>
      <c r="H254" s="2" t="s">
        <v>348</v>
      </c>
      <c r="I254" s="2" t="s">
        <v>349</v>
      </c>
      <c r="J254" s="2">
        <v>10066215</v>
      </c>
      <c r="K254" s="2" t="s">
        <v>350</v>
      </c>
      <c r="L254" s="21">
        <v>3</v>
      </c>
      <c r="M254" s="21">
        <v>0</v>
      </c>
      <c r="N254" s="21">
        <v>0</v>
      </c>
      <c r="O254" s="21">
        <v>0</v>
      </c>
      <c r="R254" s="19">
        <v>0</v>
      </c>
      <c r="S254" s="12">
        <v>0</v>
      </c>
      <c r="T254" s="20">
        <v>0</v>
      </c>
      <c r="U254" s="12">
        <v>19.98</v>
      </c>
      <c r="V254" s="12">
        <v>0</v>
      </c>
      <c r="W254" s="21">
        <v>3</v>
      </c>
      <c r="X254" s="19">
        <v>0</v>
      </c>
      <c r="Y254" s="22">
        <v>0</v>
      </c>
      <c r="Z254" s="9" t="s">
        <v>6</v>
      </c>
      <c r="AA254" s="23" t="s">
        <v>351</v>
      </c>
      <c r="AC254" s="4">
        <v>74.16</v>
      </c>
      <c r="AD254" s="3">
        <v>46177</v>
      </c>
    </row>
    <row r="255" spans="1:30">
      <c r="A255" s="2" t="s">
        <v>508</v>
      </c>
      <c r="B255" s="9">
        <v>170</v>
      </c>
      <c r="C255" s="2" t="s">
        <v>175</v>
      </c>
      <c r="D255" s="2" t="s">
        <v>154</v>
      </c>
      <c r="E255" s="14">
        <v>46174</v>
      </c>
      <c r="F255" s="9" t="s">
        <v>155</v>
      </c>
      <c r="G255" s="9" t="s">
        <v>156</v>
      </c>
      <c r="H255" s="2" t="s">
        <v>348</v>
      </c>
      <c r="I255" s="2" t="s">
        <v>349</v>
      </c>
      <c r="J255" s="2">
        <v>10019706</v>
      </c>
      <c r="K255" s="2" t="s">
        <v>295</v>
      </c>
      <c r="L255" s="21">
        <v>6</v>
      </c>
      <c r="M255" s="21">
        <v>0</v>
      </c>
      <c r="N255" s="21">
        <v>0</v>
      </c>
      <c r="O255" s="21">
        <v>0</v>
      </c>
      <c r="R255" s="19">
        <v>0</v>
      </c>
      <c r="S255" s="12">
        <v>0</v>
      </c>
      <c r="T255" s="20">
        <v>0</v>
      </c>
      <c r="U255" s="12">
        <v>111.3</v>
      </c>
      <c r="V255" s="12">
        <v>0</v>
      </c>
      <c r="W255" s="21">
        <v>6</v>
      </c>
      <c r="X255" s="19">
        <v>15</v>
      </c>
      <c r="Y255" s="22">
        <v>0</v>
      </c>
      <c r="Z255" s="9" t="s">
        <v>6</v>
      </c>
      <c r="AA255" s="23" t="s">
        <v>351</v>
      </c>
      <c r="AC255" s="4">
        <v>450.6</v>
      </c>
      <c r="AD255" s="3">
        <v>46177</v>
      </c>
    </row>
    <row r="256" spans="1:30">
      <c r="A256" s="2" t="s">
        <v>509</v>
      </c>
      <c r="B256" s="9">
        <v>20</v>
      </c>
      <c r="C256" s="2" t="s">
        <v>192</v>
      </c>
      <c r="D256" s="2" t="s">
        <v>154</v>
      </c>
      <c r="E256" s="14">
        <v>46175</v>
      </c>
      <c r="F256" s="9" t="s">
        <v>155</v>
      </c>
      <c r="G256" s="9" t="s">
        <v>156</v>
      </c>
      <c r="H256" s="2" t="s">
        <v>287</v>
      </c>
      <c r="I256" s="2" t="s">
        <v>288</v>
      </c>
      <c r="J256" s="2">
        <v>10100028</v>
      </c>
      <c r="K256" s="2" t="s">
        <v>310</v>
      </c>
      <c r="L256" s="21">
        <v>4</v>
      </c>
      <c r="M256" s="21">
        <v>0</v>
      </c>
      <c r="N256" s="21">
        <v>0</v>
      </c>
      <c r="O256" s="21">
        <v>0</v>
      </c>
      <c r="R256" s="19">
        <v>0</v>
      </c>
      <c r="S256" s="12">
        <v>0</v>
      </c>
      <c r="T256" s="20">
        <v>0</v>
      </c>
      <c r="U256" s="12">
        <v>51.2</v>
      </c>
      <c r="V256" s="12">
        <v>0</v>
      </c>
      <c r="W256" s="21">
        <v>4</v>
      </c>
      <c r="X256" s="19">
        <v>0</v>
      </c>
      <c r="Y256" s="22">
        <v>0</v>
      </c>
      <c r="Z256" s="9" t="s">
        <v>3</v>
      </c>
      <c r="AA256" s="23" t="s">
        <v>290</v>
      </c>
      <c r="AC256" s="4">
        <v>154.12</v>
      </c>
      <c r="AD256" s="3">
        <v>46183</v>
      </c>
    </row>
    <row r="257" spans="1:31">
      <c r="A257" s="2" t="s">
        <v>510</v>
      </c>
      <c r="B257" s="9">
        <v>10</v>
      </c>
      <c r="C257" s="2" t="s">
        <v>181</v>
      </c>
      <c r="D257" s="2" t="s">
        <v>154</v>
      </c>
      <c r="E257" s="14">
        <v>46175</v>
      </c>
      <c r="F257" s="9" t="s">
        <v>155</v>
      </c>
      <c r="G257" s="9" t="s">
        <v>156</v>
      </c>
      <c r="H257" s="2" t="s">
        <v>511</v>
      </c>
      <c r="I257" s="2" t="s">
        <v>512</v>
      </c>
      <c r="J257" s="2">
        <v>10100278</v>
      </c>
      <c r="K257" s="2" t="s">
        <v>513</v>
      </c>
      <c r="L257" s="21">
        <v>17</v>
      </c>
      <c r="M257" s="21">
        <v>17</v>
      </c>
      <c r="N257" s="21">
        <v>17</v>
      </c>
      <c r="O257" s="21">
        <v>0</v>
      </c>
      <c r="Q257" s="9" t="s">
        <v>514</v>
      </c>
      <c r="R257" s="19">
        <v>0</v>
      </c>
      <c r="S257" s="12">
        <v>0</v>
      </c>
      <c r="T257" s="20">
        <v>0</v>
      </c>
      <c r="U257" s="12">
        <v>142.80000000000001</v>
      </c>
      <c r="V257" s="12">
        <v>142.80000000000001</v>
      </c>
      <c r="W257" s="21">
        <v>17</v>
      </c>
      <c r="X257" s="19">
        <v>0</v>
      </c>
      <c r="Y257" s="22">
        <v>0</v>
      </c>
      <c r="Z257" s="9" t="s">
        <v>5</v>
      </c>
      <c r="AA257" s="23" t="s">
        <v>515</v>
      </c>
      <c r="AB257" s="3">
        <v>46295</v>
      </c>
      <c r="AC257" s="4">
        <v>721.14</v>
      </c>
      <c r="AD257" s="3">
        <v>46177</v>
      </c>
      <c r="AE257" s="3">
        <v>46177</v>
      </c>
    </row>
    <row r="258" spans="1:31">
      <c r="A258" s="2" t="s">
        <v>510</v>
      </c>
      <c r="B258" s="9">
        <v>20</v>
      </c>
      <c r="C258" s="2" t="s">
        <v>181</v>
      </c>
      <c r="D258" s="2" t="s">
        <v>154</v>
      </c>
      <c r="E258" s="14">
        <v>46175</v>
      </c>
      <c r="F258" s="9" t="s">
        <v>155</v>
      </c>
      <c r="G258" s="9" t="s">
        <v>156</v>
      </c>
      <c r="H258" s="2" t="s">
        <v>511</v>
      </c>
      <c r="I258" s="2" t="s">
        <v>512</v>
      </c>
      <c r="J258" s="2">
        <v>10100282</v>
      </c>
      <c r="K258" s="2" t="s">
        <v>516</v>
      </c>
      <c r="L258" s="21">
        <v>480</v>
      </c>
      <c r="M258" s="21">
        <v>480</v>
      </c>
      <c r="N258" s="21">
        <v>480</v>
      </c>
      <c r="O258" s="21">
        <v>0</v>
      </c>
      <c r="Q258" s="9" t="s">
        <v>514</v>
      </c>
      <c r="R258" s="19">
        <v>0</v>
      </c>
      <c r="S258" s="12">
        <v>0</v>
      </c>
      <c r="T258" s="20">
        <v>0</v>
      </c>
      <c r="U258" s="12">
        <v>4704</v>
      </c>
      <c r="V258" s="12">
        <v>4704</v>
      </c>
      <c r="W258" s="21">
        <v>480</v>
      </c>
      <c r="X258" s="19">
        <v>0</v>
      </c>
      <c r="Y258" s="22">
        <v>0</v>
      </c>
      <c r="Z258" s="9" t="s">
        <v>5</v>
      </c>
      <c r="AA258" s="23" t="s">
        <v>515</v>
      </c>
      <c r="AB258" s="3">
        <v>46308</v>
      </c>
      <c r="AC258" s="4">
        <v>46070.400000000001</v>
      </c>
      <c r="AD258" s="3">
        <v>46177</v>
      </c>
      <c r="AE258" s="3">
        <v>46177</v>
      </c>
    </row>
    <row r="259" spans="1:31">
      <c r="A259" s="2" t="s">
        <v>510</v>
      </c>
      <c r="B259" s="9">
        <v>30</v>
      </c>
      <c r="C259" s="2" t="s">
        <v>181</v>
      </c>
      <c r="D259" s="2" t="s">
        <v>154</v>
      </c>
      <c r="E259" s="14">
        <v>46175</v>
      </c>
      <c r="F259" s="9" t="s">
        <v>155</v>
      </c>
      <c r="G259" s="9" t="s">
        <v>156</v>
      </c>
      <c r="H259" s="2" t="s">
        <v>511</v>
      </c>
      <c r="I259" s="2" t="s">
        <v>512</v>
      </c>
      <c r="J259" s="2">
        <v>10100282</v>
      </c>
      <c r="K259" s="2" t="s">
        <v>516</v>
      </c>
      <c r="L259" s="21">
        <v>48</v>
      </c>
      <c r="M259" s="21">
        <v>48</v>
      </c>
      <c r="N259" s="21">
        <v>48</v>
      </c>
      <c r="O259" s="21">
        <v>0</v>
      </c>
      <c r="Q259" s="9" t="s">
        <v>514</v>
      </c>
      <c r="R259" s="19">
        <v>0</v>
      </c>
      <c r="S259" s="12">
        <v>0</v>
      </c>
      <c r="T259" s="20">
        <v>0</v>
      </c>
      <c r="U259" s="12">
        <v>470.4</v>
      </c>
      <c r="V259" s="12">
        <v>470.4</v>
      </c>
      <c r="W259" s="21">
        <v>48</v>
      </c>
      <c r="X259" s="19">
        <v>0</v>
      </c>
      <c r="Y259" s="22">
        <v>0</v>
      </c>
      <c r="Z259" s="9" t="s">
        <v>5</v>
      </c>
      <c r="AA259" s="23" t="s">
        <v>515</v>
      </c>
      <c r="AB259" s="3">
        <v>46296</v>
      </c>
      <c r="AC259" s="4">
        <v>4607.04</v>
      </c>
      <c r="AD259" s="3">
        <v>46177</v>
      </c>
      <c r="AE259" s="3">
        <v>46177</v>
      </c>
    </row>
    <row r="260" spans="1:31">
      <c r="A260" s="2" t="s">
        <v>510</v>
      </c>
      <c r="B260" s="9">
        <v>40</v>
      </c>
      <c r="C260" s="2" t="s">
        <v>181</v>
      </c>
      <c r="D260" s="2" t="s">
        <v>154</v>
      </c>
      <c r="E260" s="14">
        <v>46175</v>
      </c>
      <c r="F260" s="9" t="s">
        <v>155</v>
      </c>
      <c r="G260" s="9" t="s">
        <v>156</v>
      </c>
      <c r="H260" s="2" t="s">
        <v>511</v>
      </c>
      <c r="I260" s="2" t="s">
        <v>512</v>
      </c>
      <c r="J260" s="2">
        <v>10100282</v>
      </c>
      <c r="K260" s="2" t="s">
        <v>516</v>
      </c>
      <c r="L260" s="21">
        <v>24</v>
      </c>
      <c r="M260" s="21">
        <v>24</v>
      </c>
      <c r="N260" s="21">
        <v>24</v>
      </c>
      <c r="O260" s="21">
        <v>0</v>
      </c>
      <c r="Q260" s="9" t="s">
        <v>514</v>
      </c>
      <c r="R260" s="19">
        <v>0</v>
      </c>
      <c r="S260" s="12">
        <v>0</v>
      </c>
      <c r="T260" s="20">
        <v>0</v>
      </c>
      <c r="U260" s="12">
        <v>235.2</v>
      </c>
      <c r="V260" s="12">
        <v>235.2</v>
      </c>
      <c r="W260" s="21">
        <v>24</v>
      </c>
      <c r="X260" s="19">
        <v>0</v>
      </c>
      <c r="Y260" s="22">
        <v>0</v>
      </c>
      <c r="Z260" s="9" t="s">
        <v>5</v>
      </c>
      <c r="AA260" s="23" t="s">
        <v>515</v>
      </c>
      <c r="AB260" s="3">
        <v>46296</v>
      </c>
      <c r="AC260" s="4">
        <v>2303.52</v>
      </c>
      <c r="AD260" s="3">
        <v>46177</v>
      </c>
      <c r="AE260" s="3">
        <v>46177</v>
      </c>
    </row>
    <row r="261" spans="1:31">
      <c r="A261" s="2" t="s">
        <v>510</v>
      </c>
      <c r="B261" s="9">
        <v>50</v>
      </c>
      <c r="C261" s="2" t="s">
        <v>181</v>
      </c>
      <c r="D261" s="2" t="s">
        <v>154</v>
      </c>
      <c r="E261" s="14">
        <v>46175</v>
      </c>
      <c r="F261" s="9" t="s">
        <v>155</v>
      </c>
      <c r="G261" s="9" t="s">
        <v>156</v>
      </c>
      <c r="H261" s="2" t="s">
        <v>511</v>
      </c>
      <c r="I261" s="2" t="s">
        <v>512</v>
      </c>
      <c r="J261" s="2">
        <v>10100282</v>
      </c>
      <c r="K261" s="2" t="s">
        <v>516</v>
      </c>
      <c r="L261" s="21">
        <v>6</v>
      </c>
      <c r="M261" s="21">
        <v>6</v>
      </c>
      <c r="N261" s="21">
        <v>6</v>
      </c>
      <c r="O261" s="21">
        <v>0</v>
      </c>
      <c r="Q261" s="9" t="s">
        <v>514</v>
      </c>
      <c r="R261" s="19">
        <v>0</v>
      </c>
      <c r="S261" s="12">
        <v>0</v>
      </c>
      <c r="T261" s="20">
        <v>0</v>
      </c>
      <c r="U261" s="12">
        <v>58.8</v>
      </c>
      <c r="V261" s="12">
        <v>58.8</v>
      </c>
      <c r="W261" s="21">
        <v>6</v>
      </c>
      <c r="X261" s="19">
        <v>0</v>
      </c>
      <c r="Y261" s="22">
        <v>0</v>
      </c>
      <c r="Z261" s="9" t="s">
        <v>5</v>
      </c>
      <c r="AA261" s="23" t="s">
        <v>515</v>
      </c>
      <c r="AB261" s="3">
        <v>46296</v>
      </c>
      <c r="AC261" s="4">
        <v>575.88</v>
      </c>
      <c r="AD261" s="3">
        <v>46177</v>
      </c>
      <c r="AE261" s="3">
        <v>46177</v>
      </c>
    </row>
    <row r="262" spans="1:31">
      <c r="A262" s="2" t="s">
        <v>510</v>
      </c>
      <c r="B262" s="9">
        <v>60</v>
      </c>
      <c r="C262" s="2" t="s">
        <v>181</v>
      </c>
      <c r="D262" s="2" t="s">
        <v>154</v>
      </c>
      <c r="E262" s="14">
        <v>46175</v>
      </c>
      <c r="F262" s="9" t="s">
        <v>155</v>
      </c>
      <c r="G262" s="9" t="s">
        <v>156</v>
      </c>
      <c r="H262" s="2" t="s">
        <v>511</v>
      </c>
      <c r="I262" s="2" t="s">
        <v>512</v>
      </c>
      <c r="J262" s="2">
        <v>10100282</v>
      </c>
      <c r="K262" s="2" t="s">
        <v>516</v>
      </c>
      <c r="L262" s="21">
        <v>12</v>
      </c>
      <c r="M262" s="21">
        <v>12</v>
      </c>
      <c r="N262" s="21">
        <v>12</v>
      </c>
      <c r="O262" s="21">
        <v>0</v>
      </c>
      <c r="Q262" s="9" t="s">
        <v>514</v>
      </c>
      <c r="R262" s="19">
        <v>0</v>
      </c>
      <c r="S262" s="12">
        <v>0</v>
      </c>
      <c r="T262" s="20">
        <v>0</v>
      </c>
      <c r="U262" s="12">
        <v>117.6</v>
      </c>
      <c r="V262" s="12">
        <v>117.6</v>
      </c>
      <c r="W262" s="21">
        <v>12</v>
      </c>
      <c r="X262" s="19">
        <v>0</v>
      </c>
      <c r="Y262" s="22">
        <v>0</v>
      </c>
      <c r="Z262" s="9" t="s">
        <v>5</v>
      </c>
      <c r="AA262" s="23" t="s">
        <v>515</v>
      </c>
      <c r="AB262" s="3">
        <v>46296</v>
      </c>
      <c r="AC262" s="4">
        <v>1151.76</v>
      </c>
      <c r="AD262" s="3">
        <v>46177</v>
      </c>
      <c r="AE262" s="3">
        <v>46177</v>
      </c>
    </row>
    <row r="263" spans="1:31">
      <c r="A263" s="2" t="s">
        <v>517</v>
      </c>
      <c r="B263" s="9">
        <v>180</v>
      </c>
      <c r="C263" s="2" t="s">
        <v>175</v>
      </c>
      <c r="D263" s="2" t="s">
        <v>154</v>
      </c>
      <c r="E263" s="14">
        <v>46175</v>
      </c>
      <c r="F263" s="9" t="s">
        <v>155</v>
      </c>
      <c r="G263" s="9" t="s">
        <v>156</v>
      </c>
      <c r="H263" s="2" t="s">
        <v>224</v>
      </c>
      <c r="I263" s="2" t="s">
        <v>518</v>
      </c>
      <c r="J263" s="2">
        <v>10076520</v>
      </c>
      <c r="K263" s="2" t="s">
        <v>519</v>
      </c>
      <c r="L263" s="21">
        <v>24</v>
      </c>
      <c r="M263" s="21">
        <v>0</v>
      </c>
      <c r="N263" s="21">
        <v>0</v>
      </c>
      <c r="O263" s="21">
        <v>0</v>
      </c>
      <c r="R263" s="19">
        <v>0</v>
      </c>
      <c r="S263" s="12">
        <v>0</v>
      </c>
      <c r="T263" s="20">
        <v>0</v>
      </c>
      <c r="U263" s="12">
        <v>240</v>
      </c>
      <c r="V263" s="12">
        <v>0</v>
      </c>
      <c r="W263" s="21">
        <v>24</v>
      </c>
      <c r="X263" s="19">
        <v>0</v>
      </c>
      <c r="Y263" s="22">
        <v>0</v>
      </c>
      <c r="Z263" s="9" t="s">
        <v>6</v>
      </c>
      <c r="AA263" s="23" t="s">
        <v>520</v>
      </c>
      <c r="AC263" s="4">
        <v>1212.72</v>
      </c>
      <c r="AD263" s="3">
        <v>46177</v>
      </c>
    </row>
    <row r="264" spans="1:31">
      <c r="A264" s="2" t="s">
        <v>521</v>
      </c>
      <c r="B264" s="9">
        <v>10</v>
      </c>
      <c r="C264" s="2" t="s">
        <v>181</v>
      </c>
      <c r="D264" s="2" t="s">
        <v>154</v>
      </c>
      <c r="E264" s="14">
        <v>46178</v>
      </c>
      <c r="F264" s="9" t="s">
        <v>155</v>
      </c>
      <c r="G264" s="9" t="s">
        <v>156</v>
      </c>
      <c r="H264" s="2" t="s">
        <v>282</v>
      </c>
      <c r="I264" s="2" t="s">
        <v>183</v>
      </c>
      <c r="J264" s="2">
        <v>10042157</v>
      </c>
      <c r="K264" s="2" t="s">
        <v>522</v>
      </c>
      <c r="L264" s="21">
        <v>1</v>
      </c>
      <c r="M264" s="21">
        <v>0</v>
      </c>
      <c r="N264" s="21">
        <v>0</v>
      </c>
      <c r="O264" s="21">
        <v>0</v>
      </c>
      <c r="R264" s="19">
        <v>0</v>
      </c>
      <c r="S264" s="12">
        <v>0</v>
      </c>
      <c r="T264" s="20">
        <v>0</v>
      </c>
      <c r="U264" s="12">
        <v>5</v>
      </c>
      <c r="V264" s="12">
        <v>0</v>
      </c>
      <c r="W264" s="21">
        <v>1</v>
      </c>
      <c r="X264" s="19">
        <v>0</v>
      </c>
      <c r="Y264" s="22">
        <v>0</v>
      </c>
      <c r="Z264" s="9" t="s">
        <v>4</v>
      </c>
      <c r="AA264" s="23" t="s">
        <v>185</v>
      </c>
      <c r="AC264" s="4">
        <v>54.95</v>
      </c>
      <c r="AD264" s="3">
        <v>46183</v>
      </c>
    </row>
    <row r="265" spans="1:31">
      <c r="A265" s="2" t="s">
        <v>523</v>
      </c>
      <c r="B265" s="9">
        <v>30</v>
      </c>
      <c r="C265" s="2" t="s">
        <v>181</v>
      </c>
      <c r="D265" s="2" t="s">
        <v>154</v>
      </c>
      <c r="E265" s="14">
        <v>46195</v>
      </c>
      <c r="F265" s="9" t="s">
        <v>155</v>
      </c>
      <c r="G265" s="9" t="s">
        <v>156</v>
      </c>
      <c r="H265" s="2" t="s">
        <v>393</v>
      </c>
      <c r="I265" s="2" t="s">
        <v>394</v>
      </c>
      <c r="J265" s="2">
        <v>10029943</v>
      </c>
      <c r="K265" s="2" t="s">
        <v>524</v>
      </c>
      <c r="L265" s="21">
        <v>142</v>
      </c>
      <c r="M265" s="21">
        <v>0</v>
      </c>
      <c r="N265" s="21">
        <v>0</v>
      </c>
      <c r="O265" s="21">
        <v>0</v>
      </c>
      <c r="R265" s="19">
        <v>0</v>
      </c>
      <c r="S265" s="12">
        <v>0</v>
      </c>
      <c r="T265" s="20">
        <v>0</v>
      </c>
      <c r="U265" s="12">
        <v>1934.04</v>
      </c>
      <c r="V265" s="12">
        <v>0</v>
      </c>
      <c r="W265" s="21">
        <v>142</v>
      </c>
      <c r="X265" s="19">
        <v>0</v>
      </c>
      <c r="Y265" s="22">
        <v>0</v>
      </c>
      <c r="Z265" s="9" t="s">
        <v>3</v>
      </c>
      <c r="AA265" s="23" t="s">
        <v>396</v>
      </c>
      <c r="AC265" s="4">
        <v>5175.8999999999996</v>
      </c>
      <c r="AD265" s="3">
        <v>46198</v>
      </c>
    </row>
    <row r="266" spans="1:31">
      <c r="A266" s="2" t="s">
        <v>525</v>
      </c>
      <c r="B266" s="9">
        <v>70</v>
      </c>
      <c r="C266" s="2" t="s">
        <v>153</v>
      </c>
      <c r="D266" s="2" t="s">
        <v>154</v>
      </c>
      <c r="E266" s="14">
        <v>46195</v>
      </c>
      <c r="F266" s="9" t="s">
        <v>155</v>
      </c>
      <c r="G266" s="9" t="s">
        <v>156</v>
      </c>
      <c r="H266" s="2" t="s">
        <v>482</v>
      </c>
      <c r="I266" s="2" t="s">
        <v>483</v>
      </c>
      <c r="J266" s="2">
        <v>10029943</v>
      </c>
      <c r="K266" s="2" t="s">
        <v>524</v>
      </c>
      <c r="L266" s="21">
        <v>20</v>
      </c>
      <c r="M266" s="21">
        <v>0</v>
      </c>
      <c r="N266" s="21">
        <v>0</v>
      </c>
      <c r="O266" s="21">
        <v>0</v>
      </c>
      <c r="R266" s="19">
        <v>0</v>
      </c>
      <c r="S266" s="12">
        <v>0</v>
      </c>
      <c r="T266" s="20">
        <v>0</v>
      </c>
      <c r="U266" s="12">
        <v>272.39999999999998</v>
      </c>
      <c r="V266" s="12">
        <v>0</v>
      </c>
      <c r="W266" s="21">
        <v>20</v>
      </c>
      <c r="X266" s="19">
        <v>0</v>
      </c>
      <c r="Y266" s="22">
        <v>0</v>
      </c>
      <c r="Z266" s="9" t="s">
        <v>3</v>
      </c>
      <c r="AA266" s="23" t="s">
        <v>484</v>
      </c>
      <c r="AC266" s="4">
        <v>729</v>
      </c>
      <c r="AD266" s="3">
        <v>46197</v>
      </c>
    </row>
    <row r="267" spans="1:31">
      <c r="A267" s="2" t="s">
        <v>526</v>
      </c>
      <c r="B267" s="9">
        <v>30</v>
      </c>
      <c r="C267" s="2" t="s">
        <v>192</v>
      </c>
      <c r="D267" s="2" t="s">
        <v>154</v>
      </c>
      <c r="E267" s="14">
        <v>46195</v>
      </c>
      <c r="F267" s="9" t="s">
        <v>155</v>
      </c>
      <c r="G267" s="9" t="s">
        <v>156</v>
      </c>
      <c r="H267" s="2" t="s">
        <v>527</v>
      </c>
      <c r="I267" s="2" t="s">
        <v>528</v>
      </c>
      <c r="J267" s="2">
        <v>10016204</v>
      </c>
      <c r="K267" s="2" t="s">
        <v>279</v>
      </c>
      <c r="L267" s="21">
        <v>25</v>
      </c>
      <c r="M267" s="21">
        <v>0</v>
      </c>
      <c r="N267" s="21">
        <v>0</v>
      </c>
      <c r="O267" s="21">
        <v>0</v>
      </c>
      <c r="R267" s="19">
        <v>0</v>
      </c>
      <c r="S267" s="12">
        <v>0</v>
      </c>
      <c r="T267" s="20">
        <v>0</v>
      </c>
      <c r="U267" s="12">
        <v>523.5</v>
      </c>
      <c r="V267" s="12">
        <v>0</v>
      </c>
      <c r="W267" s="21">
        <v>25</v>
      </c>
      <c r="X267" s="19">
        <v>0</v>
      </c>
      <c r="Y267" s="22">
        <v>0</v>
      </c>
      <c r="Z267" s="9" t="s">
        <v>3</v>
      </c>
      <c r="AA267" s="23" t="s">
        <v>529</v>
      </c>
      <c r="AC267" s="4">
        <v>1084.25</v>
      </c>
      <c r="AD267" s="3">
        <v>46197</v>
      </c>
    </row>
    <row r="268" spans="1:31">
      <c r="A268" s="2" t="s">
        <v>530</v>
      </c>
      <c r="B268" s="9">
        <v>10</v>
      </c>
      <c r="C268" s="2" t="s">
        <v>192</v>
      </c>
      <c r="D268" s="2" t="s">
        <v>154</v>
      </c>
      <c r="E268" s="14">
        <v>46195</v>
      </c>
      <c r="F268" s="9" t="s">
        <v>155</v>
      </c>
      <c r="G268" s="9" t="s">
        <v>156</v>
      </c>
      <c r="H268" s="2" t="s">
        <v>314</v>
      </c>
      <c r="I268" s="2" t="s">
        <v>315</v>
      </c>
      <c r="J268" s="2">
        <v>10016044</v>
      </c>
      <c r="K268" s="2" t="s">
        <v>232</v>
      </c>
      <c r="L268" s="21">
        <v>10</v>
      </c>
      <c r="M268" s="21">
        <v>0</v>
      </c>
      <c r="N268" s="21">
        <v>0</v>
      </c>
      <c r="O268" s="21">
        <v>0</v>
      </c>
      <c r="R268" s="19">
        <v>0</v>
      </c>
      <c r="S268" s="12">
        <v>0</v>
      </c>
      <c r="T268" s="20">
        <v>0</v>
      </c>
      <c r="U268" s="12">
        <v>159.6</v>
      </c>
      <c r="V268" s="12">
        <v>0</v>
      </c>
      <c r="W268" s="21">
        <v>10</v>
      </c>
      <c r="X268" s="19">
        <v>0</v>
      </c>
      <c r="Y268" s="22">
        <v>0</v>
      </c>
      <c r="Z268" s="9" t="s">
        <v>3</v>
      </c>
      <c r="AA268" s="23" t="s">
        <v>317</v>
      </c>
      <c r="AC268" s="4">
        <v>327.9</v>
      </c>
      <c r="AD268" s="3">
        <v>46197</v>
      </c>
    </row>
    <row r="269" spans="1:31">
      <c r="A269" s="2" t="s">
        <v>530</v>
      </c>
      <c r="B269" s="9">
        <v>20</v>
      </c>
      <c r="C269" s="2" t="s">
        <v>192</v>
      </c>
      <c r="D269" s="2" t="s">
        <v>154</v>
      </c>
      <c r="E269" s="14">
        <v>46195</v>
      </c>
      <c r="F269" s="9" t="s">
        <v>155</v>
      </c>
      <c r="G269" s="9" t="s">
        <v>156</v>
      </c>
      <c r="H269" s="2" t="s">
        <v>314</v>
      </c>
      <c r="I269" s="2" t="s">
        <v>315</v>
      </c>
      <c r="J269" s="2">
        <v>10013128</v>
      </c>
      <c r="K269" s="2" t="s">
        <v>248</v>
      </c>
      <c r="L269" s="21">
        <v>20</v>
      </c>
      <c r="M269" s="21">
        <v>0</v>
      </c>
      <c r="N269" s="21">
        <v>0</v>
      </c>
      <c r="O269" s="21">
        <v>0</v>
      </c>
      <c r="R269" s="19">
        <v>0</v>
      </c>
      <c r="S269" s="12">
        <v>0</v>
      </c>
      <c r="T269" s="20">
        <v>0</v>
      </c>
      <c r="U269" s="12">
        <v>304</v>
      </c>
      <c r="V269" s="12">
        <v>0</v>
      </c>
      <c r="W269" s="21">
        <v>20</v>
      </c>
      <c r="X269" s="19">
        <v>0</v>
      </c>
      <c r="Y269" s="22">
        <v>0</v>
      </c>
      <c r="Z269" s="9" t="s">
        <v>3</v>
      </c>
      <c r="AA269" s="23" t="s">
        <v>317</v>
      </c>
      <c r="AC269" s="4">
        <v>597.20000000000005</v>
      </c>
      <c r="AD269" s="3">
        <v>46197</v>
      </c>
    </row>
    <row r="270" spans="1:31">
      <c r="A270" s="2" t="s">
        <v>530</v>
      </c>
      <c r="B270" s="9">
        <v>40</v>
      </c>
      <c r="C270" s="2" t="s">
        <v>192</v>
      </c>
      <c r="D270" s="2" t="s">
        <v>154</v>
      </c>
      <c r="E270" s="14">
        <v>46195</v>
      </c>
      <c r="F270" s="9" t="s">
        <v>155</v>
      </c>
      <c r="G270" s="9" t="s">
        <v>156</v>
      </c>
      <c r="H270" s="2" t="s">
        <v>314</v>
      </c>
      <c r="I270" s="2" t="s">
        <v>315</v>
      </c>
      <c r="J270" s="2">
        <v>10016204</v>
      </c>
      <c r="K270" s="2" t="s">
        <v>279</v>
      </c>
      <c r="L270" s="21">
        <v>10</v>
      </c>
      <c r="M270" s="21">
        <v>0</v>
      </c>
      <c r="N270" s="21">
        <v>0</v>
      </c>
      <c r="O270" s="21">
        <v>0</v>
      </c>
      <c r="R270" s="19">
        <v>0</v>
      </c>
      <c r="S270" s="12">
        <v>0</v>
      </c>
      <c r="T270" s="20">
        <v>0</v>
      </c>
      <c r="U270" s="12">
        <v>209.4</v>
      </c>
      <c r="V270" s="12">
        <v>0</v>
      </c>
      <c r="W270" s="21">
        <v>10</v>
      </c>
      <c r="X270" s="19">
        <v>0</v>
      </c>
      <c r="Y270" s="22">
        <v>0</v>
      </c>
      <c r="Z270" s="9" t="s">
        <v>3</v>
      </c>
      <c r="AA270" s="23" t="s">
        <v>317</v>
      </c>
      <c r="AC270" s="4">
        <v>433.7</v>
      </c>
      <c r="AD270" s="3">
        <v>46197</v>
      </c>
    </row>
    <row r="271" spans="1:31">
      <c r="A271" s="2" t="s">
        <v>530</v>
      </c>
      <c r="B271" s="9">
        <v>50</v>
      </c>
      <c r="C271" s="2" t="s">
        <v>192</v>
      </c>
      <c r="D271" s="2" t="s">
        <v>154</v>
      </c>
      <c r="E271" s="14">
        <v>46195</v>
      </c>
      <c r="F271" s="9" t="s">
        <v>155</v>
      </c>
      <c r="G271" s="9" t="s">
        <v>156</v>
      </c>
      <c r="H271" s="2" t="s">
        <v>314</v>
      </c>
      <c r="I271" s="2" t="s">
        <v>315</v>
      </c>
      <c r="J271" s="2">
        <v>10029943</v>
      </c>
      <c r="K271" s="2" t="s">
        <v>524</v>
      </c>
      <c r="L271" s="21">
        <v>15</v>
      </c>
      <c r="M271" s="21">
        <v>0</v>
      </c>
      <c r="N271" s="21">
        <v>0</v>
      </c>
      <c r="O271" s="21">
        <v>0</v>
      </c>
      <c r="R271" s="19">
        <v>0</v>
      </c>
      <c r="S271" s="12">
        <v>0</v>
      </c>
      <c r="T271" s="20">
        <v>0</v>
      </c>
      <c r="U271" s="12">
        <v>204.3</v>
      </c>
      <c r="V271" s="12">
        <v>0</v>
      </c>
      <c r="W271" s="21">
        <v>15</v>
      </c>
      <c r="X271" s="19">
        <v>0</v>
      </c>
      <c r="Y271" s="22">
        <v>0</v>
      </c>
      <c r="Z271" s="9" t="s">
        <v>3</v>
      </c>
      <c r="AA271" s="23" t="s">
        <v>317</v>
      </c>
      <c r="AC271" s="4">
        <v>546.75</v>
      </c>
      <c r="AD271" s="3">
        <v>46197</v>
      </c>
    </row>
    <row r="272" spans="1:31">
      <c r="A272" s="2" t="s">
        <v>531</v>
      </c>
      <c r="B272" s="9">
        <v>190</v>
      </c>
      <c r="C272" s="2" t="s">
        <v>175</v>
      </c>
      <c r="D272" s="2" t="s">
        <v>154</v>
      </c>
      <c r="E272" s="14">
        <v>46196</v>
      </c>
      <c r="F272" s="9" t="s">
        <v>155</v>
      </c>
      <c r="G272" s="9" t="s">
        <v>156</v>
      </c>
      <c r="H272" s="2" t="s">
        <v>224</v>
      </c>
      <c r="I272" s="2" t="s">
        <v>225</v>
      </c>
      <c r="J272" s="2">
        <v>10016204</v>
      </c>
      <c r="K272" s="2" t="s">
        <v>279</v>
      </c>
      <c r="L272" s="21">
        <v>5</v>
      </c>
      <c r="M272" s="21">
        <v>0</v>
      </c>
      <c r="N272" s="21">
        <v>0</v>
      </c>
      <c r="O272" s="21">
        <v>0</v>
      </c>
      <c r="R272" s="19">
        <v>0</v>
      </c>
      <c r="S272" s="12">
        <v>0</v>
      </c>
      <c r="T272" s="20">
        <v>0</v>
      </c>
      <c r="U272" s="12">
        <v>55</v>
      </c>
      <c r="V272" s="12">
        <v>0</v>
      </c>
      <c r="W272" s="21">
        <v>5</v>
      </c>
      <c r="X272" s="19">
        <v>0</v>
      </c>
      <c r="Y272" s="22">
        <v>0</v>
      </c>
      <c r="Z272" s="9" t="s">
        <v>4</v>
      </c>
      <c r="AA272" s="23" t="s">
        <v>227</v>
      </c>
      <c r="AC272" s="4">
        <v>222.55</v>
      </c>
      <c r="AD272" s="3">
        <v>46199</v>
      </c>
    </row>
    <row r="273" spans="1:30">
      <c r="A273" s="2" t="s">
        <v>532</v>
      </c>
      <c r="B273" s="9">
        <v>40</v>
      </c>
      <c r="C273" s="2" t="s">
        <v>192</v>
      </c>
      <c r="D273" s="2" t="s">
        <v>154</v>
      </c>
      <c r="E273" s="14">
        <v>46197</v>
      </c>
      <c r="F273" s="9" t="s">
        <v>155</v>
      </c>
      <c r="G273" s="9" t="s">
        <v>156</v>
      </c>
      <c r="H273" s="2" t="s">
        <v>355</v>
      </c>
      <c r="I273" s="2" t="s">
        <v>356</v>
      </c>
      <c r="J273" s="2">
        <v>10016204</v>
      </c>
      <c r="K273" s="2" t="s">
        <v>279</v>
      </c>
      <c r="L273" s="21">
        <v>10</v>
      </c>
      <c r="M273" s="21">
        <v>0</v>
      </c>
      <c r="N273" s="21">
        <v>0</v>
      </c>
      <c r="O273" s="21">
        <v>0</v>
      </c>
      <c r="R273" s="19">
        <v>0</v>
      </c>
      <c r="S273" s="12">
        <v>0</v>
      </c>
      <c r="T273" s="20">
        <v>0</v>
      </c>
      <c r="U273" s="12">
        <v>209.4</v>
      </c>
      <c r="V273" s="12">
        <v>0</v>
      </c>
      <c r="W273" s="21">
        <v>10</v>
      </c>
      <c r="X273" s="19">
        <v>0</v>
      </c>
      <c r="Y273" s="22">
        <v>0</v>
      </c>
      <c r="Z273" s="9" t="s">
        <v>3</v>
      </c>
      <c r="AA273" s="23" t="s">
        <v>357</v>
      </c>
      <c r="AC273" s="4">
        <v>433.9</v>
      </c>
      <c r="AD273" s="3">
        <v>46202</v>
      </c>
    </row>
    <row r="274" spans="1:30">
      <c r="A274" s="2" t="s">
        <v>533</v>
      </c>
      <c r="B274" s="9">
        <v>60</v>
      </c>
      <c r="C274" s="2" t="s">
        <v>181</v>
      </c>
      <c r="D274" s="2" t="s">
        <v>154</v>
      </c>
      <c r="E274" s="14">
        <v>46198</v>
      </c>
      <c r="F274" s="9" t="s">
        <v>155</v>
      </c>
      <c r="G274" s="9" t="s">
        <v>156</v>
      </c>
      <c r="H274" s="2" t="s">
        <v>218</v>
      </c>
      <c r="I274" s="2" t="s">
        <v>219</v>
      </c>
      <c r="J274" s="2">
        <v>10016204</v>
      </c>
      <c r="K274" s="2" t="s">
        <v>279</v>
      </c>
      <c r="L274" s="21">
        <v>100</v>
      </c>
      <c r="M274" s="21">
        <v>0</v>
      </c>
      <c r="N274" s="21">
        <v>0</v>
      </c>
      <c r="O274" s="21">
        <v>0</v>
      </c>
      <c r="R274" s="19">
        <v>0</v>
      </c>
      <c r="S274" s="12">
        <v>0</v>
      </c>
      <c r="T274" s="20">
        <v>0</v>
      </c>
      <c r="U274" s="12">
        <v>800</v>
      </c>
      <c r="V274" s="12">
        <v>0</v>
      </c>
      <c r="W274" s="21">
        <v>100</v>
      </c>
      <c r="X274" s="19">
        <v>0</v>
      </c>
      <c r="Y274" s="22">
        <v>0</v>
      </c>
      <c r="Z274" s="9" t="s">
        <v>3</v>
      </c>
      <c r="AA274" s="23" t="s">
        <v>221</v>
      </c>
      <c r="AC274" s="4">
        <v>4339</v>
      </c>
      <c r="AD274" s="3">
        <v>46199</v>
      </c>
    </row>
    <row r="275" spans="1:30">
      <c r="A275" s="2" t="s">
        <v>533</v>
      </c>
      <c r="B275" s="9">
        <v>80</v>
      </c>
      <c r="C275" s="2" t="s">
        <v>181</v>
      </c>
      <c r="D275" s="2" t="s">
        <v>154</v>
      </c>
      <c r="E275" s="14">
        <v>46198</v>
      </c>
      <c r="F275" s="9" t="s">
        <v>155</v>
      </c>
      <c r="G275" s="9" t="s">
        <v>156</v>
      </c>
      <c r="H275" s="2" t="s">
        <v>218</v>
      </c>
      <c r="I275" s="2" t="s">
        <v>219</v>
      </c>
      <c r="J275" s="2">
        <v>10029943</v>
      </c>
      <c r="K275" s="2" t="s">
        <v>524</v>
      </c>
      <c r="L275" s="21">
        <v>142</v>
      </c>
      <c r="M275" s="21">
        <v>0</v>
      </c>
      <c r="N275" s="21">
        <v>0</v>
      </c>
      <c r="O275" s="21">
        <v>0</v>
      </c>
      <c r="R275" s="19">
        <v>0</v>
      </c>
      <c r="S275" s="12">
        <v>0</v>
      </c>
      <c r="T275" s="20">
        <v>0</v>
      </c>
      <c r="U275" s="12">
        <v>426</v>
      </c>
      <c r="V275" s="12">
        <v>0</v>
      </c>
      <c r="W275" s="21">
        <v>142</v>
      </c>
      <c r="X275" s="19">
        <v>0</v>
      </c>
      <c r="Y275" s="22">
        <v>0</v>
      </c>
      <c r="Z275" s="9" t="s">
        <v>3</v>
      </c>
      <c r="AA275" s="23" t="s">
        <v>221</v>
      </c>
      <c r="AC275" s="4">
        <v>5175.8999999999996</v>
      </c>
      <c r="AD275" s="3">
        <v>46199</v>
      </c>
    </row>
    <row r="276" spans="1:30">
      <c r="A276" s="2" t="s">
        <v>534</v>
      </c>
      <c r="B276" s="9">
        <v>30</v>
      </c>
      <c r="C276" s="2" t="s">
        <v>192</v>
      </c>
      <c r="D276" s="2" t="s">
        <v>154</v>
      </c>
      <c r="E276" s="14">
        <v>46202</v>
      </c>
      <c r="F276" s="9" t="s">
        <v>155</v>
      </c>
      <c r="G276" s="9" t="s">
        <v>156</v>
      </c>
      <c r="H276" s="2" t="s">
        <v>442</v>
      </c>
      <c r="I276" s="2" t="s">
        <v>443</v>
      </c>
      <c r="J276" s="2">
        <v>10052112</v>
      </c>
      <c r="K276" s="2" t="s">
        <v>494</v>
      </c>
      <c r="L276" s="21">
        <v>19</v>
      </c>
      <c r="M276" s="21">
        <v>0</v>
      </c>
      <c r="N276" s="21">
        <v>0</v>
      </c>
      <c r="O276" s="21">
        <v>0</v>
      </c>
      <c r="R276" s="19">
        <v>0</v>
      </c>
      <c r="S276" s="12">
        <v>0</v>
      </c>
      <c r="T276" s="20">
        <v>0</v>
      </c>
      <c r="U276" s="12">
        <v>352.64</v>
      </c>
      <c r="V276" s="12">
        <v>0</v>
      </c>
      <c r="W276" s="21">
        <v>19</v>
      </c>
      <c r="X276" s="19">
        <v>0</v>
      </c>
      <c r="Y276" s="22">
        <v>0</v>
      </c>
      <c r="Z276" s="9" t="s">
        <v>3</v>
      </c>
      <c r="AA276" s="23" t="s">
        <v>444</v>
      </c>
      <c r="AC276" s="4">
        <v>1074.26</v>
      </c>
      <c r="AD276" s="3">
        <v>46206</v>
      </c>
    </row>
    <row r="277" spans="1:30">
      <c r="A277" s="2" t="s">
        <v>535</v>
      </c>
      <c r="B277" s="9">
        <v>140</v>
      </c>
      <c r="C277" s="2" t="s">
        <v>153</v>
      </c>
      <c r="D277" s="2" t="s">
        <v>154</v>
      </c>
      <c r="E277" s="14">
        <v>46202</v>
      </c>
      <c r="F277" s="9" t="s">
        <v>155</v>
      </c>
      <c r="G277" s="9" t="s">
        <v>156</v>
      </c>
      <c r="H277" s="2" t="s">
        <v>482</v>
      </c>
      <c r="I277" s="2" t="s">
        <v>483</v>
      </c>
      <c r="J277" s="2">
        <v>10052112</v>
      </c>
      <c r="K277" s="2" t="s">
        <v>494</v>
      </c>
      <c r="L277" s="21">
        <v>19</v>
      </c>
      <c r="M277" s="21">
        <v>0</v>
      </c>
      <c r="N277" s="21">
        <v>0</v>
      </c>
      <c r="O277" s="21">
        <v>0</v>
      </c>
      <c r="R277" s="19">
        <v>0</v>
      </c>
      <c r="S277" s="12">
        <v>0</v>
      </c>
      <c r="T277" s="20">
        <v>0</v>
      </c>
      <c r="U277" s="12">
        <v>352.64</v>
      </c>
      <c r="V277" s="12">
        <v>0</v>
      </c>
      <c r="W277" s="21">
        <v>19</v>
      </c>
      <c r="X277" s="19">
        <v>0</v>
      </c>
      <c r="Y277" s="22">
        <v>0</v>
      </c>
      <c r="Z277" s="9" t="s">
        <v>3</v>
      </c>
      <c r="AA277" s="23" t="s">
        <v>484</v>
      </c>
      <c r="AC277" s="4">
        <v>1074.26</v>
      </c>
      <c r="AD277" s="3">
        <v>46206</v>
      </c>
    </row>
    <row r="278" spans="1:30">
      <c r="A278" s="2" t="s">
        <v>536</v>
      </c>
      <c r="B278" s="9">
        <v>20</v>
      </c>
      <c r="C278" s="2" t="s">
        <v>153</v>
      </c>
      <c r="D278" s="2" t="s">
        <v>154</v>
      </c>
      <c r="E278" s="14">
        <v>46202</v>
      </c>
      <c r="F278" s="9" t="s">
        <v>155</v>
      </c>
      <c r="G278" s="9" t="s">
        <v>156</v>
      </c>
      <c r="H278" s="2" t="s">
        <v>496</v>
      </c>
      <c r="I278" s="2" t="s">
        <v>497</v>
      </c>
      <c r="J278" s="2">
        <v>10054147</v>
      </c>
      <c r="K278" s="2" t="s">
        <v>537</v>
      </c>
      <c r="L278" s="21">
        <v>15</v>
      </c>
      <c r="M278" s="21">
        <v>0</v>
      </c>
      <c r="N278" s="21">
        <v>0</v>
      </c>
      <c r="O278" s="21">
        <v>0</v>
      </c>
      <c r="R278" s="19">
        <v>0</v>
      </c>
      <c r="S278" s="12">
        <v>0</v>
      </c>
      <c r="T278" s="20">
        <v>0</v>
      </c>
      <c r="U278" s="12">
        <v>265.05</v>
      </c>
      <c r="V278" s="12">
        <v>0</v>
      </c>
      <c r="W278" s="21">
        <v>15</v>
      </c>
      <c r="X278" s="19">
        <v>0</v>
      </c>
      <c r="Y278" s="22">
        <v>0</v>
      </c>
      <c r="Z278" s="9" t="s">
        <v>3</v>
      </c>
      <c r="AA278" s="23" t="s">
        <v>498</v>
      </c>
      <c r="AC278" s="4">
        <v>155.25</v>
      </c>
      <c r="AD278" s="3">
        <v>46206</v>
      </c>
    </row>
    <row r="279" spans="1:30">
      <c r="A279" s="2" t="s">
        <v>538</v>
      </c>
      <c r="B279" s="9">
        <v>50</v>
      </c>
      <c r="C279" s="2" t="s">
        <v>153</v>
      </c>
      <c r="D279" s="2" t="s">
        <v>154</v>
      </c>
      <c r="E279" s="14">
        <v>46202</v>
      </c>
      <c r="F279" s="9" t="s">
        <v>155</v>
      </c>
      <c r="G279" s="9" t="s">
        <v>156</v>
      </c>
      <c r="H279" s="2" t="s">
        <v>420</v>
      </c>
      <c r="I279" s="2" t="s">
        <v>421</v>
      </c>
      <c r="J279" s="2">
        <v>10016204</v>
      </c>
      <c r="K279" s="2" t="s">
        <v>279</v>
      </c>
      <c r="L279" s="21">
        <v>5</v>
      </c>
      <c r="M279" s="21">
        <v>0</v>
      </c>
      <c r="N279" s="21">
        <v>0</v>
      </c>
      <c r="O279" s="21">
        <v>0</v>
      </c>
      <c r="R279" s="19">
        <v>0</v>
      </c>
      <c r="S279" s="12">
        <v>0</v>
      </c>
      <c r="T279" s="20">
        <v>0</v>
      </c>
      <c r="U279" s="12">
        <v>104.7</v>
      </c>
      <c r="V279" s="12">
        <v>0</v>
      </c>
      <c r="W279" s="21">
        <v>5</v>
      </c>
      <c r="X279" s="19">
        <v>0</v>
      </c>
      <c r="Y279" s="22">
        <v>0</v>
      </c>
      <c r="Z279" s="9" t="s">
        <v>3</v>
      </c>
      <c r="AA279" s="23" t="s">
        <v>422</v>
      </c>
      <c r="AC279" s="4">
        <v>216.95</v>
      </c>
      <c r="AD279" s="3">
        <v>46205</v>
      </c>
    </row>
    <row r="280" spans="1:30">
      <c r="A280" s="2" t="s">
        <v>539</v>
      </c>
      <c r="B280" s="9">
        <v>20</v>
      </c>
      <c r="C280" s="2" t="s">
        <v>181</v>
      </c>
      <c r="D280" s="2" t="s">
        <v>154</v>
      </c>
      <c r="E280" s="14">
        <v>46209</v>
      </c>
      <c r="F280" s="9" t="s">
        <v>155</v>
      </c>
      <c r="G280" s="9" t="s">
        <v>156</v>
      </c>
      <c r="H280" s="2" t="s">
        <v>176</v>
      </c>
      <c r="I280" s="2" t="s">
        <v>177</v>
      </c>
      <c r="J280" s="2">
        <v>10045485</v>
      </c>
      <c r="K280" s="2" t="s">
        <v>540</v>
      </c>
      <c r="L280" s="21">
        <v>1</v>
      </c>
      <c r="M280" s="21">
        <v>0</v>
      </c>
      <c r="N280" s="21">
        <v>0</v>
      </c>
      <c r="O280" s="21">
        <v>0</v>
      </c>
      <c r="R280" s="19">
        <v>0</v>
      </c>
      <c r="S280" s="12">
        <v>0</v>
      </c>
      <c r="T280" s="20">
        <v>0</v>
      </c>
      <c r="U280" s="12">
        <v>10.36</v>
      </c>
      <c r="V280" s="12">
        <v>0</v>
      </c>
      <c r="W280" s="21">
        <v>1</v>
      </c>
      <c r="X280" s="19">
        <v>0</v>
      </c>
      <c r="Y280" s="22">
        <v>0</v>
      </c>
      <c r="Z280" s="9" t="s">
        <v>6</v>
      </c>
      <c r="AA280" s="23" t="s">
        <v>179</v>
      </c>
      <c r="AC280" s="4">
        <v>30.08</v>
      </c>
      <c r="AD280" s="3">
        <v>46212</v>
      </c>
    </row>
    <row r="281" spans="1:30">
      <c r="A281" s="2" t="s">
        <v>539</v>
      </c>
      <c r="B281" s="9">
        <v>240</v>
      </c>
      <c r="C281" s="2" t="s">
        <v>181</v>
      </c>
      <c r="D281" s="2" t="s">
        <v>154</v>
      </c>
      <c r="E281" s="14">
        <v>46209</v>
      </c>
      <c r="F281" s="9" t="s">
        <v>155</v>
      </c>
      <c r="G281" s="9" t="s">
        <v>156</v>
      </c>
      <c r="H281" s="2" t="s">
        <v>176</v>
      </c>
      <c r="I281" s="2" t="s">
        <v>177</v>
      </c>
      <c r="J281" s="2">
        <v>10050609</v>
      </c>
      <c r="K281" s="2" t="s">
        <v>267</v>
      </c>
      <c r="L281" s="21">
        <v>3</v>
      </c>
      <c r="M281" s="21">
        <v>0</v>
      </c>
      <c r="N281" s="21">
        <v>0</v>
      </c>
      <c r="O281" s="21">
        <v>0</v>
      </c>
      <c r="R281" s="19">
        <v>0</v>
      </c>
      <c r="S281" s="12">
        <v>0</v>
      </c>
      <c r="T281" s="20">
        <v>0</v>
      </c>
      <c r="U281" s="12">
        <v>35.46</v>
      </c>
      <c r="V281" s="12">
        <v>0</v>
      </c>
      <c r="W281" s="21">
        <v>3</v>
      </c>
      <c r="X281" s="19">
        <v>0</v>
      </c>
      <c r="Y281" s="22">
        <v>0</v>
      </c>
      <c r="Z281" s="9" t="s">
        <v>6</v>
      </c>
      <c r="AA281" s="23" t="s">
        <v>179</v>
      </c>
      <c r="AC281" s="4">
        <v>50.4</v>
      </c>
      <c r="AD281" s="3">
        <v>46212</v>
      </c>
    </row>
    <row r="282" spans="1:30">
      <c r="A282" s="2" t="s">
        <v>541</v>
      </c>
      <c r="B282" s="9">
        <v>10</v>
      </c>
      <c r="C282" s="2" t="s">
        <v>153</v>
      </c>
      <c r="D282" s="2" t="s">
        <v>154</v>
      </c>
      <c r="E282" s="14">
        <v>46209</v>
      </c>
      <c r="F282" s="9" t="s">
        <v>155</v>
      </c>
      <c r="G282" s="9" t="s">
        <v>156</v>
      </c>
      <c r="H282" s="2" t="s">
        <v>162</v>
      </c>
      <c r="I282" s="2" t="s">
        <v>163</v>
      </c>
      <c r="J282" s="2">
        <v>10019648</v>
      </c>
      <c r="K282" s="2" t="s">
        <v>284</v>
      </c>
      <c r="L282" s="21">
        <v>11</v>
      </c>
      <c r="M282" s="21">
        <v>0</v>
      </c>
      <c r="N282" s="21">
        <v>0</v>
      </c>
      <c r="O282" s="21">
        <v>0</v>
      </c>
      <c r="R282" s="19">
        <v>0</v>
      </c>
      <c r="S282" s="12">
        <v>0</v>
      </c>
      <c r="T282" s="20">
        <v>0</v>
      </c>
      <c r="U282" s="12">
        <v>110</v>
      </c>
      <c r="V282" s="12">
        <v>0</v>
      </c>
      <c r="W282" s="21">
        <v>11</v>
      </c>
      <c r="X282" s="19">
        <v>0</v>
      </c>
      <c r="Y282" s="22">
        <v>0</v>
      </c>
      <c r="Z282" s="9" t="s">
        <v>3</v>
      </c>
      <c r="AA282" s="23" t="s">
        <v>165</v>
      </c>
      <c r="AC282" s="4">
        <v>457.27</v>
      </c>
      <c r="AD282" s="3">
        <v>46213</v>
      </c>
    </row>
    <row r="283" spans="1:30">
      <c r="A283" s="2" t="s">
        <v>542</v>
      </c>
      <c r="B283" s="9">
        <v>50</v>
      </c>
      <c r="C283" s="2" t="s">
        <v>181</v>
      </c>
      <c r="D283" s="2" t="s">
        <v>154</v>
      </c>
      <c r="E283" s="14">
        <v>46209</v>
      </c>
      <c r="F283" s="9" t="s">
        <v>155</v>
      </c>
      <c r="G283" s="9" t="s">
        <v>156</v>
      </c>
      <c r="H283" s="2" t="s">
        <v>212</v>
      </c>
      <c r="I283" s="2" t="s">
        <v>213</v>
      </c>
      <c r="J283" s="2">
        <v>10019648</v>
      </c>
      <c r="K283" s="2" t="s">
        <v>284</v>
      </c>
      <c r="L283" s="21">
        <v>11</v>
      </c>
      <c r="M283" s="21">
        <v>0</v>
      </c>
      <c r="N283" s="21">
        <v>0</v>
      </c>
      <c r="O283" s="21">
        <v>0</v>
      </c>
      <c r="R283" s="19">
        <v>0</v>
      </c>
      <c r="S283" s="12">
        <v>0</v>
      </c>
      <c r="T283" s="20">
        <v>0</v>
      </c>
      <c r="U283" s="12">
        <v>110</v>
      </c>
      <c r="V283" s="12">
        <v>0</v>
      </c>
      <c r="W283" s="21">
        <v>11</v>
      </c>
      <c r="X283" s="19">
        <v>0</v>
      </c>
      <c r="Y283" s="22">
        <v>0</v>
      </c>
      <c r="Z283" s="9" t="s">
        <v>3</v>
      </c>
      <c r="AA283" s="23" t="s">
        <v>215</v>
      </c>
      <c r="AC283" s="4">
        <v>457.27</v>
      </c>
      <c r="AD283" s="3">
        <v>46216</v>
      </c>
    </row>
    <row r="284" spans="1:30">
      <c r="A284" s="2" t="s">
        <v>542</v>
      </c>
      <c r="B284" s="9">
        <v>100</v>
      </c>
      <c r="C284" s="2" t="s">
        <v>181</v>
      </c>
      <c r="D284" s="2" t="s">
        <v>154</v>
      </c>
      <c r="E284" s="14">
        <v>46209</v>
      </c>
      <c r="F284" s="9" t="s">
        <v>155</v>
      </c>
      <c r="G284" s="9" t="s">
        <v>156</v>
      </c>
      <c r="H284" s="2" t="s">
        <v>212</v>
      </c>
      <c r="I284" s="2" t="s">
        <v>213</v>
      </c>
      <c r="J284" s="2">
        <v>10019641</v>
      </c>
      <c r="K284" s="2" t="s">
        <v>322</v>
      </c>
      <c r="L284" s="21">
        <v>2</v>
      </c>
      <c r="M284" s="21">
        <v>0</v>
      </c>
      <c r="N284" s="21">
        <v>0</v>
      </c>
      <c r="O284" s="21">
        <v>0</v>
      </c>
      <c r="R284" s="19">
        <v>0</v>
      </c>
      <c r="S284" s="12">
        <v>0</v>
      </c>
      <c r="T284" s="20">
        <v>0</v>
      </c>
      <c r="U284" s="12">
        <v>35.409999999999997</v>
      </c>
      <c r="V284" s="12">
        <v>0</v>
      </c>
      <c r="W284" s="21">
        <v>2</v>
      </c>
      <c r="X284" s="19">
        <v>5.2</v>
      </c>
      <c r="Y284" s="22">
        <v>0</v>
      </c>
      <c r="Z284" s="9" t="s">
        <v>3</v>
      </c>
      <c r="AA284" s="23" t="s">
        <v>215</v>
      </c>
      <c r="AC284" s="4">
        <v>144.91999999999999</v>
      </c>
      <c r="AD284" s="3">
        <v>46216</v>
      </c>
    </row>
    <row r="285" spans="1:30">
      <c r="A285" s="2" t="s">
        <v>542</v>
      </c>
      <c r="B285" s="9">
        <v>170</v>
      </c>
      <c r="C285" s="2" t="s">
        <v>181</v>
      </c>
      <c r="D285" s="2" t="s">
        <v>154</v>
      </c>
      <c r="E285" s="14">
        <v>46209</v>
      </c>
      <c r="F285" s="9" t="s">
        <v>155</v>
      </c>
      <c r="G285" s="9" t="s">
        <v>156</v>
      </c>
      <c r="H285" s="2" t="s">
        <v>212</v>
      </c>
      <c r="I285" s="2" t="s">
        <v>213</v>
      </c>
      <c r="J285" s="2">
        <v>10061008</v>
      </c>
      <c r="K285" s="2" t="s">
        <v>353</v>
      </c>
      <c r="L285" s="21">
        <v>19</v>
      </c>
      <c r="M285" s="21">
        <v>0</v>
      </c>
      <c r="N285" s="21">
        <v>0</v>
      </c>
      <c r="O285" s="21">
        <v>0</v>
      </c>
      <c r="R285" s="19">
        <v>0</v>
      </c>
      <c r="S285" s="12">
        <v>0</v>
      </c>
      <c r="T285" s="20">
        <v>0</v>
      </c>
      <c r="U285" s="12">
        <v>168.91</v>
      </c>
      <c r="V285" s="12">
        <v>0</v>
      </c>
      <c r="W285" s="21">
        <v>19</v>
      </c>
      <c r="X285" s="19">
        <v>0</v>
      </c>
      <c r="Y285" s="22">
        <v>0</v>
      </c>
      <c r="Z285" s="9" t="s">
        <v>3</v>
      </c>
      <c r="AA285" s="23" t="s">
        <v>215</v>
      </c>
      <c r="AC285" s="4">
        <v>486.4</v>
      </c>
      <c r="AD285" s="3">
        <v>46216</v>
      </c>
    </row>
    <row r="286" spans="1:30">
      <c r="A286" s="2" t="s">
        <v>542</v>
      </c>
      <c r="B286" s="9">
        <v>200</v>
      </c>
      <c r="C286" s="2" t="s">
        <v>181</v>
      </c>
      <c r="D286" s="2" t="s">
        <v>154</v>
      </c>
      <c r="E286" s="14">
        <v>46209</v>
      </c>
      <c r="F286" s="9" t="s">
        <v>155</v>
      </c>
      <c r="G286" s="9" t="s">
        <v>156</v>
      </c>
      <c r="H286" s="2" t="s">
        <v>212</v>
      </c>
      <c r="I286" s="2" t="s">
        <v>213</v>
      </c>
      <c r="J286" s="2">
        <v>10061010</v>
      </c>
      <c r="K286" s="2" t="s">
        <v>208</v>
      </c>
      <c r="L286" s="21">
        <v>76</v>
      </c>
      <c r="M286" s="21">
        <v>0</v>
      </c>
      <c r="N286" s="21">
        <v>0</v>
      </c>
      <c r="O286" s="21">
        <v>0</v>
      </c>
      <c r="R286" s="19">
        <v>0</v>
      </c>
      <c r="S286" s="12">
        <v>0</v>
      </c>
      <c r="T286" s="20">
        <v>0</v>
      </c>
      <c r="U286" s="12">
        <v>1350.52</v>
      </c>
      <c r="V286" s="12">
        <v>0</v>
      </c>
      <c r="W286" s="21">
        <v>76</v>
      </c>
      <c r="X286" s="19">
        <v>0</v>
      </c>
      <c r="Y286" s="22">
        <v>0</v>
      </c>
      <c r="Z286" s="9" t="s">
        <v>3</v>
      </c>
      <c r="AA286" s="23" t="s">
        <v>215</v>
      </c>
      <c r="AC286" s="4">
        <v>3895.76</v>
      </c>
      <c r="AD286" s="3">
        <v>46216</v>
      </c>
    </row>
    <row r="287" spans="1:30">
      <c r="A287" s="2" t="s">
        <v>542</v>
      </c>
      <c r="B287" s="9">
        <v>240</v>
      </c>
      <c r="C287" s="2" t="s">
        <v>181</v>
      </c>
      <c r="D287" s="2" t="s">
        <v>154</v>
      </c>
      <c r="E287" s="14">
        <v>46209</v>
      </c>
      <c r="F287" s="9" t="s">
        <v>155</v>
      </c>
      <c r="G287" s="9" t="s">
        <v>156</v>
      </c>
      <c r="H287" s="2" t="s">
        <v>212</v>
      </c>
      <c r="I287" s="2" t="s">
        <v>213</v>
      </c>
      <c r="J287" s="2">
        <v>10041270</v>
      </c>
      <c r="K287" s="2" t="s">
        <v>543</v>
      </c>
      <c r="L287" s="21">
        <v>26</v>
      </c>
      <c r="M287" s="21">
        <v>0</v>
      </c>
      <c r="N287" s="21">
        <v>0</v>
      </c>
      <c r="O287" s="21">
        <v>0</v>
      </c>
      <c r="R287" s="19">
        <v>0</v>
      </c>
      <c r="S287" s="12">
        <v>0</v>
      </c>
      <c r="T287" s="20">
        <v>0</v>
      </c>
      <c r="U287" s="12">
        <v>315.89999999999998</v>
      </c>
      <c r="V287" s="12">
        <v>0</v>
      </c>
      <c r="W287" s="21">
        <v>26</v>
      </c>
      <c r="X287" s="19">
        <v>0</v>
      </c>
      <c r="Y287" s="22">
        <v>0</v>
      </c>
      <c r="Z287" s="9" t="s">
        <v>3</v>
      </c>
      <c r="AA287" s="23" t="s">
        <v>215</v>
      </c>
      <c r="AC287" s="4">
        <v>842.66</v>
      </c>
      <c r="AD287" s="3">
        <v>46216</v>
      </c>
    </row>
    <row r="288" spans="1:30">
      <c r="A288" s="2" t="s">
        <v>544</v>
      </c>
      <c r="B288" s="9">
        <v>60</v>
      </c>
      <c r="C288" s="2" t="s">
        <v>153</v>
      </c>
      <c r="D288" s="2" t="s">
        <v>154</v>
      </c>
      <c r="E288" s="14">
        <v>46209</v>
      </c>
      <c r="F288" s="9" t="s">
        <v>155</v>
      </c>
      <c r="G288" s="9" t="s">
        <v>156</v>
      </c>
      <c r="H288" s="2" t="s">
        <v>496</v>
      </c>
      <c r="I288" s="2" t="s">
        <v>497</v>
      </c>
      <c r="J288" s="2">
        <v>10061010</v>
      </c>
      <c r="K288" s="2" t="s">
        <v>208</v>
      </c>
      <c r="L288" s="21">
        <v>10</v>
      </c>
      <c r="M288" s="21">
        <v>0</v>
      </c>
      <c r="N288" s="21">
        <v>0</v>
      </c>
      <c r="O288" s="21">
        <v>0</v>
      </c>
      <c r="R288" s="19">
        <v>0</v>
      </c>
      <c r="S288" s="12">
        <v>0</v>
      </c>
      <c r="T288" s="20">
        <v>0</v>
      </c>
      <c r="U288" s="12">
        <v>177.7</v>
      </c>
      <c r="V288" s="12">
        <v>0</v>
      </c>
      <c r="W288" s="21">
        <v>10</v>
      </c>
      <c r="X288" s="19">
        <v>0</v>
      </c>
      <c r="Y288" s="22">
        <v>0</v>
      </c>
      <c r="Z288" s="9" t="s">
        <v>3</v>
      </c>
      <c r="AA288" s="23" t="s">
        <v>498</v>
      </c>
      <c r="AC288" s="4">
        <v>512.6</v>
      </c>
      <c r="AD288" s="3">
        <v>46212</v>
      </c>
    </row>
    <row r="289" spans="1:31">
      <c r="A289" s="2" t="s">
        <v>545</v>
      </c>
      <c r="B289" s="9">
        <v>20</v>
      </c>
      <c r="C289" s="2" t="s">
        <v>192</v>
      </c>
      <c r="D289" s="2" t="s">
        <v>154</v>
      </c>
      <c r="E289" s="14">
        <v>46209</v>
      </c>
      <c r="F289" s="9" t="s">
        <v>155</v>
      </c>
      <c r="G289" s="9" t="s">
        <v>156</v>
      </c>
      <c r="H289" s="2" t="s">
        <v>442</v>
      </c>
      <c r="I289" s="2" t="s">
        <v>443</v>
      </c>
      <c r="J289" s="2">
        <v>10061008</v>
      </c>
      <c r="K289" s="2" t="s">
        <v>353</v>
      </c>
      <c r="L289" s="21">
        <v>19</v>
      </c>
      <c r="M289" s="21">
        <v>0</v>
      </c>
      <c r="N289" s="21">
        <v>0</v>
      </c>
      <c r="O289" s="21">
        <v>0</v>
      </c>
      <c r="R289" s="19">
        <v>0</v>
      </c>
      <c r="S289" s="12">
        <v>0</v>
      </c>
      <c r="T289" s="20">
        <v>0</v>
      </c>
      <c r="U289" s="12">
        <v>168.91</v>
      </c>
      <c r="V289" s="12">
        <v>0</v>
      </c>
      <c r="W289" s="21">
        <v>19</v>
      </c>
      <c r="X289" s="19">
        <v>0</v>
      </c>
      <c r="Y289" s="22">
        <v>0</v>
      </c>
      <c r="Z289" s="9" t="s">
        <v>3</v>
      </c>
      <c r="AA289" s="23" t="s">
        <v>444</v>
      </c>
      <c r="AC289" s="4">
        <v>486.4</v>
      </c>
      <c r="AD289" s="3">
        <v>46211</v>
      </c>
    </row>
    <row r="290" spans="1:31">
      <c r="A290" s="2" t="s">
        <v>545</v>
      </c>
      <c r="B290" s="9">
        <v>40</v>
      </c>
      <c r="C290" s="2" t="s">
        <v>192</v>
      </c>
      <c r="D290" s="2" t="s">
        <v>154</v>
      </c>
      <c r="E290" s="14">
        <v>46209</v>
      </c>
      <c r="F290" s="9" t="s">
        <v>155</v>
      </c>
      <c r="G290" s="9" t="s">
        <v>156</v>
      </c>
      <c r="H290" s="2" t="s">
        <v>442</v>
      </c>
      <c r="I290" s="2" t="s">
        <v>443</v>
      </c>
      <c r="J290" s="2">
        <v>10061010</v>
      </c>
      <c r="K290" s="2" t="s">
        <v>208</v>
      </c>
      <c r="L290" s="21">
        <v>12</v>
      </c>
      <c r="M290" s="21">
        <v>0</v>
      </c>
      <c r="N290" s="21">
        <v>0</v>
      </c>
      <c r="O290" s="21">
        <v>0</v>
      </c>
      <c r="R290" s="19">
        <v>0</v>
      </c>
      <c r="S290" s="12">
        <v>0</v>
      </c>
      <c r="T290" s="20">
        <v>0</v>
      </c>
      <c r="U290" s="12">
        <v>213.24</v>
      </c>
      <c r="V290" s="12">
        <v>0</v>
      </c>
      <c r="W290" s="21">
        <v>12</v>
      </c>
      <c r="X290" s="19">
        <v>0</v>
      </c>
      <c r="Y290" s="22">
        <v>0</v>
      </c>
      <c r="Z290" s="9" t="s">
        <v>3</v>
      </c>
      <c r="AA290" s="23" t="s">
        <v>444</v>
      </c>
      <c r="AC290" s="4">
        <v>615.12</v>
      </c>
      <c r="AD290" s="3">
        <v>46211</v>
      </c>
    </row>
    <row r="291" spans="1:31">
      <c r="A291" s="2" t="s">
        <v>546</v>
      </c>
      <c r="B291" s="9">
        <v>10</v>
      </c>
      <c r="C291" s="2" t="s">
        <v>181</v>
      </c>
      <c r="D291" s="2" t="s">
        <v>154</v>
      </c>
      <c r="E291" s="14">
        <v>46209</v>
      </c>
      <c r="F291" s="9" t="s">
        <v>155</v>
      </c>
      <c r="G291" s="9" t="s">
        <v>156</v>
      </c>
      <c r="H291" s="2" t="s">
        <v>348</v>
      </c>
      <c r="I291" s="2" t="s">
        <v>349</v>
      </c>
      <c r="J291" s="2">
        <v>10100364</v>
      </c>
      <c r="K291" s="2" t="s">
        <v>547</v>
      </c>
      <c r="L291" s="21">
        <v>4</v>
      </c>
      <c r="M291" s="21">
        <v>0</v>
      </c>
      <c r="N291" s="21">
        <v>0</v>
      </c>
      <c r="O291" s="21">
        <v>0</v>
      </c>
      <c r="R291" s="19">
        <v>0</v>
      </c>
      <c r="S291" s="12">
        <v>0</v>
      </c>
      <c r="T291" s="20">
        <v>0</v>
      </c>
      <c r="U291" s="12">
        <v>32.32</v>
      </c>
      <c r="V291" s="12">
        <v>0</v>
      </c>
      <c r="W291" s="21">
        <v>4</v>
      </c>
      <c r="X291" s="19">
        <v>0</v>
      </c>
      <c r="Y291" s="22">
        <v>0</v>
      </c>
      <c r="Z291" s="9" t="s">
        <v>6</v>
      </c>
      <c r="AA291" s="23" t="s">
        <v>351</v>
      </c>
      <c r="AC291" s="4">
        <v>135.63999999999999</v>
      </c>
      <c r="AD291" s="3">
        <v>46211</v>
      </c>
    </row>
    <row r="292" spans="1:31">
      <c r="A292" s="2" t="s">
        <v>546</v>
      </c>
      <c r="B292" s="9">
        <v>30</v>
      </c>
      <c r="C292" s="2" t="s">
        <v>181</v>
      </c>
      <c r="D292" s="2" t="s">
        <v>154</v>
      </c>
      <c r="E292" s="14">
        <v>46209</v>
      </c>
      <c r="F292" s="9" t="s">
        <v>155</v>
      </c>
      <c r="G292" s="9" t="s">
        <v>156</v>
      </c>
      <c r="H292" s="2" t="s">
        <v>348</v>
      </c>
      <c r="I292" s="2" t="s">
        <v>349</v>
      </c>
      <c r="J292" s="2">
        <v>10052110</v>
      </c>
      <c r="K292" s="2" t="s">
        <v>418</v>
      </c>
      <c r="L292" s="21">
        <v>3</v>
      </c>
      <c r="M292" s="21">
        <v>0</v>
      </c>
      <c r="N292" s="21">
        <v>0</v>
      </c>
      <c r="O292" s="21">
        <v>0</v>
      </c>
      <c r="R292" s="19">
        <v>0</v>
      </c>
      <c r="S292" s="12">
        <v>0</v>
      </c>
      <c r="T292" s="20">
        <v>0</v>
      </c>
      <c r="U292" s="12">
        <v>79.8</v>
      </c>
      <c r="V292" s="12">
        <v>0</v>
      </c>
      <c r="W292" s="21">
        <v>3</v>
      </c>
      <c r="X292" s="19">
        <v>0</v>
      </c>
      <c r="Y292" s="22">
        <v>0</v>
      </c>
      <c r="Z292" s="9" t="s">
        <v>6</v>
      </c>
      <c r="AA292" s="23" t="s">
        <v>351</v>
      </c>
      <c r="AC292" s="4">
        <v>229.65</v>
      </c>
      <c r="AD292" s="3">
        <v>46211</v>
      </c>
    </row>
    <row r="293" spans="1:31">
      <c r="A293" s="2" t="s">
        <v>546</v>
      </c>
      <c r="B293" s="9">
        <v>70</v>
      </c>
      <c r="C293" s="2" t="s">
        <v>181</v>
      </c>
      <c r="D293" s="2" t="s">
        <v>154</v>
      </c>
      <c r="E293" s="14">
        <v>46209</v>
      </c>
      <c r="F293" s="9" t="s">
        <v>155</v>
      </c>
      <c r="G293" s="9" t="s">
        <v>156</v>
      </c>
      <c r="H293" s="2" t="s">
        <v>348</v>
      </c>
      <c r="I293" s="2" t="s">
        <v>349</v>
      </c>
      <c r="J293" s="2">
        <v>10019107</v>
      </c>
      <c r="K293" s="2" t="s">
        <v>548</v>
      </c>
      <c r="L293" s="21">
        <v>1</v>
      </c>
      <c r="M293" s="21">
        <v>0</v>
      </c>
      <c r="N293" s="21">
        <v>0</v>
      </c>
      <c r="O293" s="21">
        <v>0</v>
      </c>
      <c r="R293" s="19">
        <v>0</v>
      </c>
      <c r="S293" s="12">
        <v>0</v>
      </c>
      <c r="T293" s="20">
        <v>0</v>
      </c>
      <c r="U293" s="12">
        <v>22.11</v>
      </c>
      <c r="V293" s="12">
        <v>0</v>
      </c>
      <c r="W293" s="21">
        <v>1</v>
      </c>
      <c r="X293" s="19">
        <v>0</v>
      </c>
      <c r="Y293" s="22">
        <v>0</v>
      </c>
      <c r="Z293" s="9" t="s">
        <v>6</v>
      </c>
      <c r="AA293" s="23" t="s">
        <v>351</v>
      </c>
      <c r="AC293" s="4">
        <v>51.39</v>
      </c>
      <c r="AD293" s="3">
        <v>46211</v>
      </c>
    </row>
    <row r="294" spans="1:31">
      <c r="A294" s="2" t="s">
        <v>546</v>
      </c>
      <c r="B294" s="9">
        <v>80</v>
      </c>
      <c r="C294" s="2" t="s">
        <v>181</v>
      </c>
      <c r="D294" s="2" t="s">
        <v>154</v>
      </c>
      <c r="E294" s="14">
        <v>46209</v>
      </c>
      <c r="F294" s="9" t="s">
        <v>155</v>
      </c>
      <c r="G294" s="9" t="s">
        <v>156</v>
      </c>
      <c r="H294" s="2" t="s">
        <v>348</v>
      </c>
      <c r="I294" s="2" t="s">
        <v>349</v>
      </c>
      <c r="J294" s="2">
        <v>10061010</v>
      </c>
      <c r="K294" s="2" t="s">
        <v>208</v>
      </c>
      <c r="L294" s="21">
        <v>56</v>
      </c>
      <c r="M294" s="21">
        <v>0</v>
      </c>
      <c r="N294" s="21">
        <v>0</v>
      </c>
      <c r="O294" s="21">
        <v>0</v>
      </c>
      <c r="R294" s="19">
        <v>0</v>
      </c>
      <c r="S294" s="12">
        <v>0</v>
      </c>
      <c r="T294" s="20">
        <v>0</v>
      </c>
      <c r="U294" s="12">
        <v>995.12</v>
      </c>
      <c r="V294" s="12">
        <v>0</v>
      </c>
      <c r="W294" s="21">
        <v>56</v>
      </c>
      <c r="X294" s="19">
        <v>0</v>
      </c>
      <c r="Y294" s="22">
        <v>0</v>
      </c>
      <c r="Z294" s="9" t="s">
        <v>6</v>
      </c>
      <c r="AA294" s="23" t="s">
        <v>351</v>
      </c>
      <c r="AC294" s="4">
        <v>2878.96</v>
      </c>
      <c r="AD294" s="3">
        <v>46211</v>
      </c>
    </row>
    <row r="295" spans="1:31">
      <c r="A295" s="2" t="s">
        <v>549</v>
      </c>
      <c r="B295" s="9">
        <v>40</v>
      </c>
      <c r="C295" s="2" t="s">
        <v>181</v>
      </c>
      <c r="D295" s="2" t="s">
        <v>154</v>
      </c>
      <c r="E295" s="14">
        <v>46210</v>
      </c>
      <c r="F295" s="9" t="s">
        <v>155</v>
      </c>
      <c r="G295" s="9" t="s">
        <v>156</v>
      </c>
      <c r="H295" s="2" t="s">
        <v>224</v>
      </c>
      <c r="I295" s="2" t="s">
        <v>518</v>
      </c>
      <c r="J295" s="2">
        <v>10052110</v>
      </c>
      <c r="K295" s="2" t="s">
        <v>418</v>
      </c>
      <c r="L295" s="21">
        <v>3</v>
      </c>
      <c r="M295" s="21">
        <v>0</v>
      </c>
      <c r="N295" s="21">
        <v>0</v>
      </c>
      <c r="O295" s="21">
        <v>0</v>
      </c>
      <c r="R295" s="19">
        <v>0</v>
      </c>
      <c r="S295" s="12">
        <v>0</v>
      </c>
      <c r="T295" s="20">
        <v>0</v>
      </c>
      <c r="U295" s="12">
        <v>42</v>
      </c>
      <c r="V295" s="12">
        <v>0</v>
      </c>
      <c r="W295" s="21">
        <v>3</v>
      </c>
      <c r="X295" s="19">
        <v>0</v>
      </c>
      <c r="Y295" s="22">
        <v>0</v>
      </c>
      <c r="Z295" s="9" t="s">
        <v>6</v>
      </c>
      <c r="AA295" s="23" t="s">
        <v>520</v>
      </c>
      <c r="AC295" s="4">
        <v>229.65</v>
      </c>
      <c r="AD295" s="3">
        <v>46212</v>
      </c>
    </row>
    <row r="296" spans="1:31">
      <c r="A296" s="2" t="s">
        <v>549</v>
      </c>
      <c r="B296" s="9">
        <v>70</v>
      </c>
      <c r="C296" s="2" t="s">
        <v>181</v>
      </c>
      <c r="D296" s="2" t="s">
        <v>154</v>
      </c>
      <c r="E296" s="14">
        <v>46210</v>
      </c>
      <c r="F296" s="9" t="s">
        <v>155</v>
      </c>
      <c r="G296" s="9" t="s">
        <v>156</v>
      </c>
      <c r="H296" s="2" t="s">
        <v>224</v>
      </c>
      <c r="I296" s="2" t="s">
        <v>518</v>
      </c>
      <c r="J296" s="2">
        <v>10033115</v>
      </c>
      <c r="K296" s="2" t="s">
        <v>550</v>
      </c>
      <c r="L296" s="21">
        <v>16</v>
      </c>
      <c r="M296" s="21">
        <v>0</v>
      </c>
      <c r="N296" s="21">
        <v>0</v>
      </c>
      <c r="O296" s="21">
        <v>0</v>
      </c>
      <c r="R296" s="19">
        <v>0</v>
      </c>
      <c r="S296" s="12">
        <v>0</v>
      </c>
      <c r="T296" s="20">
        <v>0</v>
      </c>
      <c r="U296" s="12">
        <v>240</v>
      </c>
      <c r="V296" s="12">
        <v>0</v>
      </c>
      <c r="W296" s="21">
        <v>16</v>
      </c>
      <c r="X296" s="19">
        <v>0</v>
      </c>
      <c r="Y296" s="22">
        <v>0</v>
      </c>
      <c r="Z296" s="9" t="s">
        <v>6</v>
      </c>
      <c r="AA296" s="23" t="s">
        <v>520</v>
      </c>
      <c r="AC296" s="4">
        <v>863.04</v>
      </c>
      <c r="AD296" s="3">
        <v>46212</v>
      </c>
    </row>
    <row r="297" spans="1:31">
      <c r="A297" s="2" t="s">
        <v>551</v>
      </c>
      <c r="B297" s="9">
        <v>20</v>
      </c>
      <c r="C297" s="2" t="s">
        <v>181</v>
      </c>
      <c r="D297" s="2" t="s">
        <v>154</v>
      </c>
      <c r="E297" s="14">
        <v>46210</v>
      </c>
      <c r="F297" s="9" t="s">
        <v>155</v>
      </c>
      <c r="G297" s="9" t="s">
        <v>156</v>
      </c>
      <c r="H297" s="2" t="s">
        <v>224</v>
      </c>
      <c r="I297" s="2" t="s">
        <v>518</v>
      </c>
      <c r="J297" s="2">
        <v>10065013</v>
      </c>
      <c r="K297" s="2" t="s">
        <v>364</v>
      </c>
      <c r="L297" s="21">
        <v>1</v>
      </c>
      <c r="M297" s="21">
        <v>0</v>
      </c>
      <c r="N297" s="21">
        <v>0</v>
      </c>
      <c r="O297" s="21">
        <v>0</v>
      </c>
      <c r="R297" s="19">
        <v>0</v>
      </c>
      <c r="S297" s="12">
        <v>0</v>
      </c>
      <c r="T297" s="20">
        <v>0</v>
      </c>
      <c r="U297" s="12">
        <v>10</v>
      </c>
      <c r="V297" s="12">
        <v>0</v>
      </c>
      <c r="W297" s="21">
        <v>1</v>
      </c>
      <c r="X297" s="19">
        <v>0</v>
      </c>
      <c r="Y297" s="22">
        <v>0</v>
      </c>
      <c r="Z297" s="9" t="s">
        <v>6</v>
      </c>
      <c r="AA297" s="23" t="s">
        <v>520</v>
      </c>
      <c r="AC297" s="4">
        <v>42.68</v>
      </c>
      <c r="AD297" s="3">
        <v>46212</v>
      </c>
    </row>
    <row r="298" spans="1:31">
      <c r="A298" s="2" t="s">
        <v>552</v>
      </c>
      <c r="B298" s="9">
        <v>10</v>
      </c>
      <c r="C298" s="2" t="s">
        <v>181</v>
      </c>
      <c r="D298" s="2" t="s">
        <v>154</v>
      </c>
      <c r="E298" s="14">
        <v>46213</v>
      </c>
      <c r="F298" s="9" t="s">
        <v>155</v>
      </c>
      <c r="G298" s="9" t="s">
        <v>156</v>
      </c>
      <c r="H298" s="2" t="s">
        <v>282</v>
      </c>
      <c r="I298" s="2" t="s">
        <v>183</v>
      </c>
      <c r="J298" s="2">
        <v>10063102</v>
      </c>
      <c r="K298" s="2" t="s">
        <v>237</v>
      </c>
      <c r="L298" s="21">
        <v>9</v>
      </c>
      <c r="M298" s="21">
        <v>9</v>
      </c>
      <c r="N298" s="21">
        <v>9</v>
      </c>
      <c r="O298" s="21">
        <v>0</v>
      </c>
      <c r="Q298" s="9" t="s">
        <v>553</v>
      </c>
      <c r="R298" s="19">
        <v>0</v>
      </c>
      <c r="S298" s="12">
        <v>0</v>
      </c>
      <c r="T298" s="20">
        <v>0</v>
      </c>
      <c r="U298" s="12">
        <v>27</v>
      </c>
      <c r="V298" s="12">
        <v>27</v>
      </c>
      <c r="W298" s="21">
        <v>9</v>
      </c>
      <c r="X298" s="19">
        <v>0</v>
      </c>
      <c r="Y298" s="22">
        <v>0</v>
      </c>
      <c r="Z298" s="9" t="s">
        <v>4</v>
      </c>
      <c r="AA298" s="23" t="s">
        <v>185</v>
      </c>
      <c r="AB298" s="3">
        <v>46214</v>
      </c>
      <c r="AC298" s="4">
        <v>350.91</v>
      </c>
      <c r="AD298" s="3">
        <v>46218</v>
      </c>
      <c r="AE298" s="3">
        <v>46218</v>
      </c>
    </row>
    <row r="299" spans="1:31">
      <c r="A299" s="2" t="s">
        <v>552</v>
      </c>
      <c r="B299" s="9">
        <v>20</v>
      </c>
      <c r="C299" s="2" t="s">
        <v>181</v>
      </c>
      <c r="D299" s="2" t="s">
        <v>154</v>
      </c>
      <c r="E299" s="14">
        <v>46213</v>
      </c>
      <c r="F299" s="9" t="s">
        <v>155</v>
      </c>
      <c r="G299" s="9" t="s">
        <v>156</v>
      </c>
      <c r="H299" s="2" t="s">
        <v>282</v>
      </c>
      <c r="I299" s="2" t="s">
        <v>183</v>
      </c>
      <c r="J299" s="2">
        <v>10063102</v>
      </c>
      <c r="K299" s="2" t="s">
        <v>237</v>
      </c>
      <c r="L299" s="21">
        <v>30</v>
      </c>
      <c r="M299" s="21">
        <v>30</v>
      </c>
      <c r="N299" s="21">
        <v>30</v>
      </c>
      <c r="O299" s="21">
        <v>0</v>
      </c>
      <c r="Q299" s="9" t="s">
        <v>553</v>
      </c>
      <c r="R299" s="19">
        <v>0</v>
      </c>
      <c r="S299" s="12">
        <v>0</v>
      </c>
      <c r="T299" s="20">
        <v>0</v>
      </c>
      <c r="U299" s="12">
        <v>90</v>
      </c>
      <c r="V299" s="12">
        <v>90</v>
      </c>
      <c r="W299" s="21">
        <v>30</v>
      </c>
      <c r="X299" s="19">
        <v>0</v>
      </c>
      <c r="Y299" s="22">
        <v>0</v>
      </c>
      <c r="Z299" s="9" t="s">
        <v>4</v>
      </c>
      <c r="AA299" s="23" t="s">
        <v>185</v>
      </c>
      <c r="AB299" s="3">
        <v>46214</v>
      </c>
      <c r="AC299" s="4">
        <v>1169.7</v>
      </c>
      <c r="AD299" s="3">
        <v>46218</v>
      </c>
      <c r="AE299" s="3">
        <v>46218</v>
      </c>
    </row>
    <row r="300" spans="1:31">
      <c r="A300" s="2" t="s">
        <v>552</v>
      </c>
      <c r="B300" s="9">
        <v>30</v>
      </c>
      <c r="C300" s="2" t="s">
        <v>181</v>
      </c>
      <c r="D300" s="2" t="s">
        <v>154</v>
      </c>
      <c r="E300" s="14">
        <v>46213</v>
      </c>
      <c r="F300" s="9" t="s">
        <v>155</v>
      </c>
      <c r="G300" s="9" t="s">
        <v>156</v>
      </c>
      <c r="H300" s="2" t="s">
        <v>282</v>
      </c>
      <c r="I300" s="2" t="s">
        <v>183</v>
      </c>
      <c r="J300" s="2">
        <v>10083462</v>
      </c>
      <c r="K300" s="2" t="s">
        <v>554</v>
      </c>
      <c r="L300" s="21">
        <v>72</v>
      </c>
      <c r="M300" s="21">
        <v>72</v>
      </c>
      <c r="N300" s="21">
        <v>72</v>
      </c>
      <c r="O300" s="21">
        <v>0</v>
      </c>
      <c r="Q300" s="9" t="s">
        <v>553</v>
      </c>
      <c r="R300" s="19">
        <v>0</v>
      </c>
      <c r="S300" s="12">
        <v>0</v>
      </c>
      <c r="T300" s="20">
        <v>0</v>
      </c>
      <c r="U300" s="12">
        <v>216</v>
      </c>
      <c r="V300" s="12">
        <v>216</v>
      </c>
      <c r="W300" s="21">
        <v>72</v>
      </c>
      <c r="X300" s="19">
        <v>0</v>
      </c>
      <c r="Y300" s="22">
        <v>0</v>
      </c>
      <c r="Z300" s="9" t="s">
        <v>4</v>
      </c>
      <c r="AA300" s="23" t="s">
        <v>185</v>
      </c>
      <c r="AB300" s="3">
        <v>46214</v>
      </c>
      <c r="AC300" s="4">
        <v>2028.96</v>
      </c>
      <c r="AD300" s="3">
        <v>46218</v>
      </c>
      <c r="AE300" s="3">
        <v>46218</v>
      </c>
    </row>
    <row r="301" spans="1:31">
      <c r="A301" s="2" t="s">
        <v>552</v>
      </c>
      <c r="B301" s="9">
        <v>40</v>
      </c>
      <c r="C301" s="2" t="s">
        <v>181</v>
      </c>
      <c r="D301" s="2" t="s">
        <v>154</v>
      </c>
      <c r="E301" s="14">
        <v>46213</v>
      </c>
      <c r="F301" s="9" t="s">
        <v>155</v>
      </c>
      <c r="G301" s="9" t="s">
        <v>156</v>
      </c>
      <c r="H301" s="2" t="s">
        <v>282</v>
      </c>
      <c r="I301" s="2" t="s">
        <v>183</v>
      </c>
      <c r="J301" s="2">
        <v>10088045</v>
      </c>
      <c r="K301" s="2" t="s">
        <v>555</v>
      </c>
      <c r="L301" s="21">
        <v>72</v>
      </c>
      <c r="M301" s="21">
        <v>72</v>
      </c>
      <c r="N301" s="21">
        <v>72</v>
      </c>
      <c r="O301" s="21">
        <v>0</v>
      </c>
      <c r="Q301" s="9" t="s">
        <v>553</v>
      </c>
      <c r="R301" s="19">
        <v>0</v>
      </c>
      <c r="S301" s="12">
        <v>0</v>
      </c>
      <c r="T301" s="20">
        <v>0</v>
      </c>
      <c r="U301" s="12">
        <v>504</v>
      </c>
      <c r="V301" s="12">
        <v>504</v>
      </c>
      <c r="W301" s="21">
        <v>72</v>
      </c>
      <c r="X301" s="19">
        <v>0</v>
      </c>
      <c r="Y301" s="22">
        <v>0</v>
      </c>
      <c r="Z301" s="9" t="s">
        <v>4</v>
      </c>
      <c r="AA301" s="23" t="s">
        <v>185</v>
      </c>
      <c r="AB301" s="3">
        <v>46219</v>
      </c>
      <c r="AC301" s="4">
        <v>7992</v>
      </c>
      <c r="AD301" s="3">
        <v>46218</v>
      </c>
      <c r="AE301" s="3">
        <v>46218</v>
      </c>
    </row>
    <row r="302" spans="1:31">
      <c r="A302" s="2" t="s">
        <v>552</v>
      </c>
      <c r="B302" s="9">
        <v>50</v>
      </c>
      <c r="C302" s="2" t="s">
        <v>181</v>
      </c>
      <c r="D302" s="2" t="s">
        <v>154</v>
      </c>
      <c r="E302" s="14">
        <v>46213</v>
      </c>
      <c r="F302" s="9" t="s">
        <v>155</v>
      </c>
      <c r="G302" s="9" t="s">
        <v>156</v>
      </c>
      <c r="H302" s="2" t="s">
        <v>282</v>
      </c>
      <c r="I302" s="2" t="s">
        <v>183</v>
      </c>
      <c r="J302" s="2">
        <v>10052076</v>
      </c>
      <c r="K302" s="2" t="s">
        <v>250</v>
      </c>
      <c r="L302" s="21">
        <v>53</v>
      </c>
      <c r="M302" s="21">
        <v>53</v>
      </c>
      <c r="N302" s="21">
        <v>53</v>
      </c>
      <c r="O302" s="21">
        <v>0</v>
      </c>
      <c r="Q302" s="9" t="s">
        <v>553</v>
      </c>
      <c r="R302" s="19">
        <v>0</v>
      </c>
      <c r="S302" s="12">
        <v>0</v>
      </c>
      <c r="T302" s="20">
        <v>0</v>
      </c>
      <c r="U302" s="12">
        <v>318</v>
      </c>
      <c r="V302" s="12">
        <v>318</v>
      </c>
      <c r="W302" s="21">
        <v>53</v>
      </c>
      <c r="X302" s="19">
        <v>0</v>
      </c>
      <c r="Y302" s="22">
        <v>0</v>
      </c>
      <c r="Z302" s="9" t="s">
        <v>4</v>
      </c>
      <c r="AA302" s="23" t="s">
        <v>185</v>
      </c>
      <c r="AB302" s="3">
        <v>46220</v>
      </c>
      <c r="AC302" s="4">
        <v>1830.09</v>
      </c>
      <c r="AD302" s="3">
        <v>46218</v>
      </c>
      <c r="AE302" s="3">
        <v>46218</v>
      </c>
    </row>
    <row r="303" spans="1:31">
      <c r="A303" s="2" t="s">
        <v>552</v>
      </c>
      <c r="B303" s="9">
        <v>60</v>
      </c>
      <c r="C303" s="2" t="s">
        <v>181</v>
      </c>
      <c r="D303" s="2" t="s">
        <v>154</v>
      </c>
      <c r="E303" s="14">
        <v>46213</v>
      </c>
      <c r="F303" s="9" t="s">
        <v>155</v>
      </c>
      <c r="G303" s="9" t="s">
        <v>156</v>
      </c>
      <c r="H303" s="2" t="s">
        <v>282</v>
      </c>
      <c r="I303" s="2" t="s">
        <v>183</v>
      </c>
      <c r="J303" s="2">
        <v>10007851</v>
      </c>
      <c r="K303" s="2" t="s">
        <v>556</v>
      </c>
      <c r="L303" s="21">
        <v>74</v>
      </c>
      <c r="M303" s="21">
        <v>74</v>
      </c>
      <c r="N303" s="21">
        <v>74</v>
      </c>
      <c r="O303" s="21">
        <v>0</v>
      </c>
      <c r="Q303" s="9" t="s">
        <v>553</v>
      </c>
      <c r="R303" s="19">
        <v>0</v>
      </c>
      <c r="S303" s="12">
        <v>0</v>
      </c>
      <c r="T303" s="20">
        <v>0</v>
      </c>
      <c r="U303" s="12">
        <v>592</v>
      </c>
      <c r="V303" s="12">
        <v>592</v>
      </c>
      <c r="W303" s="21">
        <v>74</v>
      </c>
      <c r="X303" s="19">
        <v>0</v>
      </c>
      <c r="Y303" s="22">
        <v>0</v>
      </c>
      <c r="Z303" s="9" t="s">
        <v>4</v>
      </c>
      <c r="AA303" s="23" t="s">
        <v>185</v>
      </c>
      <c r="AB303" s="3">
        <v>46220</v>
      </c>
      <c r="AC303" s="4">
        <v>3735.52</v>
      </c>
      <c r="AD303" s="3">
        <v>46218</v>
      </c>
      <c r="AE303" s="3">
        <v>46218</v>
      </c>
    </row>
    <row r="304" spans="1:31">
      <c r="A304" s="2" t="s">
        <v>552</v>
      </c>
      <c r="B304" s="9">
        <v>70</v>
      </c>
      <c r="C304" s="2" t="s">
        <v>181</v>
      </c>
      <c r="D304" s="2" t="s">
        <v>154</v>
      </c>
      <c r="E304" s="14">
        <v>46213</v>
      </c>
      <c r="F304" s="9" t="s">
        <v>155</v>
      </c>
      <c r="G304" s="9" t="s">
        <v>156</v>
      </c>
      <c r="H304" s="2" t="s">
        <v>282</v>
      </c>
      <c r="I304" s="2" t="s">
        <v>183</v>
      </c>
      <c r="J304" s="2">
        <v>10007843</v>
      </c>
      <c r="K304" s="2" t="s">
        <v>413</v>
      </c>
      <c r="L304" s="21">
        <v>8</v>
      </c>
      <c r="M304" s="21">
        <v>8</v>
      </c>
      <c r="N304" s="21">
        <v>8</v>
      </c>
      <c r="O304" s="21">
        <v>0</v>
      </c>
      <c r="Q304" s="9" t="s">
        <v>553</v>
      </c>
      <c r="R304" s="19">
        <v>0</v>
      </c>
      <c r="S304" s="12">
        <v>0</v>
      </c>
      <c r="T304" s="20">
        <v>0</v>
      </c>
      <c r="U304" s="12">
        <v>64</v>
      </c>
      <c r="V304" s="12">
        <v>64</v>
      </c>
      <c r="W304" s="21">
        <v>8</v>
      </c>
      <c r="X304" s="19">
        <v>0</v>
      </c>
      <c r="Y304" s="22">
        <v>0</v>
      </c>
      <c r="Z304" s="9" t="s">
        <v>4</v>
      </c>
      <c r="AA304" s="23" t="s">
        <v>185</v>
      </c>
      <c r="AB304" s="3">
        <v>46232</v>
      </c>
      <c r="AC304" s="4">
        <v>371.36</v>
      </c>
      <c r="AD304" s="3">
        <v>46218</v>
      </c>
      <c r="AE304" s="3">
        <v>46218</v>
      </c>
    </row>
    <row r="305" spans="1:31">
      <c r="A305" s="2" t="s">
        <v>552</v>
      </c>
      <c r="B305" s="9">
        <v>80</v>
      </c>
      <c r="C305" s="2" t="s">
        <v>181</v>
      </c>
      <c r="D305" s="2" t="s">
        <v>154</v>
      </c>
      <c r="E305" s="14">
        <v>46213</v>
      </c>
      <c r="F305" s="9" t="s">
        <v>155</v>
      </c>
      <c r="G305" s="9" t="s">
        <v>156</v>
      </c>
      <c r="H305" s="2" t="s">
        <v>282</v>
      </c>
      <c r="I305" s="2" t="s">
        <v>183</v>
      </c>
      <c r="J305" s="2">
        <v>10076520</v>
      </c>
      <c r="K305" s="2" t="s">
        <v>519</v>
      </c>
      <c r="L305" s="21">
        <v>122</v>
      </c>
      <c r="M305" s="21">
        <v>122</v>
      </c>
      <c r="N305" s="21">
        <v>122</v>
      </c>
      <c r="O305" s="21">
        <v>0</v>
      </c>
      <c r="Q305" s="9" t="s">
        <v>553</v>
      </c>
      <c r="R305" s="19">
        <v>0</v>
      </c>
      <c r="S305" s="12">
        <v>0</v>
      </c>
      <c r="T305" s="20">
        <v>0</v>
      </c>
      <c r="U305" s="12">
        <v>1220</v>
      </c>
      <c r="V305" s="12">
        <v>1220</v>
      </c>
      <c r="W305" s="21">
        <v>122</v>
      </c>
      <c r="X305" s="19">
        <v>0</v>
      </c>
      <c r="Y305" s="22">
        <v>0</v>
      </c>
      <c r="Z305" s="9" t="s">
        <v>4</v>
      </c>
      <c r="AA305" s="23" t="s">
        <v>185</v>
      </c>
      <c r="AB305" s="3">
        <v>46233</v>
      </c>
      <c r="AC305" s="4">
        <v>6161</v>
      </c>
      <c r="AD305" s="3">
        <v>46218</v>
      </c>
      <c r="AE305" s="3">
        <v>46218</v>
      </c>
    </row>
    <row r="306" spans="1:31">
      <c r="A306" s="2" t="s">
        <v>552</v>
      </c>
      <c r="B306" s="9">
        <v>90</v>
      </c>
      <c r="C306" s="2" t="s">
        <v>181</v>
      </c>
      <c r="D306" s="2" t="s">
        <v>154</v>
      </c>
      <c r="E306" s="14">
        <v>46213</v>
      </c>
      <c r="F306" s="9" t="s">
        <v>155</v>
      </c>
      <c r="G306" s="9" t="s">
        <v>156</v>
      </c>
      <c r="H306" s="2" t="s">
        <v>282</v>
      </c>
      <c r="I306" s="2" t="s">
        <v>183</v>
      </c>
      <c r="J306" s="2">
        <v>10076782</v>
      </c>
      <c r="K306" s="2" t="s">
        <v>301</v>
      </c>
      <c r="L306" s="21">
        <v>20</v>
      </c>
      <c r="M306" s="21">
        <v>20</v>
      </c>
      <c r="N306" s="21">
        <v>20</v>
      </c>
      <c r="O306" s="21">
        <v>0</v>
      </c>
      <c r="Q306" s="9" t="s">
        <v>553</v>
      </c>
      <c r="R306" s="19">
        <v>0</v>
      </c>
      <c r="S306" s="12">
        <v>0</v>
      </c>
      <c r="T306" s="20">
        <v>0</v>
      </c>
      <c r="U306" s="12">
        <v>80</v>
      </c>
      <c r="V306" s="12">
        <v>80</v>
      </c>
      <c r="W306" s="21">
        <v>20</v>
      </c>
      <c r="X306" s="19">
        <v>0</v>
      </c>
      <c r="Y306" s="22">
        <v>0</v>
      </c>
      <c r="Z306" s="9" t="s">
        <v>4</v>
      </c>
      <c r="AA306" s="23" t="s">
        <v>185</v>
      </c>
      <c r="AB306" s="3">
        <v>46233</v>
      </c>
      <c r="AC306" s="4">
        <v>438.6</v>
      </c>
      <c r="AD306" s="3">
        <v>46218</v>
      </c>
      <c r="AE306" s="3">
        <v>46218</v>
      </c>
    </row>
    <row r="307" spans="1:31">
      <c r="A307" s="2" t="s">
        <v>557</v>
      </c>
      <c r="B307" s="9">
        <v>40</v>
      </c>
      <c r="C307" s="2" t="s">
        <v>181</v>
      </c>
      <c r="D307" s="2" t="s">
        <v>154</v>
      </c>
      <c r="E307" s="14">
        <v>46216</v>
      </c>
      <c r="F307" s="9" t="s">
        <v>155</v>
      </c>
      <c r="G307" s="9" t="s">
        <v>156</v>
      </c>
      <c r="H307" s="2" t="s">
        <v>272</v>
      </c>
      <c r="I307" s="2" t="s">
        <v>273</v>
      </c>
      <c r="J307" s="2">
        <v>10100028</v>
      </c>
      <c r="K307" s="2" t="s">
        <v>310</v>
      </c>
      <c r="L307" s="21">
        <v>7</v>
      </c>
      <c r="M307" s="21">
        <v>0</v>
      </c>
      <c r="N307" s="21">
        <v>0</v>
      </c>
      <c r="O307" s="21">
        <v>0</v>
      </c>
      <c r="R307" s="19">
        <v>0</v>
      </c>
      <c r="S307" s="12">
        <v>0</v>
      </c>
      <c r="T307" s="20">
        <v>0</v>
      </c>
      <c r="U307" s="12">
        <v>89.6</v>
      </c>
      <c r="V307" s="12">
        <v>0</v>
      </c>
      <c r="W307" s="21">
        <v>7</v>
      </c>
      <c r="X307" s="19">
        <v>0</v>
      </c>
      <c r="Y307" s="22">
        <v>0</v>
      </c>
      <c r="Z307" s="9" t="s">
        <v>3</v>
      </c>
      <c r="AA307" s="23" t="s">
        <v>274</v>
      </c>
      <c r="AC307" s="4">
        <v>269.70999999999998</v>
      </c>
      <c r="AD307" s="3">
        <v>46218</v>
      </c>
    </row>
    <row r="308" spans="1:31">
      <c r="A308" s="2" t="s">
        <v>557</v>
      </c>
      <c r="B308" s="9">
        <v>110</v>
      </c>
      <c r="C308" s="2" t="s">
        <v>181</v>
      </c>
      <c r="D308" s="2" t="s">
        <v>154</v>
      </c>
      <c r="E308" s="14">
        <v>46216</v>
      </c>
      <c r="F308" s="9" t="s">
        <v>155</v>
      </c>
      <c r="G308" s="9" t="s">
        <v>156</v>
      </c>
      <c r="H308" s="2" t="s">
        <v>272</v>
      </c>
      <c r="I308" s="2" t="s">
        <v>273</v>
      </c>
      <c r="J308" s="2">
        <v>10061099</v>
      </c>
      <c r="K308" s="2" t="s">
        <v>411</v>
      </c>
      <c r="L308" s="21">
        <v>4</v>
      </c>
      <c r="M308" s="21">
        <v>0</v>
      </c>
      <c r="N308" s="21">
        <v>0</v>
      </c>
      <c r="O308" s="21">
        <v>0</v>
      </c>
      <c r="R308" s="19">
        <v>0</v>
      </c>
      <c r="S308" s="12">
        <v>0</v>
      </c>
      <c r="T308" s="20">
        <v>0</v>
      </c>
      <c r="U308" s="12">
        <v>34.04</v>
      </c>
      <c r="V308" s="12">
        <v>0</v>
      </c>
      <c r="W308" s="21">
        <v>4</v>
      </c>
      <c r="X308" s="19">
        <v>0</v>
      </c>
      <c r="Y308" s="22">
        <v>0</v>
      </c>
      <c r="Z308" s="9" t="s">
        <v>3</v>
      </c>
      <c r="AA308" s="23" t="s">
        <v>274</v>
      </c>
      <c r="AC308" s="4">
        <v>97.48</v>
      </c>
      <c r="AD308" s="3">
        <v>46218</v>
      </c>
    </row>
    <row r="309" spans="1:31">
      <c r="A309" s="2" t="s">
        <v>558</v>
      </c>
      <c r="B309" s="9">
        <v>30</v>
      </c>
      <c r="C309" s="2" t="s">
        <v>153</v>
      </c>
      <c r="D309" s="2" t="s">
        <v>154</v>
      </c>
      <c r="E309" s="14">
        <v>46216</v>
      </c>
      <c r="F309" s="9" t="s">
        <v>155</v>
      </c>
      <c r="G309" s="9" t="s">
        <v>156</v>
      </c>
      <c r="H309" s="2" t="s">
        <v>496</v>
      </c>
      <c r="I309" s="2" t="s">
        <v>497</v>
      </c>
      <c r="J309" s="2">
        <v>10040869</v>
      </c>
      <c r="K309" s="2" t="s">
        <v>407</v>
      </c>
      <c r="L309" s="21">
        <v>30</v>
      </c>
      <c r="M309" s="21">
        <v>0</v>
      </c>
      <c r="N309" s="21">
        <v>0</v>
      </c>
      <c r="O309" s="21">
        <v>0</v>
      </c>
      <c r="R309" s="19">
        <v>0</v>
      </c>
      <c r="S309" s="12">
        <v>0</v>
      </c>
      <c r="T309" s="20">
        <v>0</v>
      </c>
      <c r="U309" s="12">
        <v>354.9</v>
      </c>
      <c r="V309" s="12">
        <v>0</v>
      </c>
      <c r="W309" s="21">
        <v>30</v>
      </c>
      <c r="X309" s="19">
        <v>0</v>
      </c>
      <c r="Y309" s="22">
        <v>0</v>
      </c>
      <c r="Z309" s="9" t="s">
        <v>3</v>
      </c>
      <c r="AA309" s="23" t="s">
        <v>498</v>
      </c>
      <c r="AC309" s="4">
        <v>625.20000000000005</v>
      </c>
      <c r="AD309" s="3">
        <v>46218</v>
      </c>
    </row>
    <row r="310" spans="1:31">
      <c r="A310" s="2" t="s">
        <v>559</v>
      </c>
      <c r="B310" s="9">
        <v>10</v>
      </c>
      <c r="C310" s="2" t="s">
        <v>181</v>
      </c>
      <c r="D310" s="2" t="s">
        <v>154</v>
      </c>
      <c r="E310" s="14">
        <v>46216</v>
      </c>
      <c r="F310" s="9" t="s">
        <v>155</v>
      </c>
      <c r="G310" s="9" t="s">
        <v>156</v>
      </c>
      <c r="H310" s="2" t="s">
        <v>212</v>
      </c>
      <c r="I310" s="2" t="s">
        <v>213</v>
      </c>
      <c r="J310" s="2">
        <v>10019641</v>
      </c>
      <c r="K310" s="2" t="s">
        <v>322</v>
      </c>
      <c r="L310" s="21">
        <v>2</v>
      </c>
      <c r="M310" s="21">
        <v>0</v>
      </c>
      <c r="N310" s="21">
        <v>0</v>
      </c>
      <c r="O310" s="21">
        <v>0</v>
      </c>
      <c r="R310" s="19">
        <v>0</v>
      </c>
      <c r="S310" s="12">
        <v>0</v>
      </c>
      <c r="T310" s="20">
        <v>0</v>
      </c>
      <c r="U310" s="12">
        <v>35.409999999999997</v>
      </c>
      <c r="V310" s="12">
        <v>0</v>
      </c>
      <c r="W310" s="21">
        <v>2</v>
      </c>
      <c r="X310" s="19">
        <v>5.2</v>
      </c>
      <c r="Y310" s="22">
        <v>0</v>
      </c>
      <c r="Z310" s="9" t="s">
        <v>3</v>
      </c>
      <c r="AA310" s="23" t="s">
        <v>215</v>
      </c>
      <c r="AC310" s="4">
        <v>145.81</v>
      </c>
      <c r="AD310" s="3">
        <v>46219</v>
      </c>
    </row>
    <row r="311" spans="1:31">
      <c r="A311" s="2" t="s">
        <v>559</v>
      </c>
      <c r="B311" s="9">
        <v>30</v>
      </c>
      <c r="C311" s="2" t="s">
        <v>181</v>
      </c>
      <c r="D311" s="2" t="s">
        <v>154</v>
      </c>
      <c r="E311" s="14">
        <v>46216</v>
      </c>
      <c r="F311" s="9" t="s">
        <v>155</v>
      </c>
      <c r="G311" s="9" t="s">
        <v>156</v>
      </c>
      <c r="H311" s="2" t="s">
        <v>212</v>
      </c>
      <c r="I311" s="2" t="s">
        <v>213</v>
      </c>
      <c r="J311" s="2">
        <v>10100364</v>
      </c>
      <c r="K311" s="2" t="s">
        <v>547</v>
      </c>
      <c r="L311" s="21">
        <v>2</v>
      </c>
      <c r="M311" s="21">
        <v>0</v>
      </c>
      <c r="N311" s="21">
        <v>0</v>
      </c>
      <c r="O311" s="21">
        <v>0</v>
      </c>
      <c r="R311" s="19">
        <v>0</v>
      </c>
      <c r="S311" s="12">
        <v>0</v>
      </c>
      <c r="T311" s="20">
        <v>0</v>
      </c>
      <c r="U311" s="12">
        <v>16.16</v>
      </c>
      <c r="V311" s="12">
        <v>0</v>
      </c>
      <c r="W311" s="21">
        <v>2</v>
      </c>
      <c r="X311" s="19">
        <v>0</v>
      </c>
      <c r="Y311" s="22">
        <v>0</v>
      </c>
      <c r="Z311" s="9" t="s">
        <v>3</v>
      </c>
      <c r="AA311" s="23" t="s">
        <v>215</v>
      </c>
      <c r="AC311" s="4">
        <v>66.540000000000006</v>
      </c>
      <c r="AD311" s="3">
        <v>46219</v>
      </c>
    </row>
    <row r="312" spans="1:31">
      <c r="A312" s="2" t="s">
        <v>559</v>
      </c>
      <c r="B312" s="9">
        <v>40</v>
      </c>
      <c r="C312" s="2" t="s">
        <v>181</v>
      </c>
      <c r="D312" s="2" t="s">
        <v>154</v>
      </c>
      <c r="E312" s="14">
        <v>46216</v>
      </c>
      <c r="F312" s="9" t="s">
        <v>155</v>
      </c>
      <c r="G312" s="9" t="s">
        <v>156</v>
      </c>
      <c r="H312" s="2" t="s">
        <v>212</v>
      </c>
      <c r="I312" s="2" t="s">
        <v>213</v>
      </c>
      <c r="J312" s="2">
        <v>10019648</v>
      </c>
      <c r="K312" s="2" t="s">
        <v>284</v>
      </c>
      <c r="L312" s="21">
        <v>10</v>
      </c>
      <c r="M312" s="21">
        <v>0</v>
      </c>
      <c r="N312" s="21">
        <v>0</v>
      </c>
      <c r="O312" s="21">
        <v>0</v>
      </c>
      <c r="R312" s="19">
        <v>0</v>
      </c>
      <c r="S312" s="12">
        <v>0</v>
      </c>
      <c r="T312" s="20">
        <v>0</v>
      </c>
      <c r="U312" s="12">
        <v>100</v>
      </c>
      <c r="V312" s="12">
        <v>0</v>
      </c>
      <c r="W312" s="21">
        <v>10</v>
      </c>
      <c r="X312" s="19">
        <v>0</v>
      </c>
      <c r="Y312" s="22">
        <v>0</v>
      </c>
      <c r="Z312" s="9" t="s">
        <v>3</v>
      </c>
      <c r="AA312" s="23" t="s">
        <v>215</v>
      </c>
      <c r="AC312" s="4">
        <v>421</v>
      </c>
      <c r="AD312" s="3">
        <v>46219</v>
      </c>
    </row>
    <row r="313" spans="1:31">
      <c r="A313" s="2" t="s">
        <v>559</v>
      </c>
      <c r="B313" s="9">
        <v>50</v>
      </c>
      <c r="C313" s="2" t="s">
        <v>181</v>
      </c>
      <c r="D313" s="2" t="s">
        <v>154</v>
      </c>
      <c r="E313" s="14">
        <v>46216</v>
      </c>
      <c r="F313" s="9" t="s">
        <v>155</v>
      </c>
      <c r="G313" s="9" t="s">
        <v>156</v>
      </c>
      <c r="H313" s="2" t="s">
        <v>212</v>
      </c>
      <c r="I313" s="2" t="s">
        <v>213</v>
      </c>
      <c r="J313" s="2">
        <v>10019706</v>
      </c>
      <c r="K313" s="2" t="s">
        <v>295</v>
      </c>
      <c r="L313" s="21">
        <v>1</v>
      </c>
      <c r="M313" s="21">
        <v>0</v>
      </c>
      <c r="N313" s="21">
        <v>0</v>
      </c>
      <c r="O313" s="21">
        <v>0</v>
      </c>
      <c r="R313" s="19">
        <v>0</v>
      </c>
      <c r="S313" s="12">
        <v>0</v>
      </c>
      <c r="T313" s="20">
        <v>0</v>
      </c>
      <c r="U313" s="12">
        <v>18.579999999999998</v>
      </c>
      <c r="V313" s="12">
        <v>0</v>
      </c>
      <c r="W313" s="21">
        <v>1</v>
      </c>
      <c r="X313" s="19">
        <v>2.5</v>
      </c>
      <c r="Y313" s="22">
        <v>0</v>
      </c>
      <c r="Z313" s="9" t="s">
        <v>3</v>
      </c>
      <c r="AA313" s="23" t="s">
        <v>215</v>
      </c>
      <c r="AC313" s="4">
        <v>74.48</v>
      </c>
      <c r="AD313" s="3">
        <v>46219</v>
      </c>
    </row>
    <row r="314" spans="1:31">
      <c r="A314" s="2" t="s">
        <v>559</v>
      </c>
      <c r="B314" s="9">
        <v>60</v>
      </c>
      <c r="C314" s="2" t="s">
        <v>181</v>
      </c>
      <c r="D314" s="2" t="s">
        <v>154</v>
      </c>
      <c r="E314" s="14">
        <v>46216</v>
      </c>
      <c r="F314" s="9" t="s">
        <v>155</v>
      </c>
      <c r="G314" s="9" t="s">
        <v>156</v>
      </c>
      <c r="H314" s="2" t="s">
        <v>212</v>
      </c>
      <c r="I314" s="2" t="s">
        <v>213</v>
      </c>
      <c r="J314" s="2">
        <v>10019706</v>
      </c>
      <c r="K314" s="2" t="s">
        <v>295</v>
      </c>
      <c r="L314" s="21">
        <v>5</v>
      </c>
      <c r="M314" s="21">
        <v>0</v>
      </c>
      <c r="N314" s="21">
        <v>0</v>
      </c>
      <c r="O314" s="21">
        <v>0</v>
      </c>
      <c r="R314" s="19">
        <v>0</v>
      </c>
      <c r="S314" s="12">
        <v>0</v>
      </c>
      <c r="T314" s="20">
        <v>0</v>
      </c>
      <c r="U314" s="12">
        <v>92.88</v>
      </c>
      <c r="V314" s="12">
        <v>0</v>
      </c>
      <c r="W314" s="21">
        <v>5</v>
      </c>
      <c r="X314" s="19">
        <v>12.5</v>
      </c>
      <c r="Y314" s="22">
        <v>0</v>
      </c>
      <c r="Z314" s="9" t="s">
        <v>3</v>
      </c>
      <c r="AA314" s="23" t="s">
        <v>215</v>
      </c>
      <c r="AC314" s="4">
        <v>372.38</v>
      </c>
      <c r="AD314" s="3">
        <v>46219</v>
      </c>
    </row>
    <row r="315" spans="1:31">
      <c r="A315" s="2" t="s">
        <v>559</v>
      </c>
      <c r="B315" s="9">
        <v>70</v>
      </c>
      <c r="C315" s="2" t="s">
        <v>181</v>
      </c>
      <c r="D315" s="2" t="s">
        <v>154</v>
      </c>
      <c r="E315" s="14">
        <v>46216</v>
      </c>
      <c r="F315" s="9" t="s">
        <v>155</v>
      </c>
      <c r="G315" s="9" t="s">
        <v>156</v>
      </c>
      <c r="H315" s="2" t="s">
        <v>212</v>
      </c>
      <c r="I315" s="2" t="s">
        <v>213</v>
      </c>
      <c r="J315" s="2">
        <v>10019648</v>
      </c>
      <c r="K315" s="2" t="s">
        <v>284</v>
      </c>
      <c r="L315" s="21">
        <v>10</v>
      </c>
      <c r="M315" s="21">
        <v>0</v>
      </c>
      <c r="N315" s="21">
        <v>0</v>
      </c>
      <c r="O315" s="21">
        <v>0</v>
      </c>
      <c r="R315" s="19">
        <v>0</v>
      </c>
      <c r="S315" s="12">
        <v>0</v>
      </c>
      <c r="T315" s="20">
        <v>0</v>
      </c>
      <c r="U315" s="12">
        <v>100</v>
      </c>
      <c r="V315" s="12">
        <v>0</v>
      </c>
      <c r="W315" s="21">
        <v>10</v>
      </c>
      <c r="X315" s="19">
        <v>0</v>
      </c>
      <c r="Y315" s="22">
        <v>0</v>
      </c>
      <c r="Z315" s="9" t="s">
        <v>3</v>
      </c>
      <c r="AA315" s="23" t="s">
        <v>215</v>
      </c>
      <c r="AC315" s="4">
        <v>421</v>
      </c>
      <c r="AD315" s="3">
        <v>46219</v>
      </c>
    </row>
    <row r="316" spans="1:31">
      <c r="A316" s="2" t="s">
        <v>559</v>
      </c>
      <c r="B316" s="9">
        <v>80</v>
      </c>
      <c r="C316" s="2" t="s">
        <v>181</v>
      </c>
      <c r="D316" s="2" t="s">
        <v>154</v>
      </c>
      <c r="E316" s="14">
        <v>46216</v>
      </c>
      <c r="F316" s="9" t="s">
        <v>155</v>
      </c>
      <c r="G316" s="9" t="s">
        <v>156</v>
      </c>
      <c r="H316" s="2" t="s">
        <v>212</v>
      </c>
      <c r="I316" s="2" t="s">
        <v>213</v>
      </c>
      <c r="J316" s="2">
        <v>10100028</v>
      </c>
      <c r="K316" s="2" t="s">
        <v>310</v>
      </c>
      <c r="L316" s="21">
        <v>7</v>
      </c>
      <c r="M316" s="21">
        <v>0</v>
      </c>
      <c r="N316" s="21">
        <v>0</v>
      </c>
      <c r="O316" s="21">
        <v>0</v>
      </c>
      <c r="R316" s="19">
        <v>0</v>
      </c>
      <c r="S316" s="12">
        <v>0</v>
      </c>
      <c r="T316" s="20">
        <v>0</v>
      </c>
      <c r="U316" s="12">
        <v>89.6</v>
      </c>
      <c r="V316" s="12">
        <v>0</v>
      </c>
      <c r="W316" s="21">
        <v>7</v>
      </c>
      <c r="X316" s="19">
        <v>0</v>
      </c>
      <c r="Y316" s="22">
        <v>0</v>
      </c>
      <c r="Z316" s="9" t="s">
        <v>3</v>
      </c>
      <c r="AA316" s="23" t="s">
        <v>215</v>
      </c>
      <c r="AC316" s="4">
        <v>269.70999999999998</v>
      </c>
      <c r="AD316" s="3">
        <v>46219</v>
      </c>
    </row>
    <row r="317" spans="1:31">
      <c r="A317" s="2" t="s">
        <v>559</v>
      </c>
      <c r="B317" s="9">
        <v>120</v>
      </c>
      <c r="C317" s="2" t="s">
        <v>181</v>
      </c>
      <c r="D317" s="2" t="s">
        <v>154</v>
      </c>
      <c r="E317" s="14">
        <v>46216</v>
      </c>
      <c r="F317" s="9" t="s">
        <v>155</v>
      </c>
      <c r="G317" s="9" t="s">
        <v>156</v>
      </c>
      <c r="H317" s="2" t="s">
        <v>212</v>
      </c>
      <c r="I317" s="2" t="s">
        <v>213</v>
      </c>
      <c r="J317" s="2">
        <v>10061099</v>
      </c>
      <c r="K317" s="2" t="s">
        <v>411</v>
      </c>
      <c r="L317" s="21">
        <v>4</v>
      </c>
      <c r="M317" s="21">
        <v>0</v>
      </c>
      <c r="N317" s="21">
        <v>0</v>
      </c>
      <c r="O317" s="21">
        <v>0</v>
      </c>
      <c r="R317" s="19">
        <v>0</v>
      </c>
      <c r="S317" s="12">
        <v>0</v>
      </c>
      <c r="T317" s="20">
        <v>0</v>
      </c>
      <c r="U317" s="12">
        <v>34.04</v>
      </c>
      <c r="V317" s="12">
        <v>0</v>
      </c>
      <c r="W317" s="21">
        <v>4</v>
      </c>
      <c r="X317" s="19">
        <v>0</v>
      </c>
      <c r="Y317" s="22">
        <v>0</v>
      </c>
      <c r="Z317" s="9" t="s">
        <v>3</v>
      </c>
      <c r="AA317" s="23" t="s">
        <v>215</v>
      </c>
      <c r="AC317" s="4">
        <v>97.48</v>
      </c>
      <c r="AD317" s="3">
        <v>46219</v>
      </c>
    </row>
    <row r="318" spans="1:31">
      <c r="A318" s="2" t="s">
        <v>560</v>
      </c>
      <c r="B318" s="9">
        <v>10</v>
      </c>
      <c r="C318" s="2" t="s">
        <v>181</v>
      </c>
      <c r="D318" s="2" t="s">
        <v>154</v>
      </c>
      <c r="E318" s="14">
        <v>46223</v>
      </c>
      <c r="F318" s="9" t="s">
        <v>155</v>
      </c>
      <c r="G318" s="9" t="s">
        <v>156</v>
      </c>
      <c r="H318" s="2" t="s">
        <v>272</v>
      </c>
      <c r="I318" s="2" t="s">
        <v>273</v>
      </c>
      <c r="J318" s="2">
        <v>10100028</v>
      </c>
      <c r="K318" s="2" t="s">
        <v>310</v>
      </c>
      <c r="L318" s="21">
        <v>7</v>
      </c>
      <c r="M318" s="21">
        <v>0</v>
      </c>
      <c r="N318" s="21">
        <v>0</v>
      </c>
      <c r="O318" s="21">
        <v>0</v>
      </c>
      <c r="R318" s="19">
        <v>0</v>
      </c>
      <c r="S318" s="12">
        <v>0</v>
      </c>
      <c r="T318" s="20">
        <v>0</v>
      </c>
      <c r="U318" s="12">
        <v>89.6</v>
      </c>
      <c r="V318" s="12">
        <v>0</v>
      </c>
      <c r="W318" s="21">
        <v>7</v>
      </c>
      <c r="X318" s="19">
        <v>0</v>
      </c>
      <c r="Y318" s="22">
        <v>0</v>
      </c>
      <c r="Z318" s="9" t="s">
        <v>3</v>
      </c>
      <c r="AA318" s="23" t="s">
        <v>274</v>
      </c>
      <c r="AC318" s="4">
        <v>269.70999999999998</v>
      </c>
      <c r="AD318" s="3">
        <v>46225</v>
      </c>
    </row>
    <row r="319" spans="1:31">
      <c r="A319" s="2" t="s">
        <v>560</v>
      </c>
      <c r="B319" s="9">
        <v>30</v>
      </c>
      <c r="C319" s="2" t="s">
        <v>181</v>
      </c>
      <c r="D319" s="2" t="s">
        <v>154</v>
      </c>
      <c r="E319" s="14">
        <v>46223</v>
      </c>
      <c r="F319" s="9" t="s">
        <v>155</v>
      </c>
      <c r="G319" s="9" t="s">
        <v>156</v>
      </c>
      <c r="H319" s="2" t="s">
        <v>272</v>
      </c>
      <c r="I319" s="2" t="s">
        <v>273</v>
      </c>
      <c r="J319" s="2">
        <v>10061013</v>
      </c>
      <c r="K319" s="2" t="s">
        <v>370</v>
      </c>
      <c r="L319" s="21">
        <v>24</v>
      </c>
      <c r="M319" s="21">
        <v>0</v>
      </c>
      <c r="N319" s="21">
        <v>0</v>
      </c>
      <c r="O319" s="21">
        <v>0</v>
      </c>
      <c r="R319" s="19">
        <v>0</v>
      </c>
      <c r="S319" s="12">
        <v>0</v>
      </c>
      <c r="T319" s="20">
        <v>0</v>
      </c>
      <c r="U319" s="12">
        <v>213.36</v>
      </c>
      <c r="V319" s="12">
        <v>0</v>
      </c>
      <c r="W319" s="21">
        <v>24</v>
      </c>
      <c r="X319" s="19">
        <v>0</v>
      </c>
      <c r="Y319" s="22">
        <v>0</v>
      </c>
      <c r="Z319" s="9" t="s">
        <v>3</v>
      </c>
      <c r="AA319" s="23" t="s">
        <v>274</v>
      </c>
      <c r="AC319" s="4">
        <v>631.67999999999995</v>
      </c>
      <c r="AD319" s="3">
        <v>46225</v>
      </c>
    </row>
    <row r="320" spans="1:31">
      <c r="A320" s="2" t="s">
        <v>561</v>
      </c>
      <c r="B320" s="9">
        <v>10</v>
      </c>
      <c r="C320" s="2" t="s">
        <v>192</v>
      </c>
      <c r="D320" s="2" t="s">
        <v>154</v>
      </c>
      <c r="E320" s="14">
        <v>46223</v>
      </c>
      <c r="F320" s="9" t="s">
        <v>155</v>
      </c>
      <c r="G320" s="9" t="s">
        <v>156</v>
      </c>
      <c r="H320" s="2" t="s">
        <v>442</v>
      </c>
      <c r="I320" s="2" t="s">
        <v>443</v>
      </c>
      <c r="J320" s="2">
        <v>10100030</v>
      </c>
      <c r="K320" s="2" t="s">
        <v>312</v>
      </c>
      <c r="L320" s="21">
        <v>1</v>
      </c>
      <c r="M320" s="21">
        <v>0</v>
      </c>
      <c r="N320" s="21">
        <v>0</v>
      </c>
      <c r="O320" s="21">
        <v>0</v>
      </c>
      <c r="R320" s="19">
        <v>0</v>
      </c>
      <c r="S320" s="12">
        <v>0</v>
      </c>
      <c r="T320" s="20">
        <v>0</v>
      </c>
      <c r="U320" s="12">
        <v>12.23</v>
      </c>
      <c r="V320" s="12">
        <v>0</v>
      </c>
      <c r="W320" s="21">
        <v>1</v>
      </c>
      <c r="X320" s="19">
        <v>0</v>
      </c>
      <c r="Y320" s="22">
        <v>0</v>
      </c>
      <c r="Z320" s="9" t="s">
        <v>3</v>
      </c>
      <c r="AA320" s="23" t="s">
        <v>444</v>
      </c>
      <c r="AC320" s="4">
        <v>36.82</v>
      </c>
      <c r="AD320" s="3">
        <v>46227</v>
      </c>
    </row>
    <row r="321" spans="1:31">
      <c r="A321" s="2" t="s">
        <v>561</v>
      </c>
      <c r="B321" s="9">
        <v>20</v>
      </c>
      <c r="C321" s="2" t="s">
        <v>192</v>
      </c>
      <c r="D321" s="2" t="s">
        <v>154</v>
      </c>
      <c r="E321" s="14">
        <v>46223</v>
      </c>
      <c r="F321" s="9" t="s">
        <v>155</v>
      </c>
      <c r="G321" s="9" t="s">
        <v>156</v>
      </c>
      <c r="H321" s="2" t="s">
        <v>442</v>
      </c>
      <c r="I321" s="2" t="s">
        <v>443</v>
      </c>
      <c r="J321" s="2">
        <v>10100028</v>
      </c>
      <c r="K321" s="2" t="s">
        <v>310</v>
      </c>
      <c r="L321" s="21">
        <v>7</v>
      </c>
      <c r="M321" s="21">
        <v>0</v>
      </c>
      <c r="N321" s="21">
        <v>0</v>
      </c>
      <c r="O321" s="21">
        <v>0</v>
      </c>
      <c r="R321" s="19">
        <v>0</v>
      </c>
      <c r="S321" s="12">
        <v>0</v>
      </c>
      <c r="T321" s="20">
        <v>0</v>
      </c>
      <c r="U321" s="12">
        <v>89.6</v>
      </c>
      <c r="V321" s="12">
        <v>0</v>
      </c>
      <c r="W321" s="21">
        <v>7</v>
      </c>
      <c r="X321" s="19">
        <v>0</v>
      </c>
      <c r="Y321" s="22">
        <v>0</v>
      </c>
      <c r="Z321" s="9" t="s">
        <v>3</v>
      </c>
      <c r="AA321" s="23" t="s">
        <v>444</v>
      </c>
      <c r="AC321" s="4">
        <v>269.70999999999998</v>
      </c>
      <c r="AD321" s="3">
        <v>46227</v>
      </c>
    </row>
    <row r="322" spans="1:31">
      <c r="A322" s="2" t="s">
        <v>561</v>
      </c>
      <c r="B322" s="9">
        <v>80</v>
      </c>
      <c r="C322" s="2" t="s">
        <v>192</v>
      </c>
      <c r="D322" s="2" t="s">
        <v>154</v>
      </c>
      <c r="E322" s="14">
        <v>46223</v>
      </c>
      <c r="F322" s="9" t="s">
        <v>155</v>
      </c>
      <c r="G322" s="9" t="s">
        <v>156</v>
      </c>
      <c r="H322" s="2" t="s">
        <v>442</v>
      </c>
      <c r="I322" s="2" t="s">
        <v>443</v>
      </c>
      <c r="J322" s="2">
        <v>10054147</v>
      </c>
      <c r="K322" s="2" t="s">
        <v>537</v>
      </c>
      <c r="L322" s="21">
        <v>10</v>
      </c>
      <c r="M322" s="21">
        <v>0</v>
      </c>
      <c r="N322" s="21">
        <v>0</v>
      </c>
      <c r="O322" s="21">
        <v>0</v>
      </c>
      <c r="R322" s="19">
        <v>0</v>
      </c>
      <c r="S322" s="12">
        <v>0</v>
      </c>
      <c r="T322" s="20">
        <v>0</v>
      </c>
      <c r="U322" s="12">
        <v>46.5</v>
      </c>
      <c r="V322" s="12">
        <v>0</v>
      </c>
      <c r="W322" s="21">
        <v>10</v>
      </c>
      <c r="X322" s="19">
        <v>0</v>
      </c>
      <c r="Y322" s="22">
        <v>0</v>
      </c>
      <c r="Z322" s="9" t="s">
        <v>3</v>
      </c>
      <c r="AA322" s="23" t="s">
        <v>444</v>
      </c>
      <c r="AC322" s="4">
        <v>104.7</v>
      </c>
      <c r="AD322" s="3">
        <v>46227</v>
      </c>
    </row>
    <row r="323" spans="1:31">
      <c r="A323" s="2" t="s">
        <v>561</v>
      </c>
      <c r="B323" s="9">
        <v>120</v>
      </c>
      <c r="C323" s="2" t="s">
        <v>192</v>
      </c>
      <c r="D323" s="2" t="s">
        <v>154</v>
      </c>
      <c r="E323" s="14">
        <v>46223</v>
      </c>
      <c r="F323" s="9" t="s">
        <v>155</v>
      </c>
      <c r="G323" s="9" t="s">
        <v>156</v>
      </c>
      <c r="H323" s="2" t="s">
        <v>442</v>
      </c>
      <c r="I323" s="2" t="s">
        <v>443</v>
      </c>
      <c r="J323" s="2">
        <v>10061013</v>
      </c>
      <c r="K323" s="2" t="s">
        <v>370</v>
      </c>
      <c r="L323" s="21">
        <v>12</v>
      </c>
      <c r="M323" s="21">
        <v>0</v>
      </c>
      <c r="N323" s="21">
        <v>0</v>
      </c>
      <c r="O323" s="21">
        <v>0</v>
      </c>
      <c r="R323" s="19">
        <v>0</v>
      </c>
      <c r="S323" s="12">
        <v>0</v>
      </c>
      <c r="T323" s="20">
        <v>0</v>
      </c>
      <c r="U323" s="12">
        <v>106.68</v>
      </c>
      <c r="V323" s="12">
        <v>0</v>
      </c>
      <c r="W323" s="21">
        <v>12</v>
      </c>
      <c r="X323" s="19">
        <v>0</v>
      </c>
      <c r="Y323" s="22">
        <v>0</v>
      </c>
      <c r="Z323" s="9" t="s">
        <v>3</v>
      </c>
      <c r="AA323" s="23" t="s">
        <v>444</v>
      </c>
      <c r="AC323" s="4">
        <v>315.83999999999997</v>
      </c>
      <c r="AD323" s="3">
        <v>46227</v>
      </c>
    </row>
    <row r="324" spans="1:31">
      <c r="A324" s="2" t="s">
        <v>561</v>
      </c>
      <c r="B324" s="9">
        <v>130</v>
      </c>
      <c r="C324" s="2" t="s">
        <v>192</v>
      </c>
      <c r="D324" s="2" t="s">
        <v>154</v>
      </c>
      <c r="E324" s="14">
        <v>46223</v>
      </c>
      <c r="F324" s="9" t="s">
        <v>155</v>
      </c>
      <c r="G324" s="9" t="s">
        <v>156</v>
      </c>
      <c r="H324" s="2" t="s">
        <v>442</v>
      </c>
      <c r="I324" s="2" t="s">
        <v>443</v>
      </c>
      <c r="J324" s="2">
        <v>10045483</v>
      </c>
      <c r="K324" s="2" t="s">
        <v>383</v>
      </c>
      <c r="L324" s="21">
        <v>8</v>
      </c>
      <c r="M324" s="21">
        <v>0</v>
      </c>
      <c r="N324" s="21">
        <v>0</v>
      </c>
      <c r="O324" s="21">
        <v>0</v>
      </c>
      <c r="R324" s="19">
        <v>0</v>
      </c>
      <c r="S324" s="12">
        <v>0</v>
      </c>
      <c r="T324" s="20">
        <v>0</v>
      </c>
      <c r="U324" s="12">
        <v>87.2</v>
      </c>
      <c r="V324" s="12">
        <v>0</v>
      </c>
      <c r="W324" s="21">
        <v>8</v>
      </c>
      <c r="X324" s="19">
        <v>0</v>
      </c>
      <c r="Y324" s="22">
        <v>0</v>
      </c>
      <c r="Z324" s="9" t="s">
        <v>3</v>
      </c>
      <c r="AA324" s="23" t="s">
        <v>444</v>
      </c>
      <c r="AC324" s="4">
        <v>240.64</v>
      </c>
      <c r="AD324" s="3">
        <v>46227</v>
      </c>
    </row>
    <row r="325" spans="1:31">
      <c r="A325" s="2" t="s">
        <v>561</v>
      </c>
      <c r="B325" s="9">
        <v>150</v>
      </c>
      <c r="C325" s="2" t="s">
        <v>192</v>
      </c>
      <c r="D325" s="2" t="s">
        <v>154</v>
      </c>
      <c r="E325" s="14">
        <v>46223</v>
      </c>
      <c r="F325" s="9" t="s">
        <v>155</v>
      </c>
      <c r="G325" s="9" t="s">
        <v>156</v>
      </c>
      <c r="H325" s="2" t="s">
        <v>442</v>
      </c>
      <c r="I325" s="2" t="s">
        <v>443</v>
      </c>
      <c r="J325" s="2">
        <v>10061060</v>
      </c>
      <c r="K325" s="2" t="s">
        <v>456</v>
      </c>
      <c r="L325" s="21">
        <v>12</v>
      </c>
      <c r="M325" s="21">
        <v>0</v>
      </c>
      <c r="N325" s="21">
        <v>0</v>
      </c>
      <c r="O325" s="21">
        <v>0</v>
      </c>
      <c r="R325" s="19">
        <v>0</v>
      </c>
      <c r="S325" s="12">
        <v>0</v>
      </c>
      <c r="T325" s="20">
        <v>0</v>
      </c>
      <c r="U325" s="12">
        <v>64.2</v>
      </c>
      <c r="V325" s="12">
        <v>0</v>
      </c>
      <c r="W325" s="21">
        <v>12</v>
      </c>
      <c r="X325" s="19">
        <v>0</v>
      </c>
      <c r="Y325" s="22">
        <v>0</v>
      </c>
      <c r="Z325" s="9" t="s">
        <v>3</v>
      </c>
      <c r="AA325" s="23" t="s">
        <v>444</v>
      </c>
      <c r="AC325" s="4">
        <v>185.88</v>
      </c>
      <c r="AD325" s="3">
        <v>46227</v>
      </c>
    </row>
    <row r="326" spans="1:31">
      <c r="A326" s="2" t="s">
        <v>562</v>
      </c>
      <c r="B326" s="9">
        <v>30</v>
      </c>
      <c r="C326" s="2" t="s">
        <v>181</v>
      </c>
      <c r="D326" s="2" t="s">
        <v>154</v>
      </c>
      <c r="E326" s="14">
        <v>46223</v>
      </c>
      <c r="F326" s="9" t="s">
        <v>155</v>
      </c>
      <c r="G326" s="9" t="s">
        <v>156</v>
      </c>
      <c r="H326" s="2" t="s">
        <v>212</v>
      </c>
      <c r="I326" s="2" t="s">
        <v>213</v>
      </c>
      <c r="J326" s="2">
        <v>10100028</v>
      </c>
      <c r="K326" s="2" t="s">
        <v>310</v>
      </c>
      <c r="L326" s="21">
        <v>7</v>
      </c>
      <c r="M326" s="21">
        <v>0</v>
      </c>
      <c r="N326" s="21">
        <v>0</v>
      </c>
      <c r="O326" s="21">
        <v>0</v>
      </c>
      <c r="R326" s="19">
        <v>0</v>
      </c>
      <c r="S326" s="12">
        <v>0</v>
      </c>
      <c r="T326" s="20">
        <v>0</v>
      </c>
      <c r="U326" s="12">
        <v>89.6</v>
      </c>
      <c r="V326" s="12">
        <v>0</v>
      </c>
      <c r="W326" s="21">
        <v>7</v>
      </c>
      <c r="X326" s="19">
        <v>0</v>
      </c>
      <c r="Y326" s="22">
        <v>0</v>
      </c>
      <c r="Z326" s="9" t="s">
        <v>3</v>
      </c>
      <c r="AA326" s="23" t="s">
        <v>215</v>
      </c>
      <c r="AC326" s="4">
        <v>269.70999999999998</v>
      </c>
      <c r="AD326" s="3">
        <v>46230</v>
      </c>
    </row>
    <row r="327" spans="1:31">
      <c r="A327" s="2" t="s">
        <v>562</v>
      </c>
      <c r="B327" s="9">
        <v>60</v>
      </c>
      <c r="C327" s="2" t="s">
        <v>181</v>
      </c>
      <c r="D327" s="2" t="s">
        <v>154</v>
      </c>
      <c r="E327" s="14">
        <v>46223</v>
      </c>
      <c r="F327" s="9" t="s">
        <v>155</v>
      </c>
      <c r="G327" s="9" t="s">
        <v>156</v>
      </c>
      <c r="H327" s="2" t="s">
        <v>212</v>
      </c>
      <c r="I327" s="2" t="s">
        <v>213</v>
      </c>
      <c r="J327" s="2">
        <v>10061013</v>
      </c>
      <c r="K327" s="2" t="s">
        <v>370</v>
      </c>
      <c r="L327" s="21">
        <v>24</v>
      </c>
      <c r="M327" s="21">
        <v>0</v>
      </c>
      <c r="N327" s="21">
        <v>0</v>
      </c>
      <c r="O327" s="21">
        <v>0</v>
      </c>
      <c r="R327" s="19">
        <v>0</v>
      </c>
      <c r="S327" s="12">
        <v>0</v>
      </c>
      <c r="T327" s="20">
        <v>0</v>
      </c>
      <c r="U327" s="12">
        <v>213.36</v>
      </c>
      <c r="V327" s="12">
        <v>0</v>
      </c>
      <c r="W327" s="21">
        <v>24</v>
      </c>
      <c r="X327" s="19">
        <v>0</v>
      </c>
      <c r="Y327" s="22">
        <v>0</v>
      </c>
      <c r="Z327" s="9" t="s">
        <v>3</v>
      </c>
      <c r="AA327" s="23" t="s">
        <v>215</v>
      </c>
      <c r="AC327" s="4">
        <v>631.67999999999995</v>
      </c>
      <c r="AD327" s="3">
        <v>46230</v>
      </c>
    </row>
    <row r="328" spans="1:31">
      <c r="A328" s="2" t="s">
        <v>563</v>
      </c>
      <c r="B328" s="9">
        <v>10</v>
      </c>
      <c r="C328" s="2" t="s">
        <v>192</v>
      </c>
      <c r="D328" s="2" t="s">
        <v>154</v>
      </c>
      <c r="E328" s="14">
        <v>46223</v>
      </c>
      <c r="F328" s="9" t="s">
        <v>155</v>
      </c>
      <c r="G328" s="9" t="s">
        <v>156</v>
      </c>
      <c r="H328" s="2" t="s">
        <v>343</v>
      </c>
      <c r="I328" s="2" t="s">
        <v>344</v>
      </c>
      <c r="J328" s="2">
        <v>10100028</v>
      </c>
      <c r="K328" s="2" t="s">
        <v>310</v>
      </c>
      <c r="L328" s="21">
        <v>4</v>
      </c>
      <c r="M328" s="21">
        <v>0</v>
      </c>
      <c r="N328" s="21">
        <v>0</v>
      </c>
      <c r="O328" s="21">
        <v>0</v>
      </c>
      <c r="R328" s="19">
        <v>0</v>
      </c>
      <c r="S328" s="12">
        <v>0</v>
      </c>
      <c r="T328" s="20">
        <v>0</v>
      </c>
      <c r="U328" s="12">
        <v>51.2</v>
      </c>
      <c r="V328" s="12">
        <v>0</v>
      </c>
      <c r="W328" s="21">
        <v>4</v>
      </c>
      <c r="X328" s="19">
        <v>0</v>
      </c>
      <c r="Y328" s="22">
        <v>0</v>
      </c>
      <c r="Z328" s="9" t="s">
        <v>3</v>
      </c>
      <c r="AA328" s="23" t="s">
        <v>345</v>
      </c>
      <c r="AC328" s="4">
        <v>154.12</v>
      </c>
      <c r="AD328" s="3">
        <v>46227</v>
      </c>
    </row>
    <row r="329" spans="1:31">
      <c r="A329" s="2" t="s">
        <v>564</v>
      </c>
      <c r="B329" s="9">
        <v>60</v>
      </c>
      <c r="C329" s="2" t="s">
        <v>192</v>
      </c>
      <c r="D329" s="2" t="s">
        <v>154</v>
      </c>
      <c r="E329" s="14">
        <v>46223</v>
      </c>
      <c r="F329" s="9" t="s">
        <v>155</v>
      </c>
      <c r="G329" s="9" t="s">
        <v>156</v>
      </c>
      <c r="H329" s="2" t="s">
        <v>527</v>
      </c>
      <c r="I329" s="2" t="s">
        <v>528</v>
      </c>
      <c r="J329" s="2">
        <v>10054147</v>
      </c>
      <c r="K329" s="2" t="s">
        <v>537</v>
      </c>
      <c r="L329" s="21">
        <v>25</v>
      </c>
      <c r="M329" s="21">
        <v>0</v>
      </c>
      <c r="N329" s="21">
        <v>0</v>
      </c>
      <c r="O329" s="21">
        <v>0</v>
      </c>
      <c r="R329" s="19">
        <v>0</v>
      </c>
      <c r="S329" s="12">
        <v>0</v>
      </c>
      <c r="T329" s="20">
        <v>0</v>
      </c>
      <c r="U329" s="12">
        <v>116.25</v>
      </c>
      <c r="V329" s="12">
        <v>0</v>
      </c>
      <c r="W329" s="21">
        <v>25</v>
      </c>
      <c r="X329" s="19">
        <v>0</v>
      </c>
      <c r="Y329" s="22">
        <v>0</v>
      </c>
      <c r="Z329" s="9" t="s">
        <v>3</v>
      </c>
      <c r="AA329" s="23" t="s">
        <v>529</v>
      </c>
      <c r="AC329" s="4">
        <v>261.75</v>
      </c>
      <c r="AD329" s="3">
        <v>46230</v>
      </c>
    </row>
    <row r="330" spans="1:31">
      <c r="A330" s="2" t="s">
        <v>564</v>
      </c>
      <c r="B330" s="9">
        <v>90</v>
      </c>
      <c r="C330" s="2" t="s">
        <v>192</v>
      </c>
      <c r="D330" s="2" t="s">
        <v>154</v>
      </c>
      <c r="E330" s="14">
        <v>46223</v>
      </c>
      <c r="F330" s="9" t="s">
        <v>155</v>
      </c>
      <c r="G330" s="9" t="s">
        <v>156</v>
      </c>
      <c r="H330" s="2" t="s">
        <v>527</v>
      </c>
      <c r="I330" s="2" t="s">
        <v>528</v>
      </c>
      <c r="J330" s="2">
        <v>10061013</v>
      </c>
      <c r="K330" s="2" t="s">
        <v>370</v>
      </c>
      <c r="L330" s="21">
        <v>24</v>
      </c>
      <c r="M330" s="21">
        <v>0</v>
      </c>
      <c r="N330" s="21">
        <v>0</v>
      </c>
      <c r="O330" s="21">
        <v>0</v>
      </c>
      <c r="R330" s="19">
        <v>0</v>
      </c>
      <c r="S330" s="12">
        <v>0</v>
      </c>
      <c r="T330" s="20">
        <v>0</v>
      </c>
      <c r="U330" s="12">
        <v>213.36</v>
      </c>
      <c r="V330" s="12">
        <v>0</v>
      </c>
      <c r="W330" s="21">
        <v>24</v>
      </c>
      <c r="X330" s="19">
        <v>0</v>
      </c>
      <c r="Y330" s="22">
        <v>0</v>
      </c>
      <c r="Z330" s="9" t="s">
        <v>3</v>
      </c>
      <c r="AA330" s="23" t="s">
        <v>529</v>
      </c>
      <c r="AC330" s="4">
        <v>631.67999999999995</v>
      </c>
      <c r="AD330" s="3">
        <v>46230</v>
      </c>
    </row>
    <row r="331" spans="1:31">
      <c r="A331" s="2" t="s">
        <v>564</v>
      </c>
      <c r="B331" s="9">
        <v>100</v>
      </c>
      <c r="C331" s="2" t="s">
        <v>192</v>
      </c>
      <c r="D331" s="2" t="s">
        <v>154</v>
      </c>
      <c r="E331" s="14">
        <v>46223</v>
      </c>
      <c r="F331" s="9" t="s">
        <v>155</v>
      </c>
      <c r="G331" s="9" t="s">
        <v>156</v>
      </c>
      <c r="H331" s="2" t="s">
        <v>527</v>
      </c>
      <c r="I331" s="2" t="s">
        <v>528</v>
      </c>
      <c r="J331" s="2">
        <v>10061060</v>
      </c>
      <c r="K331" s="2" t="s">
        <v>456</v>
      </c>
      <c r="L331" s="21">
        <v>10</v>
      </c>
      <c r="M331" s="21">
        <v>0</v>
      </c>
      <c r="N331" s="21">
        <v>0</v>
      </c>
      <c r="O331" s="21">
        <v>0</v>
      </c>
      <c r="R331" s="19">
        <v>0</v>
      </c>
      <c r="S331" s="12">
        <v>0</v>
      </c>
      <c r="T331" s="20">
        <v>0</v>
      </c>
      <c r="U331" s="12">
        <v>53.5</v>
      </c>
      <c r="V331" s="12">
        <v>0</v>
      </c>
      <c r="W331" s="21">
        <v>10</v>
      </c>
      <c r="X331" s="19">
        <v>0</v>
      </c>
      <c r="Y331" s="22">
        <v>0</v>
      </c>
      <c r="Z331" s="9" t="s">
        <v>3</v>
      </c>
      <c r="AA331" s="23" t="s">
        <v>529</v>
      </c>
      <c r="AC331" s="4">
        <v>154.9</v>
      </c>
      <c r="AD331" s="3">
        <v>46230</v>
      </c>
    </row>
    <row r="332" spans="1:31">
      <c r="A332" s="2" t="s">
        <v>565</v>
      </c>
      <c r="B332" s="9">
        <v>10</v>
      </c>
      <c r="C332" s="2" t="s">
        <v>153</v>
      </c>
      <c r="D332" s="2" t="s">
        <v>154</v>
      </c>
      <c r="E332" s="14">
        <v>46223</v>
      </c>
      <c r="F332" s="9" t="s">
        <v>155</v>
      </c>
      <c r="G332" s="9" t="s">
        <v>156</v>
      </c>
      <c r="H332" s="2" t="s">
        <v>566</v>
      </c>
      <c r="I332" s="2" t="s">
        <v>567</v>
      </c>
      <c r="J332" s="2">
        <v>10100030</v>
      </c>
      <c r="K332" s="2" t="s">
        <v>312</v>
      </c>
      <c r="L332" s="21">
        <v>1</v>
      </c>
      <c r="M332" s="21">
        <v>0</v>
      </c>
      <c r="N332" s="21">
        <v>0</v>
      </c>
      <c r="O332" s="21">
        <v>0</v>
      </c>
      <c r="R332" s="19">
        <v>0</v>
      </c>
      <c r="S332" s="12">
        <v>0</v>
      </c>
      <c r="T332" s="20">
        <v>0</v>
      </c>
      <c r="U332" s="12">
        <v>12.23</v>
      </c>
      <c r="V332" s="12">
        <v>0</v>
      </c>
      <c r="W332" s="21">
        <v>1</v>
      </c>
      <c r="X332" s="19">
        <v>0</v>
      </c>
      <c r="Y332" s="22">
        <v>0</v>
      </c>
      <c r="Z332" s="9" t="s">
        <v>3</v>
      </c>
      <c r="AA332" s="23" t="s">
        <v>568</v>
      </c>
      <c r="AC332" s="4">
        <v>36.82</v>
      </c>
      <c r="AD332" s="3">
        <v>46225</v>
      </c>
    </row>
    <row r="333" spans="1:31">
      <c r="A333" s="2" t="s">
        <v>565</v>
      </c>
      <c r="B333" s="9">
        <v>40</v>
      </c>
      <c r="C333" s="2" t="s">
        <v>153</v>
      </c>
      <c r="D333" s="2" t="s">
        <v>154</v>
      </c>
      <c r="E333" s="14">
        <v>46223</v>
      </c>
      <c r="F333" s="9" t="s">
        <v>155</v>
      </c>
      <c r="G333" s="9" t="s">
        <v>156</v>
      </c>
      <c r="H333" s="2" t="s">
        <v>566</v>
      </c>
      <c r="I333" s="2" t="s">
        <v>567</v>
      </c>
      <c r="J333" s="2">
        <v>10100028</v>
      </c>
      <c r="K333" s="2" t="s">
        <v>310</v>
      </c>
      <c r="L333" s="21">
        <v>7</v>
      </c>
      <c r="M333" s="21">
        <v>0</v>
      </c>
      <c r="N333" s="21">
        <v>0</v>
      </c>
      <c r="O333" s="21">
        <v>0</v>
      </c>
      <c r="R333" s="19">
        <v>0</v>
      </c>
      <c r="S333" s="12">
        <v>0</v>
      </c>
      <c r="T333" s="20">
        <v>0</v>
      </c>
      <c r="U333" s="12">
        <v>89.6</v>
      </c>
      <c r="V333" s="12">
        <v>0</v>
      </c>
      <c r="W333" s="21">
        <v>7</v>
      </c>
      <c r="X333" s="19">
        <v>0</v>
      </c>
      <c r="Y333" s="22">
        <v>0</v>
      </c>
      <c r="Z333" s="9" t="s">
        <v>3</v>
      </c>
      <c r="AA333" s="23" t="s">
        <v>568</v>
      </c>
      <c r="AC333" s="4">
        <v>269.70999999999998</v>
      </c>
      <c r="AD333" s="3">
        <v>46225</v>
      </c>
    </row>
    <row r="334" spans="1:31">
      <c r="A334" s="2" t="s">
        <v>565</v>
      </c>
      <c r="B334" s="9">
        <v>50</v>
      </c>
      <c r="C334" s="2" t="s">
        <v>153</v>
      </c>
      <c r="D334" s="2" t="s">
        <v>154</v>
      </c>
      <c r="E334" s="14">
        <v>46223</v>
      </c>
      <c r="F334" s="9" t="s">
        <v>155</v>
      </c>
      <c r="G334" s="9" t="s">
        <v>156</v>
      </c>
      <c r="H334" s="2" t="s">
        <v>566</v>
      </c>
      <c r="I334" s="2" t="s">
        <v>567</v>
      </c>
      <c r="J334" s="2">
        <v>10054147</v>
      </c>
      <c r="K334" s="2" t="s">
        <v>537</v>
      </c>
      <c r="L334" s="21">
        <v>50</v>
      </c>
      <c r="M334" s="21">
        <v>0</v>
      </c>
      <c r="N334" s="21">
        <v>0</v>
      </c>
      <c r="O334" s="21">
        <v>0</v>
      </c>
      <c r="R334" s="19">
        <v>0</v>
      </c>
      <c r="S334" s="12">
        <v>0</v>
      </c>
      <c r="T334" s="20">
        <v>0</v>
      </c>
      <c r="U334" s="12">
        <v>232.5</v>
      </c>
      <c r="V334" s="12">
        <v>0</v>
      </c>
      <c r="W334" s="21">
        <v>50</v>
      </c>
      <c r="X334" s="19">
        <v>0</v>
      </c>
      <c r="Y334" s="22">
        <v>0</v>
      </c>
      <c r="Z334" s="9" t="s">
        <v>3</v>
      </c>
      <c r="AA334" s="23" t="s">
        <v>568</v>
      </c>
      <c r="AC334" s="4">
        <v>523.5</v>
      </c>
      <c r="AD334" s="3">
        <v>46225</v>
      </c>
    </row>
    <row r="335" spans="1:31">
      <c r="A335" s="2" t="s">
        <v>569</v>
      </c>
      <c r="B335" s="9">
        <v>10</v>
      </c>
      <c r="C335" s="2" t="s">
        <v>181</v>
      </c>
      <c r="D335" s="2" t="s">
        <v>154</v>
      </c>
      <c r="E335" s="14">
        <v>46224</v>
      </c>
      <c r="F335" s="9" t="s">
        <v>155</v>
      </c>
      <c r="G335" s="9" t="s">
        <v>156</v>
      </c>
      <c r="H335" s="2" t="s">
        <v>224</v>
      </c>
      <c r="I335" s="2" t="s">
        <v>225</v>
      </c>
      <c r="J335" s="2">
        <v>10007849</v>
      </c>
      <c r="K335" s="2" t="s">
        <v>570</v>
      </c>
      <c r="L335" s="21">
        <v>1</v>
      </c>
      <c r="M335" s="21">
        <v>1</v>
      </c>
      <c r="N335" s="21">
        <v>1</v>
      </c>
      <c r="O335" s="21">
        <v>0</v>
      </c>
      <c r="Q335" s="9" t="s">
        <v>571</v>
      </c>
      <c r="R335" s="19">
        <v>0</v>
      </c>
      <c r="S335" s="12">
        <v>0</v>
      </c>
      <c r="T335" s="20">
        <v>0</v>
      </c>
      <c r="U335" s="12">
        <v>9</v>
      </c>
      <c r="V335" s="12">
        <v>9</v>
      </c>
      <c r="W335" s="21">
        <v>1</v>
      </c>
      <c r="X335" s="19">
        <v>0</v>
      </c>
      <c r="Y335" s="22">
        <v>0</v>
      </c>
      <c r="Z335" s="9" t="s">
        <v>4</v>
      </c>
      <c r="AA335" s="23" t="s">
        <v>227</v>
      </c>
      <c r="AB335" s="3">
        <v>46224</v>
      </c>
      <c r="AC335" s="4">
        <v>36.92</v>
      </c>
      <c r="AD335" s="3">
        <v>46227</v>
      </c>
      <c r="AE335" s="3">
        <v>46227</v>
      </c>
    </row>
    <row r="336" spans="1:31">
      <c r="A336" s="2" t="s">
        <v>569</v>
      </c>
      <c r="B336" s="9">
        <v>20</v>
      </c>
      <c r="C336" s="2" t="s">
        <v>181</v>
      </c>
      <c r="D336" s="2" t="s">
        <v>154</v>
      </c>
      <c r="E336" s="14">
        <v>46224</v>
      </c>
      <c r="F336" s="9" t="s">
        <v>155</v>
      </c>
      <c r="G336" s="9" t="s">
        <v>156</v>
      </c>
      <c r="H336" s="2" t="s">
        <v>224</v>
      </c>
      <c r="I336" s="2" t="s">
        <v>225</v>
      </c>
      <c r="J336" s="2">
        <v>10076532</v>
      </c>
      <c r="K336" s="2" t="s">
        <v>572</v>
      </c>
      <c r="L336" s="21">
        <v>3</v>
      </c>
      <c r="M336" s="21">
        <v>3</v>
      </c>
      <c r="N336" s="21">
        <v>3</v>
      </c>
      <c r="O336" s="21">
        <v>0</v>
      </c>
      <c r="Q336" s="9" t="s">
        <v>571</v>
      </c>
      <c r="R336" s="19">
        <v>0</v>
      </c>
      <c r="S336" s="12">
        <v>0</v>
      </c>
      <c r="T336" s="20">
        <v>0</v>
      </c>
      <c r="U336" s="12">
        <v>18</v>
      </c>
      <c r="V336" s="12">
        <v>18</v>
      </c>
      <c r="W336" s="21">
        <v>3</v>
      </c>
      <c r="X336" s="19">
        <v>0</v>
      </c>
      <c r="Y336" s="22">
        <v>0</v>
      </c>
      <c r="Z336" s="9" t="s">
        <v>4</v>
      </c>
      <c r="AA336" s="23" t="s">
        <v>227</v>
      </c>
      <c r="AB336" s="3">
        <v>46233</v>
      </c>
      <c r="AC336" s="4">
        <v>79.92</v>
      </c>
      <c r="AD336" s="3">
        <v>46227</v>
      </c>
      <c r="AE336" s="3">
        <v>46227</v>
      </c>
    </row>
    <row r="337" spans="1:31">
      <c r="A337" s="2" t="s">
        <v>569</v>
      </c>
      <c r="B337" s="9">
        <v>30</v>
      </c>
      <c r="C337" s="2" t="s">
        <v>181</v>
      </c>
      <c r="D337" s="2" t="s">
        <v>154</v>
      </c>
      <c r="E337" s="14">
        <v>46224</v>
      </c>
      <c r="F337" s="9" t="s">
        <v>155</v>
      </c>
      <c r="G337" s="9" t="s">
        <v>156</v>
      </c>
      <c r="H337" s="2" t="s">
        <v>224</v>
      </c>
      <c r="I337" s="2" t="s">
        <v>225</v>
      </c>
      <c r="J337" s="2">
        <v>10050324</v>
      </c>
      <c r="K337" s="2" t="s">
        <v>379</v>
      </c>
      <c r="L337" s="21">
        <v>10</v>
      </c>
      <c r="M337" s="21">
        <v>10</v>
      </c>
      <c r="N337" s="21">
        <v>10</v>
      </c>
      <c r="O337" s="21">
        <v>0</v>
      </c>
      <c r="Q337" s="9" t="s">
        <v>571</v>
      </c>
      <c r="R337" s="19">
        <v>0</v>
      </c>
      <c r="S337" s="12">
        <v>0</v>
      </c>
      <c r="T337" s="20">
        <v>0</v>
      </c>
      <c r="U337" s="12">
        <v>100</v>
      </c>
      <c r="V337" s="12">
        <v>100</v>
      </c>
      <c r="W337" s="21">
        <v>10</v>
      </c>
      <c r="X337" s="19">
        <v>0</v>
      </c>
      <c r="Y337" s="22">
        <v>0</v>
      </c>
      <c r="Z337" s="9" t="s">
        <v>4</v>
      </c>
      <c r="AA337" s="23" t="s">
        <v>227</v>
      </c>
      <c r="AB337" s="3">
        <v>46234</v>
      </c>
      <c r="AC337" s="4">
        <v>379.7</v>
      </c>
      <c r="AD337" s="3">
        <v>46227</v>
      </c>
      <c r="AE337" s="3">
        <v>46227</v>
      </c>
    </row>
    <row r="338" spans="1:31">
      <c r="A338" s="2" t="s">
        <v>569</v>
      </c>
      <c r="B338" s="9">
        <v>40</v>
      </c>
      <c r="C338" s="2" t="s">
        <v>181</v>
      </c>
      <c r="D338" s="2" t="s">
        <v>154</v>
      </c>
      <c r="E338" s="14">
        <v>46224</v>
      </c>
      <c r="F338" s="9" t="s">
        <v>155</v>
      </c>
      <c r="G338" s="9" t="s">
        <v>156</v>
      </c>
      <c r="H338" s="2" t="s">
        <v>224</v>
      </c>
      <c r="I338" s="2" t="s">
        <v>225</v>
      </c>
      <c r="J338" s="2">
        <v>10083460</v>
      </c>
      <c r="K338" s="2" t="s">
        <v>429</v>
      </c>
      <c r="L338" s="21">
        <v>15</v>
      </c>
      <c r="M338" s="21">
        <v>0</v>
      </c>
      <c r="N338" s="21">
        <v>0</v>
      </c>
      <c r="O338" s="21">
        <v>0</v>
      </c>
      <c r="R338" s="19">
        <v>0</v>
      </c>
      <c r="S338" s="12">
        <v>0</v>
      </c>
      <c r="T338" s="20">
        <v>0</v>
      </c>
      <c r="U338" s="12">
        <v>150</v>
      </c>
      <c r="V338" s="12">
        <v>0</v>
      </c>
      <c r="W338" s="21">
        <v>15</v>
      </c>
      <c r="X338" s="19">
        <v>0</v>
      </c>
      <c r="Y338" s="22">
        <v>0</v>
      </c>
      <c r="Z338" s="9" t="s">
        <v>4</v>
      </c>
      <c r="AA338" s="23" t="s">
        <v>227</v>
      </c>
      <c r="AC338" s="4">
        <v>427.2</v>
      </c>
      <c r="AD338" s="3">
        <v>46227</v>
      </c>
    </row>
    <row r="339" spans="1:31">
      <c r="A339" s="2" t="s">
        <v>569</v>
      </c>
      <c r="B339" s="9">
        <v>50</v>
      </c>
      <c r="C339" s="2" t="s">
        <v>181</v>
      </c>
      <c r="D339" s="2" t="s">
        <v>154</v>
      </c>
      <c r="E339" s="14">
        <v>46224</v>
      </c>
      <c r="F339" s="9" t="s">
        <v>155</v>
      </c>
      <c r="G339" s="9" t="s">
        <v>156</v>
      </c>
      <c r="H339" s="2" t="s">
        <v>224</v>
      </c>
      <c r="I339" s="2" t="s">
        <v>225</v>
      </c>
      <c r="J339" s="2">
        <v>10031164</v>
      </c>
      <c r="K339" s="2" t="s">
        <v>573</v>
      </c>
      <c r="L339" s="21">
        <v>6</v>
      </c>
      <c r="M339" s="21">
        <v>6</v>
      </c>
      <c r="N339" s="21">
        <v>6</v>
      </c>
      <c r="O339" s="21">
        <v>0</v>
      </c>
      <c r="Q339" s="9" t="s">
        <v>571</v>
      </c>
      <c r="R339" s="19">
        <v>0</v>
      </c>
      <c r="S339" s="12">
        <v>0</v>
      </c>
      <c r="T339" s="20">
        <v>0</v>
      </c>
      <c r="U339" s="12">
        <v>30</v>
      </c>
      <c r="V339" s="12">
        <v>30</v>
      </c>
      <c r="W339" s="21">
        <v>6</v>
      </c>
      <c r="X339" s="19">
        <v>0</v>
      </c>
      <c r="Y339" s="22">
        <v>0</v>
      </c>
      <c r="Z339" s="9" t="s">
        <v>4</v>
      </c>
      <c r="AA339" s="23" t="s">
        <v>227</v>
      </c>
      <c r="AB339" s="3">
        <v>46247</v>
      </c>
      <c r="AC339" s="4">
        <v>114.9</v>
      </c>
      <c r="AD339" s="3">
        <v>46227</v>
      </c>
      <c r="AE339" s="3">
        <v>46227</v>
      </c>
    </row>
    <row r="340" spans="1:31">
      <c r="A340" s="2" t="s">
        <v>569</v>
      </c>
      <c r="B340" s="9">
        <v>60</v>
      </c>
      <c r="C340" s="2" t="s">
        <v>181</v>
      </c>
      <c r="D340" s="2" t="s">
        <v>154</v>
      </c>
      <c r="E340" s="14">
        <v>46224</v>
      </c>
      <c r="F340" s="9" t="s">
        <v>155</v>
      </c>
      <c r="G340" s="9" t="s">
        <v>156</v>
      </c>
      <c r="H340" s="2" t="s">
        <v>224</v>
      </c>
      <c r="I340" s="2" t="s">
        <v>225</v>
      </c>
      <c r="J340" s="2">
        <v>10017617</v>
      </c>
      <c r="K340" s="2" t="s">
        <v>574</v>
      </c>
      <c r="L340" s="21">
        <v>38</v>
      </c>
      <c r="M340" s="21">
        <v>38</v>
      </c>
      <c r="N340" s="21">
        <v>38</v>
      </c>
      <c r="O340" s="21">
        <v>0</v>
      </c>
      <c r="Q340" s="9" t="s">
        <v>571</v>
      </c>
      <c r="R340" s="19">
        <v>0</v>
      </c>
      <c r="S340" s="12">
        <v>0</v>
      </c>
      <c r="T340" s="20">
        <v>0</v>
      </c>
      <c r="U340" s="12">
        <v>190</v>
      </c>
      <c r="V340" s="12">
        <v>190</v>
      </c>
      <c r="W340" s="21">
        <v>38</v>
      </c>
      <c r="X340" s="19">
        <v>0</v>
      </c>
      <c r="Y340" s="22">
        <v>0</v>
      </c>
      <c r="Z340" s="9" t="s">
        <v>4</v>
      </c>
      <c r="AA340" s="23" t="s">
        <v>227</v>
      </c>
      <c r="AB340" s="3">
        <v>46265</v>
      </c>
      <c r="AC340" s="4">
        <v>587.86</v>
      </c>
      <c r="AD340" s="3">
        <v>46227</v>
      </c>
      <c r="AE340" s="3">
        <v>46227</v>
      </c>
    </row>
    <row r="341" spans="1:31">
      <c r="A341" s="2" t="s">
        <v>575</v>
      </c>
      <c r="B341" s="9">
        <v>20</v>
      </c>
      <c r="C341" s="2" t="s">
        <v>181</v>
      </c>
      <c r="D341" s="2" t="s">
        <v>154</v>
      </c>
      <c r="E341" s="14">
        <v>46224</v>
      </c>
      <c r="F341" s="9" t="s">
        <v>155</v>
      </c>
      <c r="G341" s="9" t="s">
        <v>156</v>
      </c>
      <c r="H341" s="2" t="s">
        <v>282</v>
      </c>
      <c r="I341" s="2" t="s">
        <v>183</v>
      </c>
      <c r="J341" s="2">
        <v>10083460</v>
      </c>
      <c r="K341" s="2" t="s">
        <v>429</v>
      </c>
      <c r="L341" s="21">
        <v>15</v>
      </c>
      <c r="M341" s="21">
        <v>0</v>
      </c>
      <c r="N341" s="21">
        <v>0</v>
      </c>
      <c r="O341" s="21">
        <v>0</v>
      </c>
      <c r="R341" s="19">
        <v>0</v>
      </c>
      <c r="S341" s="12">
        <v>0</v>
      </c>
      <c r="T341" s="20">
        <v>0</v>
      </c>
      <c r="U341" s="12">
        <v>75</v>
      </c>
      <c r="V341" s="12">
        <v>0</v>
      </c>
      <c r="W341" s="21">
        <v>15</v>
      </c>
      <c r="X341" s="19">
        <v>0</v>
      </c>
      <c r="Y341" s="22">
        <v>0</v>
      </c>
      <c r="Z341" s="9" t="s">
        <v>4</v>
      </c>
      <c r="AA341" s="23" t="s">
        <v>185</v>
      </c>
      <c r="AC341" s="4">
        <v>427.2</v>
      </c>
      <c r="AD341" s="3">
        <v>46227</v>
      </c>
    </row>
    <row r="342" spans="1:31">
      <c r="A342" s="2" t="s">
        <v>575</v>
      </c>
      <c r="B342" s="9">
        <v>30</v>
      </c>
      <c r="C342" s="2" t="s">
        <v>181</v>
      </c>
      <c r="D342" s="2" t="s">
        <v>154</v>
      </c>
      <c r="E342" s="14">
        <v>46224</v>
      </c>
      <c r="F342" s="9" t="s">
        <v>155</v>
      </c>
      <c r="G342" s="9" t="s">
        <v>156</v>
      </c>
      <c r="H342" s="2" t="s">
        <v>282</v>
      </c>
      <c r="I342" s="2" t="s">
        <v>183</v>
      </c>
      <c r="J342" s="2">
        <v>10050485</v>
      </c>
      <c r="K342" s="2" t="s">
        <v>576</v>
      </c>
      <c r="L342" s="21">
        <v>48</v>
      </c>
      <c r="M342" s="21">
        <v>48</v>
      </c>
      <c r="N342" s="21">
        <v>48</v>
      </c>
      <c r="O342" s="21">
        <v>0</v>
      </c>
      <c r="Q342" s="9" t="s">
        <v>577</v>
      </c>
      <c r="R342" s="19">
        <v>0</v>
      </c>
      <c r="S342" s="12">
        <v>0</v>
      </c>
      <c r="T342" s="20">
        <v>0</v>
      </c>
      <c r="U342" s="12">
        <v>144</v>
      </c>
      <c r="V342" s="12">
        <v>144</v>
      </c>
      <c r="W342" s="21">
        <v>48</v>
      </c>
      <c r="X342" s="19">
        <v>0</v>
      </c>
      <c r="Y342" s="22">
        <v>0</v>
      </c>
      <c r="Z342" s="9" t="s">
        <v>4</v>
      </c>
      <c r="AA342" s="23" t="s">
        <v>185</v>
      </c>
      <c r="AB342" s="3">
        <v>46237</v>
      </c>
      <c r="AC342" s="4">
        <v>778.56</v>
      </c>
      <c r="AD342" s="3">
        <v>46227</v>
      </c>
      <c r="AE342" s="3">
        <v>46227</v>
      </c>
    </row>
    <row r="343" spans="1:31">
      <c r="A343" s="2" t="s">
        <v>575</v>
      </c>
      <c r="B343" s="9">
        <v>40</v>
      </c>
      <c r="C343" s="2" t="s">
        <v>181</v>
      </c>
      <c r="D343" s="2" t="s">
        <v>154</v>
      </c>
      <c r="E343" s="14">
        <v>46224</v>
      </c>
      <c r="F343" s="9" t="s">
        <v>155</v>
      </c>
      <c r="G343" s="9" t="s">
        <v>156</v>
      </c>
      <c r="H343" s="2" t="s">
        <v>282</v>
      </c>
      <c r="I343" s="2" t="s">
        <v>183</v>
      </c>
      <c r="J343" s="2">
        <v>10050486</v>
      </c>
      <c r="K343" s="2" t="s">
        <v>255</v>
      </c>
      <c r="L343" s="21">
        <v>21</v>
      </c>
      <c r="M343" s="21">
        <v>21</v>
      </c>
      <c r="N343" s="21">
        <v>21</v>
      </c>
      <c r="O343" s="21">
        <v>0</v>
      </c>
      <c r="Q343" s="9" t="s">
        <v>577</v>
      </c>
      <c r="R343" s="19">
        <v>0</v>
      </c>
      <c r="S343" s="12">
        <v>0</v>
      </c>
      <c r="T343" s="20">
        <v>0</v>
      </c>
      <c r="U343" s="12">
        <v>63</v>
      </c>
      <c r="V343" s="12">
        <v>63</v>
      </c>
      <c r="W343" s="21">
        <v>21</v>
      </c>
      <c r="X343" s="19">
        <v>0</v>
      </c>
      <c r="Y343" s="22">
        <v>0</v>
      </c>
      <c r="Z343" s="9" t="s">
        <v>4</v>
      </c>
      <c r="AA343" s="23" t="s">
        <v>185</v>
      </c>
      <c r="AB343" s="3">
        <v>46237</v>
      </c>
      <c r="AC343" s="4">
        <v>346.92</v>
      </c>
      <c r="AD343" s="3">
        <v>46227</v>
      </c>
      <c r="AE343" s="3">
        <v>46227</v>
      </c>
    </row>
    <row r="344" spans="1:31">
      <c r="A344" s="2" t="s">
        <v>575</v>
      </c>
      <c r="B344" s="9">
        <v>50</v>
      </c>
      <c r="C344" s="2" t="s">
        <v>181</v>
      </c>
      <c r="D344" s="2" t="s">
        <v>154</v>
      </c>
      <c r="E344" s="14">
        <v>46224</v>
      </c>
      <c r="F344" s="9" t="s">
        <v>155</v>
      </c>
      <c r="G344" s="9" t="s">
        <v>156</v>
      </c>
      <c r="H344" s="2" t="s">
        <v>282</v>
      </c>
      <c r="I344" s="2" t="s">
        <v>183</v>
      </c>
      <c r="J344" s="2">
        <v>10057233</v>
      </c>
      <c r="K344" s="2" t="s">
        <v>578</v>
      </c>
      <c r="L344" s="21">
        <v>92</v>
      </c>
      <c r="M344" s="21">
        <v>92</v>
      </c>
      <c r="N344" s="21">
        <v>92</v>
      </c>
      <c r="O344" s="21">
        <v>0</v>
      </c>
      <c r="Q344" s="9" t="s">
        <v>577</v>
      </c>
      <c r="R344" s="19">
        <v>0</v>
      </c>
      <c r="S344" s="12">
        <v>0</v>
      </c>
      <c r="T344" s="20">
        <v>0</v>
      </c>
      <c r="U344" s="12">
        <v>736</v>
      </c>
      <c r="V344" s="12">
        <v>736</v>
      </c>
      <c r="W344" s="21">
        <v>92</v>
      </c>
      <c r="X344" s="19">
        <v>0</v>
      </c>
      <c r="Y344" s="22">
        <v>0</v>
      </c>
      <c r="Z344" s="9" t="s">
        <v>4</v>
      </c>
      <c r="AA344" s="23" t="s">
        <v>185</v>
      </c>
      <c r="AB344" s="3">
        <v>46241</v>
      </c>
      <c r="AC344" s="4">
        <v>2840.04</v>
      </c>
      <c r="AD344" s="3">
        <v>46227</v>
      </c>
      <c r="AE344" s="3">
        <v>46227</v>
      </c>
    </row>
    <row r="345" spans="1:31">
      <c r="A345" s="2" t="s">
        <v>575</v>
      </c>
      <c r="B345" s="9">
        <v>60</v>
      </c>
      <c r="C345" s="2" t="s">
        <v>181</v>
      </c>
      <c r="D345" s="2" t="s">
        <v>154</v>
      </c>
      <c r="E345" s="14">
        <v>46224</v>
      </c>
      <c r="F345" s="9" t="s">
        <v>155</v>
      </c>
      <c r="G345" s="9" t="s">
        <v>156</v>
      </c>
      <c r="H345" s="2" t="s">
        <v>282</v>
      </c>
      <c r="I345" s="2" t="s">
        <v>183</v>
      </c>
      <c r="J345" s="2">
        <v>10049305</v>
      </c>
      <c r="K345" s="2" t="s">
        <v>414</v>
      </c>
      <c r="L345" s="21">
        <v>81</v>
      </c>
      <c r="M345" s="21">
        <v>81</v>
      </c>
      <c r="N345" s="21">
        <v>81</v>
      </c>
      <c r="O345" s="21">
        <v>0</v>
      </c>
      <c r="Q345" s="9" t="s">
        <v>577</v>
      </c>
      <c r="R345" s="19">
        <v>0</v>
      </c>
      <c r="S345" s="12">
        <v>0</v>
      </c>
      <c r="T345" s="20">
        <v>0</v>
      </c>
      <c r="U345" s="12">
        <v>405</v>
      </c>
      <c r="V345" s="12">
        <v>405</v>
      </c>
      <c r="W345" s="21">
        <v>81</v>
      </c>
      <c r="X345" s="19">
        <v>0</v>
      </c>
      <c r="Y345" s="22">
        <v>0</v>
      </c>
      <c r="Z345" s="9" t="s">
        <v>4</v>
      </c>
      <c r="AA345" s="23" t="s">
        <v>185</v>
      </c>
      <c r="AB345" s="3">
        <v>46247</v>
      </c>
      <c r="AC345" s="4">
        <v>2455.11</v>
      </c>
      <c r="AD345" s="3">
        <v>46227</v>
      </c>
      <c r="AE345" s="3">
        <v>46227</v>
      </c>
    </row>
    <row r="346" spans="1:31">
      <c r="A346" s="2" t="s">
        <v>579</v>
      </c>
      <c r="B346" s="9">
        <v>50</v>
      </c>
      <c r="C346" s="2" t="s">
        <v>181</v>
      </c>
      <c r="D346" s="2" t="s">
        <v>154</v>
      </c>
      <c r="E346" s="14">
        <v>46225</v>
      </c>
      <c r="F346" s="9" t="s">
        <v>155</v>
      </c>
      <c r="G346" s="9" t="s">
        <v>156</v>
      </c>
      <c r="H346" s="2" t="s">
        <v>218</v>
      </c>
      <c r="I346" s="2" t="s">
        <v>580</v>
      </c>
      <c r="J346" s="2">
        <v>10076880</v>
      </c>
      <c r="K346" s="2" t="s">
        <v>581</v>
      </c>
      <c r="L346" s="21">
        <v>70</v>
      </c>
      <c r="M346" s="21">
        <v>70</v>
      </c>
      <c r="N346" s="21">
        <v>70</v>
      </c>
      <c r="O346" s="21">
        <v>0</v>
      </c>
      <c r="Q346" s="9" t="s">
        <v>582</v>
      </c>
      <c r="R346" s="19">
        <v>0</v>
      </c>
      <c r="S346" s="12">
        <v>0</v>
      </c>
      <c r="T346" s="20">
        <v>0</v>
      </c>
      <c r="U346" s="12">
        <v>612.5</v>
      </c>
      <c r="V346" s="12">
        <v>612.5</v>
      </c>
      <c r="W346" s="21">
        <v>70</v>
      </c>
      <c r="X346" s="19">
        <v>0</v>
      </c>
      <c r="Y346" s="22">
        <v>0</v>
      </c>
      <c r="Z346" s="9" t="s">
        <v>3</v>
      </c>
      <c r="AA346" s="23" t="s">
        <v>583</v>
      </c>
      <c r="AC346" s="4">
        <v>1554.7</v>
      </c>
      <c r="AD346" s="3">
        <v>46227</v>
      </c>
      <c r="AE346" s="3">
        <v>46227</v>
      </c>
    </row>
    <row r="347" spans="1:31">
      <c r="A347" s="2" t="s">
        <v>584</v>
      </c>
      <c r="B347" s="9">
        <v>10</v>
      </c>
      <c r="C347" s="2" t="s">
        <v>181</v>
      </c>
      <c r="D347" s="2" t="s">
        <v>154</v>
      </c>
      <c r="E347" s="14">
        <v>46226</v>
      </c>
      <c r="F347" s="9" t="s">
        <v>155</v>
      </c>
      <c r="G347" s="9" t="s">
        <v>156</v>
      </c>
      <c r="H347" s="2" t="s">
        <v>218</v>
      </c>
      <c r="I347" s="2" t="s">
        <v>219</v>
      </c>
      <c r="J347" s="2">
        <v>10100028</v>
      </c>
      <c r="K347" s="2" t="s">
        <v>310</v>
      </c>
      <c r="L347" s="21">
        <v>7</v>
      </c>
      <c r="M347" s="21">
        <v>0</v>
      </c>
      <c r="N347" s="21">
        <v>0</v>
      </c>
      <c r="O347" s="21">
        <v>0</v>
      </c>
      <c r="R347" s="19">
        <v>0</v>
      </c>
      <c r="S347" s="12">
        <v>0</v>
      </c>
      <c r="T347" s="20">
        <v>0</v>
      </c>
      <c r="U347" s="12">
        <v>89.6</v>
      </c>
      <c r="V347" s="12">
        <v>0</v>
      </c>
      <c r="W347" s="21">
        <v>7</v>
      </c>
      <c r="X347" s="19">
        <v>0</v>
      </c>
      <c r="Y347" s="22">
        <v>0</v>
      </c>
      <c r="Z347" s="9" t="s">
        <v>3</v>
      </c>
      <c r="AA347" s="23" t="s">
        <v>221</v>
      </c>
      <c r="AC347" s="4">
        <v>269.70999999999998</v>
      </c>
      <c r="AD347" s="3">
        <v>46230</v>
      </c>
    </row>
    <row r="348" spans="1:31">
      <c r="A348" s="2" t="s">
        <v>584</v>
      </c>
      <c r="B348" s="9">
        <v>110</v>
      </c>
      <c r="C348" s="2" t="s">
        <v>181</v>
      </c>
      <c r="D348" s="2" t="s">
        <v>154</v>
      </c>
      <c r="E348" s="14">
        <v>46226</v>
      </c>
      <c r="F348" s="9" t="s">
        <v>155</v>
      </c>
      <c r="G348" s="9" t="s">
        <v>156</v>
      </c>
      <c r="H348" s="2" t="s">
        <v>218</v>
      </c>
      <c r="I348" s="2" t="s">
        <v>219</v>
      </c>
      <c r="J348" s="2">
        <v>10061013</v>
      </c>
      <c r="K348" s="2" t="s">
        <v>370</v>
      </c>
      <c r="L348" s="21">
        <v>24</v>
      </c>
      <c r="M348" s="21">
        <v>0</v>
      </c>
      <c r="N348" s="21">
        <v>0</v>
      </c>
      <c r="O348" s="21">
        <v>0</v>
      </c>
      <c r="R348" s="19">
        <v>0</v>
      </c>
      <c r="S348" s="12">
        <v>0</v>
      </c>
      <c r="T348" s="20">
        <v>0</v>
      </c>
      <c r="U348" s="12">
        <v>213.36</v>
      </c>
      <c r="V348" s="12">
        <v>0</v>
      </c>
      <c r="W348" s="21">
        <v>24</v>
      </c>
      <c r="X348" s="19">
        <v>0</v>
      </c>
      <c r="Y348" s="22">
        <v>0</v>
      </c>
      <c r="Z348" s="9" t="s">
        <v>3</v>
      </c>
      <c r="AA348" s="23" t="s">
        <v>221</v>
      </c>
      <c r="AC348" s="4">
        <v>619.20000000000005</v>
      </c>
      <c r="AD348" s="3">
        <v>46230</v>
      </c>
    </row>
    <row r="349" spans="1:31">
      <c r="A349" s="2" t="s">
        <v>585</v>
      </c>
      <c r="B349" s="9">
        <v>10</v>
      </c>
      <c r="C349" s="2" t="s">
        <v>192</v>
      </c>
      <c r="D349" s="2" t="s">
        <v>154</v>
      </c>
      <c r="E349" s="14">
        <v>46230</v>
      </c>
      <c r="F349" s="9" t="s">
        <v>155</v>
      </c>
      <c r="G349" s="9" t="s">
        <v>156</v>
      </c>
      <c r="H349" s="2" t="s">
        <v>442</v>
      </c>
      <c r="I349" s="2" t="s">
        <v>443</v>
      </c>
      <c r="J349" s="2">
        <v>10061060</v>
      </c>
      <c r="K349" s="2" t="s">
        <v>456</v>
      </c>
      <c r="L349" s="21">
        <v>10</v>
      </c>
      <c r="M349" s="21">
        <v>0</v>
      </c>
      <c r="N349" s="21">
        <v>0</v>
      </c>
      <c r="O349" s="21">
        <v>0</v>
      </c>
      <c r="R349" s="19">
        <v>0</v>
      </c>
      <c r="S349" s="12">
        <v>0</v>
      </c>
      <c r="T349" s="20">
        <v>0</v>
      </c>
      <c r="U349" s="12">
        <v>53.5</v>
      </c>
      <c r="V349" s="12">
        <v>0</v>
      </c>
      <c r="W349" s="21">
        <v>10</v>
      </c>
      <c r="X349" s="19">
        <v>0</v>
      </c>
      <c r="Y349" s="22">
        <v>0</v>
      </c>
      <c r="Z349" s="9" t="s">
        <v>3</v>
      </c>
      <c r="AA349" s="23" t="s">
        <v>444</v>
      </c>
      <c r="AC349" s="4">
        <v>154.9</v>
      </c>
      <c r="AD349" s="3">
        <v>46234</v>
      </c>
    </row>
    <row r="350" spans="1:31">
      <c r="A350" s="2" t="s">
        <v>585</v>
      </c>
      <c r="B350" s="9">
        <v>30</v>
      </c>
      <c r="C350" s="2" t="s">
        <v>192</v>
      </c>
      <c r="D350" s="2" t="s">
        <v>154</v>
      </c>
      <c r="E350" s="14">
        <v>46230</v>
      </c>
      <c r="F350" s="9" t="s">
        <v>155</v>
      </c>
      <c r="G350" s="9" t="s">
        <v>156</v>
      </c>
      <c r="H350" s="2" t="s">
        <v>442</v>
      </c>
      <c r="I350" s="2" t="s">
        <v>443</v>
      </c>
      <c r="J350" s="2">
        <v>10061099</v>
      </c>
      <c r="K350" s="2" t="s">
        <v>411</v>
      </c>
      <c r="L350" s="21">
        <v>3</v>
      </c>
      <c r="M350" s="21">
        <v>0</v>
      </c>
      <c r="N350" s="21">
        <v>0</v>
      </c>
      <c r="O350" s="21">
        <v>0</v>
      </c>
      <c r="R350" s="19">
        <v>0</v>
      </c>
      <c r="S350" s="12">
        <v>0</v>
      </c>
      <c r="T350" s="20">
        <v>0</v>
      </c>
      <c r="U350" s="12">
        <v>25.53</v>
      </c>
      <c r="V350" s="12">
        <v>0</v>
      </c>
      <c r="W350" s="21">
        <v>3</v>
      </c>
      <c r="X350" s="19">
        <v>0</v>
      </c>
      <c r="Y350" s="22">
        <v>0</v>
      </c>
      <c r="Z350" s="9" t="s">
        <v>3</v>
      </c>
      <c r="AA350" s="23" t="s">
        <v>444</v>
      </c>
      <c r="AC350" s="4">
        <v>74.55</v>
      </c>
      <c r="AD350" s="3">
        <v>46234</v>
      </c>
    </row>
    <row r="351" spans="1:31">
      <c r="A351" s="2" t="s">
        <v>585</v>
      </c>
      <c r="B351" s="9">
        <v>60</v>
      </c>
      <c r="C351" s="2" t="s">
        <v>192</v>
      </c>
      <c r="D351" s="2" t="s">
        <v>154</v>
      </c>
      <c r="E351" s="14">
        <v>46230</v>
      </c>
      <c r="F351" s="9" t="s">
        <v>155</v>
      </c>
      <c r="G351" s="9" t="s">
        <v>156</v>
      </c>
      <c r="H351" s="2" t="s">
        <v>442</v>
      </c>
      <c r="I351" s="2" t="s">
        <v>443</v>
      </c>
      <c r="J351" s="2">
        <v>10033021</v>
      </c>
      <c r="K351" s="2" t="s">
        <v>324</v>
      </c>
      <c r="L351" s="21">
        <v>15</v>
      </c>
      <c r="M351" s="21">
        <v>0</v>
      </c>
      <c r="N351" s="21">
        <v>0</v>
      </c>
      <c r="O351" s="21">
        <v>0</v>
      </c>
      <c r="R351" s="19">
        <v>0</v>
      </c>
      <c r="S351" s="12">
        <v>0</v>
      </c>
      <c r="T351" s="20">
        <v>0</v>
      </c>
      <c r="U351" s="12">
        <v>200.85</v>
      </c>
      <c r="V351" s="12">
        <v>0</v>
      </c>
      <c r="W351" s="21">
        <v>15</v>
      </c>
      <c r="X351" s="19">
        <v>0</v>
      </c>
      <c r="Y351" s="22">
        <v>0</v>
      </c>
      <c r="Z351" s="9" t="s">
        <v>3</v>
      </c>
      <c r="AA351" s="23" t="s">
        <v>444</v>
      </c>
      <c r="AC351" s="4">
        <v>568.79999999999995</v>
      </c>
      <c r="AD351" s="3">
        <v>46234</v>
      </c>
    </row>
    <row r="352" spans="1:31">
      <c r="A352" s="2" t="s">
        <v>585</v>
      </c>
      <c r="B352" s="9">
        <v>70</v>
      </c>
      <c r="C352" s="2" t="s">
        <v>192</v>
      </c>
      <c r="D352" s="2" t="s">
        <v>154</v>
      </c>
      <c r="E352" s="14">
        <v>46230</v>
      </c>
      <c r="F352" s="9" t="s">
        <v>155</v>
      </c>
      <c r="G352" s="9" t="s">
        <v>156</v>
      </c>
      <c r="H352" s="2" t="s">
        <v>442</v>
      </c>
      <c r="I352" s="2" t="s">
        <v>443</v>
      </c>
      <c r="J352" s="2">
        <v>10013144</v>
      </c>
      <c r="K352" s="2" t="s">
        <v>586</v>
      </c>
      <c r="L352" s="21">
        <v>4</v>
      </c>
      <c r="M352" s="21">
        <v>0</v>
      </c>
      <c r="N352" s="21">
        <v>0</v>
      </c>
      <c r="O352" s="21">
        <v>0</v>
      </c>
      <c r="R352" s="19">
        <v>0</v>
      </c>
      <c r="S352" s="12">
        <v>0</v>
      </c>
      <c r="T352" s="20">
        <v>0</v>
      </c>
      <c r="U352" s="12">
        <v>90.9</v>
      </c>
      <c r="V352" s="12">
        <v>0</v>
      </c>
      <c r="W352" s="21">
        <v>4</v>
      </c>
      <c r="X352" s="19">
        <v>9.1999999999999993</v>
      </c>
      <c r="Y352" s="22">
        <v>0</v>
      </c>
      <c r="Z352" s="9" t="s">
        <v>3</v>
      </c>
      <c r="AA352" s="23" t="s">
        <v>444</v>
      </c>
      <c r="AC352" s="4">
        <v>189.8</v>
      </c>
      <c r="AD352" s="3">
        <v>46234</v>
      </c>
    </row>
    <row r="353" spans="1:31">
      <c r="A353" s="2" t="s">
        <v>587</v>
      </c>
      <c r="B353" s="9">
        <v>10</v>
      </c>
      <c r="C353" s="2" t="s">
        <v>181</v>
      </c>
      <c r="D353" s="2" t="s">
        <v>154</v>
      </c>
      <c r="E353" s="14">
        <v>46230</v>
      </c>
      <c r="F353" s="9" t="s">
        <v>155</v>
      </c>
      <c r="G353" s="9" t="s">
        <v>156</v>
      </c>
      <c r="H353" s="2" t="s">
        <v>212</v>
      </c>
      <c r="I353" s="2" t="s">
        <v>213</v>
      </c>
      <c r="J353" s="2">
        <v>10019706</v>
      </c>
      <c r="K353" s="2" t="s">
        <v>295</v>
      </c>
      <c r="L353" s="21">
        <v>9</v>
      </c>
      <c r="M353" s="21">
        <v>0</v>
      </c>
      <c r="N353" s="21">
        <v>0</v>
      </c>
      <c r="O353" s="21">
        <v>0</v>
      </c>
      <c r="R353" s="19">
        <v>0</v>
      </c>
      <c r="S353" s="12">
        <v>0</v>
      </c>
      <c r="T353" s="20">
        <v>0</v>
      </c>
      <c r="U353" s="12">
        <v>164.25</v>
      </c>
      <c r="V353" s="12">
        <v>0</v>
      </c>
      <c r="W353" s="21">
        <v>9</v>
      </c>
      <c r="X353" s="19">
        <v>22.5</v>
      </c>
      <c r="Y353" s="22">
        <v>0</v>
      </c>
      <c r="Z353" s="9" t="s">
        <v>3</v>
      </c>
      <c r="AA353" s="23" t="s">
        <v>215</v>
      </c>
      <c r="AC353" s="4">
        <v>678.83</v>
      </c>
      <c r="AD353" s="3">
        <v>46238</v>
      </c>
    </row>
    <row r="354" spans="1:31">
      <c r="A354" s="2" t="s">
        <v>587</v>
      </c>
      <c r="B354" s="9">
        <v>50</v>
      </c>
      <c r="C354" s="2" t="s">
        <v>181</v>
      </c>
      <c r="D354" s="2" t="s">
        <v>154</v>
      </c>
      <c r="E354" s="14">
        <v>46230</v>
      </c>
      <c r="F354" s="9" t="s">
        <v>155</v>
      </c>
      <c r="G354" s="9" t="s">
        <v>156</v>
      </c>
      <c r="H354" s="2" t="s">
        <v>212</v>
      </c>
      <c r="I354" s="2" t="s">
        <v>213</v>
      </c>
      <c r="J354" s="2">
        <v>10100028</v>
      </c>
      <c r="K354" s="2" t="s">
        <v>310</v>
      </c>
      <c r="L354" s="21">
        <v>7</v>
      </c>
      <c r="M354" s="21">
        <v>0</v>
      </c>
      <c r="N354" s="21">
        <v>0</v>
      </c>
      <c r="O354" s="21">
        <v>0</v>
      </c>
      <c r="R354" s="19">
        <v>0</v>
      </c>
      <c r="S354" s="12">
        <v>0</v>
      </c>
      <c r="T354" s="20">
        <v>0</v>
      </c>
      <c r="U354" s="12">
        <v>89.6</v>
      </c>
      <c r="V354" s="12">
        <v>0</v>
      </c>
      <c r="W354" s="21">
        <v>7</v>
      </c>
      <c r="X354" s="19">
        <v>0</v>
      </c>
      <c r="Y354" s="22">
        <v>0</v>
      </c>
      <c r="Z354" s="9" t="s">
        <v>3</v>
      </c>
      <c r="AA354" s="23" t="s">
        <v>215</v>
      </c>
      <c r="AC354" s="4">
        <v>269.70999999999998</v>
      </c>
      <c r="AD354" s="3">
        <v>46238</v>
      </c>
    </row>
    <row r="355" spans="1:31">
      <c r="A355" s="2" t="s">
        <v>587</v>
      </c>
      <c r="B355" s="9">
        <v>130</v>
      </c>
      <c r="C355" s="2" t="s">
        <v>181</v>
      </c>
      <c r="D355" s="2" t="s">
        <v>154</v>
      </c>
      <c r="E355" s="14">
        <v>46230</v>
      </c>
      <c r="F355" s="9" t="s">
        <v>155</v>
      </c>
      <c r="G355" s="9" t="s">
        <v>156</v>
      </c>
      <c r="H355" s="2" t="s">
        <v>212</v>
      </c>
      <c r="I355" s="2" t="s">
        <v>213</v>
      </c>
      <c r="J355" s="2">
        <v>10061099</v>
      </c>
      <c r="K355" s="2" t="s">
        <v>411</v>
      </c>
      <c r="L355" s="21">
        <v>3</v>
      </c>
      <c r="M355" s="21">
        <v>0</v>
      </c>
      <c r="N355" s="21">
        <v>0</v>
      </c>
      <c r="O355" s="21">
        <v>0</v>
      </c>
      <c r="R355" s="19">
        <v>0</v>
      </c>
      <c r="S355" s="12">
        <v>0</v>
      </c>
      <c r="T355" s="20">
        <v>0</v>
      </c>
      <c r="U355" s="12">
        <v>25.53</v>
      </c>
      <c r="V355" s="12">
        <v>0</v>
      </c>
      <c r="W355" s="21">
        <v>3</v>
      </c>
      <c r="X355" s="19">
        <v>0</v>
      </c>
      <c r="Y355" s="22">
        <v>0</v>
      </c>
      <c r="Z355" s="9" t="s">
        <v>3</v>
      </c>
      <c r="AA355" s="23" t="s">
        <v>215</v>
      </c>
      <c r="AC355" s="4">
        <v>74.55</v>
      </c>
      <c r="AD355" s="3">
        <v>46238</v>
      </c>
    </row>
    <row r="356" spans="1:31">
      <c r="A356" s="2" t="s">
        <v>588</v>
      </c>
      <c r="B356" s="9">
        <v>10</v>
      </c>
      <c r="C356" s="2" t="s">
        <v>187</v>
      </c>
      <c r="D356" s="2" t="s">
        <v>154</v>
      </c>
      <c r="E356" s="14">
        <v>46230</v>
      </c>
      <c r="F356" s="9" t="s">
        <v>155</v>
      </c>
      <c r="G356" s="9" t="s">
        <v>156</v>
      </c>
      <c r="H356" s="2" t="s">
        <v>188</v>
      </c>
      <c r="I356" s="2" t="s">
        <v>189</v>
      </c>
      <c r="J356" s="2">
        <v>10040699</v>
      </c>
      <c r="K356" s="2" t="s">
        <v>589</v>
      </c>
      <c r="L356" s="21">
        <v>23</v>
      </c>
      <c r="M356" s="21">
        <v>23</v>
      </c>
      <c r="N356" s="21">
        <v>23</v>
      </c>
      <c r="O356" s="21">
        <v>0</v>
      </c>
      <c r="Q356" s="9" t="s">
        <v>590</v>
      </c>
      <c r="R356" s="19">
        <v>0</v>
      </c>
      <c r="S356" s="12">
        <v>0</v>
      </c>
      <c r="T356" s="20">
        <v>0</v>
      </c>
      <c r="U356" s="12">
        <v>893.09</v>
      </c>
      <c r="V356" s="12">
        <v>893.09</v>
      </c>
      <c r="W356" s="21">
        <v>23</v>
      </c>
      <c r="X356" s="19">
        <v>0</v>
      </c>
      <c r="Y356" s="22">
        <v>0</v>
      </c>
      <c r="Z356" s="9" t="s">
        <v>4</v>
      </c>
      <c r="AA356" s="23" t="s">
        <v>190</v>
      </c>
      <c r="AC356" s="4">
        <v>2242.73</v>
      </c>
      <c r="AD356" s="3">
        <v>46233</v>
      </c>
      <c r="AE356" s="3">
        <v>46233</v>
      </c>
    </row>
    <row r="357" spans="1:31">
      <c r="A357" s="2" t="s">
        <v>591</v>
      </c>
      <c r="B357" s="9">
        <v>40</v>
      </c>
      <c r="C357" s="2" t="s">
        <v>181</v>
      </c>
      <c r="D357" s="2" t="s">
        <v>154</v>
      </c>
      <c r="E357" s="14">
        <v>46231</v>
      </c>
      <c r="F357" s="9" t="s">
        <v>155</v>
      </c>
      <c r="G357" s="9" t="s">
        <v>156</v>
      </c>
      <c r="H357" s="2" t="s">
        <v>230</v>
      </c>
      <c r="I357" s="2" t="s">
        <v>231</v>
      </c>
      <c r="J357" s="2">
        <v>10007757</v>
      </c>
      <c r="K357" s="2" t="s">
        <v>592</v>
      </c>
      <c r="L357" s="21">
        <v>5</v>
      </c>
      <c r="M357" s="21">
        <v>0</v>
      </c>
      <c r="N357" s="21">
        <v>0</v>
      </c>
      <c r="O357" s="21">
        <v>0</v>
      </c>
      <c r="R357" s="19">
        <v>0</v>
      </c>
      <c r="S357" s="12">
        <v>0</v>
      </c>
      <c r="T357" s="20">
        <v>0</v>
      </c>
      <c r="U357" s="12">
        <v>30</v>
      </c>
      <c r="V357" s="12">
        <v>0</v>
      </c>
      <c r="W357" s="21">
        <v>5</v>
      </c>
      <c r="X357" s="19">
        <v>0</v>
      </c>
      <c r="Y357" s="22">
        <v>0</v>
      </c>
      <c r="Z357" s="9" t="s">
        <v>3</v>
      </c>
      <c r="AA357" s="23" t="s">
        <v>233</v>
      </c>
      <c r="AC357" s="4">
        <v>104.75</v>
      </c>
      <c r="AD357" s="3">
        <v>46233</v>
      </c>
    </row>
    <row r="358" spans="1:31">
      <c r="A358" s="2" t="s">
        <v>591</v>
      </c>
      <c r="B358" s="9">
        <v>100</v>
      </c>
      <c r="C358" s="2" t="s">
        <v>181</v>
      </c>
      <c r="D358" s="2" t="s">
        <v>154</v>
      </c>
      <c r="E358" s="14">
        <v>46231</v>
      </c>
      <c r="F358" s="9" t="s">
        <v>155</v>
      </c>
      <c r="G358" s="9" t="s">
        <v>156</v>
      </c>
      <c r="H358" s="2" t="s">
        <v>230</v>
      </c>
      <c r="I358" s="2" t="s">
        <v>231</v>
      </c>
      <c r="J358" s="2">
        <v>10061099</v>
      </c>
      <c r="K358" s="2" t="s">
        <v>411</v>
      </c>
      <c r="L358" s="21">
        <v>3</v>
      </c>
      <c r="M358" s="21">
        <v>0</v>
      </c>
      <c r="N358" s="21">
        <v>0</v>
      </c>
      <c r="O358" s="21">
        <v>0</v>
      </c>
      <c r="R358" s="19">
        <v>0</v>
      </c>
      <c r="S358" s="12">
        <v>0</v>
      </c>
      <c r="T358" s="20">
        <v>0</v>
      </c>
      <c r="U358" s="12">
        <v>25.53</v>
      </c>
      <c r="V358" s="12">
        <v>0</v>
      </c>
      <c r="W358" s="21">
        <v>3</v>
      </c>
      <c r="X358" s="19">
        <v>0</v>
      </c>
      <c r="Y358" s="22">
        <v>0</v>
      </c>
      <c r="Z358" s="9" t="s">
        <v>3</v>
      </c>
      <c r="AA358" s="23" t="s">
        <v>233</v>
      </c>
      <c r="AC358" s="4">
        <v>74.55</v>
      </c>
      <c r="AD358" s="3">
        <v>46233</v>
      </c>
    </row>
    <row r="359" spans="1:31">
      <c r="A359" s="2" t="s">
        <v>591</v>
      </c>
      <c r="B359" s="9">
        <v>130</v>
      </c>
      <c r="C359" s="2" t="s">
        <v>181</v>
      </c>
      <c r="D359" s="2" t="s">
        <v>154</v>
      </c>
      <c r="E359" s="14">
        <v>46231</v>
      </c>
      <c r="F359" s="9" t="s">
        <v>155</v>
      </c>
      <c r="G359" s="9" t="s">
        <v>156</v>
      </c>
      <c r="H359" s="2" t="s">
        <v>230</v>
      </c>
      <c r="I359" s="2" t="s">
        <v>231</v>
      </c>
      <c r="J359" s="2">
        <v>10033021</v>
      </c>
      <c r="K359" s="2" t="s">
        <v>324</v>
      </c>
      <c r="L359" s="21">
        <v>15</v>
      </c>
      <c r="M359" s="21">
        <v>0</v>
      </c>
      <c r="N359" s="21">
        <v>0</v>
      </c>
      <c r="O359" s="21">
        <v>0</v>
      </c>
      <c r="R359" s="19">
        <v>0</v>
      </c>
      <c r="S359" s="12">
        <v>0</v>
      </c>
      <c r="T359" s="20">
        <v>0</v>
      </c>
      <c r="U359" s="12">
        <v>200.85</v>
      </c>
      <c r="V359" s="12">
        <v>0</v>
      </c>
      <c r="W359" s="21">
        <v>15</v>
      </c>
      <c r="X359" s="19">
        <v>0</v>
      </c>
      <c r="Y359" s="22">
        <v>0</v>
      </c>
      <c r="Z359" s="9" t="s">
        <v>3</v>
      </c>
      <c r="AA359" s="23" t="s">
        <v>233</v>
      </c>
      <c r="AC359" s="4">
        <v>568.79999999999995</v>
      </c>
      <c r="AD359" s="3">
        <v>46233</v>
      </c>
    </row>
    <row r="360" spans="1:31">
      <c r="A360" s="2" t="s">
        <v>591</v>
      </c>
      <c r="B360" s="9">
        <v>190</v>
      </c>
      <c r="C360" s="2" t="s">
        <v>181</v>
      </c>
      <c r="D360" s="2" t="s">
        <v>154</v>
      </c>
      <c r="E360" s="14">
        <v>46231</v>
      </c>
      <c r="F360" s="9" t="s">
        <v>155</v>
      </c>
      <c r="G360" s="9" t="s">
        <v>156</v>
      </c>
      <c r="H360" s="2" t="s">
        <v>230</v>
      </c>
      <c r="I360" s="2" t="s">
        <v>231</v>
      </c>
      <c r="J360" s="2">
        <v>10100487</v>
      </c>
      <c r="K360" s="2" t="s">
        <v>593</v>
      </c>
      <c r="L360" s="21">
        <v>17</v>
      </c>
      <c r="M360" s="21">
        <v>0</v>
      </c>
      <c r="N360" s="21">
        <v>0</v>
      </c>
      <c r="O360" s="21">
        <v>0</v>
      </c>
      <c r="R360" s="19">
        <v>0</v>
      </c>
      <c r="S360" s="12">
        <v>0</v>
      </c>
      <c r="T360" s="20">
        <v>0</v>
      </c>
      <c r="U360" s="12">
        <v>204</v>
      </c>
      <c r="V360" s="12">
        <v>0</v>
      </c>
      <c r="W360" s="21">
        <v>17</v>
      </c>
      <c r="X360" s="19">
        <v>0</v>
      </c>
      <c r="Y360" s="22">
        <v>0</v>
      </c>
      <c r="Z360" s="9" t="s">
        <v>3</v>
      </c>
      <c r="AA360" s="23" t="s">
        <v>233</v>
      </c>
      <c r="AC360" s="4">
        <v>809.2</v>
      </c>
      <c r="AD360" s="3">
        <v>46233</v>
      </c>
    </row>
    <row r="361" spans="1:31">
      <c r="A361" s="2" t="s">
        <v>594</v>
      </c>
      <c r="B361" s="9">
        <v>10</v>
      </c>
      <c r="C361" s="2" t="s">
        <v>175</v>
      </c>
      <c r="D361" s="2" t="s">
        <v>154</v>
      </c>
      <c r="E361" s="14">
        <v>46232</v>
      </c>
      <c r="F361" s="9" t="s">
        <v>266</v>
      </c>
      <c r="G361" s="9" t="s">
        <v>156</v>
      </c>
      <c r="H361" s="2" t="s">
        <v>595</v>
      </c>
      <c r="I361" s="2" t="s">
        <v>596</v>
      </c>
      <c r="J361" s="2">
        <v>10013039</v>
      </c>
      <c r="K361" s="2" t="s">
        <v>278</v>
      </c>
      <c r="L361" s="21">
        <v>2</v>
      </c>
      <c r="M361" s="21">
        <v>2</v>
      </c>
      <c r="N361" s="21">
        <v>0</v>
      </c>
      <c r="O361" s="21">
        <v>0</v>
      </c>
      <c r="R361" s="19">
        <v>8</v>
      </c>
      <c r="S361" s="12">
        <v>0</v>
      </c>
      <c r="T361" s="20">
        <v>0</v>
      </c>
      <c r="U361" s="12">
        <v>85.76</v>
      </c>
      <c r="V361" s="12">
        <v>85.76</v>
      </c>
      <c r="W361" s="21">
        <v>2</v>
      </c>
      <c r="X361" s="19">
        <v>8</v>
      </c>
      <c r="Y361" s="22">
        <v>0</v>
      </c>
      <c r="Z361" s="9" t="s">
        <v>6</v>
      </c>
      <c r="AA361" s="23" t="s">
        <v>597</v>
      </c>
      <c r="AC361" s="4">
        <v>181.68</v>
      </c>
      <c r="AD361" s="3">
        <v>46233</v>
      </c>
    </row>
    <row r="362" spans="1:31">
      <c r="A362" s="2" t="s">
        <v>594</v>
      </c>
      <c r="B362" s="9">
        <v>20</v>
      </c>
      <c r="C362" s="2" t="s">
        <v>175</v>
      </c>
      <c r="D362" s="2" t="s">
        <v>154</v>
      </c>
      <c r="E362" s="14">
        <v>46232</v>
      </c>
      <c r="F362" s="9" t="s">
        <v>266</v>
      </c>
      <c r="G362" s="9" t="s">
        <v>156</v>
      </c>
      <c r="H362" s="2" t="s">
        <v>595</v>
      </c>
      <c r="I362" s="2" t="s">
        <v>596</v>
      </c>
      <c r="J362" s="2">
        <v>10013144</v>
      </c>
      <c r="K362" s="2" t="s">
        <v>586</v>
      </c>
      <c r="L362" s="21">
        <v>6</v>
      </c>
      <c r="M362" s="21">
        <v>0</v>
      </c>
      <c r="N362" s="21">
        <v>0</v>
      </c>
      <c r="O362" s="21">
        <v>0</v>
      </c>
      <c r="R362" s="19">
        <v>0</v>
      </c>
      <c r="S362" s="12">
        <v>0</v>
      </c>
      <c r="T362" s="20">
        <v>0</v>
      </c>
      <c r="U362" s="12">
        <v>136.34</v>
      </c>
      <c r="V362" s="12">
        <v>0</v>
      </c>
      <c r="W362" s="21">
        <v>6</v>
      </c>
      <c r="X362" s="19">
        <v>13.8</v>
      </c>
      <c r="Y362" s="22">
        <v>0</v>
      </c>
      <c r="Z362" s="9" t="s">
        <v>6</v>
      </c>
      <c r="AA362" s="23" t="s">
        <v>597</v>
      </c>
      <c r="AC362" s="4">
        <v>297.67</v>
      </c>
      <c r="AD362" s="3">
        <v>46233</v>
      </c>
    </row>
  </sheetData>
  <autoFilter ref="A1:AE362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3297"/>
  <sheetViews>
    <sheetView workbookViewId="0">
      <pane ySplit="1" topLeftCell="A264" activePane="bottomLeft" state="frozen"/>
      <selection pane="bottomLeft" activeCell="E3306" sqref="E3306"/>
    </sheetView>
  </sheetViews>
  <sheetFormatPr defaultRowHeight="14.1"/>
  <cols>
    <col min="1" max="1" width="26.375" bestFit="1" customWidth="1"/>
    <col min="2" max="2" width="18.875" customWidth="1"/>
    <col min="3" max="3" width="11.375" customWidth="1"/>
    <col min="4" max="4" width="81.625" customWidth="1"/>
    <col min="5" max="5" width="7.25" style="9" bestFit="1" customWidth="1"/>
    <col min="6" max="6" width="11.375" style="9" customWidth="1"/>
    <col min="7" max="7" width="15.25" style="6" bestFit="1" customWidth="1"/>
    <col min="8" max="8" width="17.25" style="9" bestFit="1" customWidth="1"/>
    <col min="9" max="9" width="18" style="9" customWidth="1"/>
    <col min="10" max="10" width="8.25" style="9" bestFit="1" customWidth="1"/>
    <col min="11" max="11" width="13.25" style="9" bestFit="1" customWidth="1"/>
  </cols>
  <sheetData>
    <row r="1" spans="1:11" s="1" customFormat="1">
      <c r="A1" s="1" t="s">
        <v>598</v>
      </c>
      <c r="B1" s="1" t="s">
        <v>599</v>
      </c>
      <c r="C1" s="1" t="s">
        <v>130</v>
      </c>
      <c r="D1" s="1" t="s">
        <v>600</v>
      </c>
      <c r="E1" s="7" t="s">
        <v>601</v>
      </c>
      <c r="F1" s="7" t="s">
        <v>602</v>
      </c>
      <c r="G1" s="5" t="s">
        <v>603</v>
      </c>
      <c r="H1" s="7" t="s">
        <v>604</v>
      </c>
      <c r="I1" s="7" t="s">
        <v>605</v>
      </c>
      <c r="J1" s="7" t="s">
        <v>146</v>
      </c>
      <c r="K1" s="7" t="s">
        <v>606</v>
      </c>
    </row>
    <row r="2" spans="1:11">
      <c r="A2" s="2" t="s">
        <v>607</v>
      </c>
      <c r="B2" s="2" t="s">
        <v>608</v>
      </c>
      <c r="C2" s="9">
        <v>10001116</v>
      </c>
      <c r="D2" s="2" t="s">
        <v>609</v>
      </c>
      <c r="E2" s="10">
        <v>24</v>
      </c>
      <c r="F2" s="9" t="s">
        <v>610</v>
      </c>
      <c r="G2" s="11">
        <v>46238</v>
      </c>
      <c r="H2" s="12">
        <v>38.869999999999997</v>
      </c>
      <c r="I2" s="12">
        <v>34.659999999999997</v>
      </c>
      <c r="J2" s="9" t="s">
        <v>3</v>
      </c>
      <c r="K2" s="8">
        <v>0</v>
      </c>
    </row>
    <row r="3" spans="1:11">
      <c r="A3" s="2" t="s">
        <v>607</v>
      </c>
      <c r="B3" s="2" t="s">
        <v>608</v>
      </c>
      <c r="C3" s="9">
        <v>10001117</v>
      </c>
      <c r="D3" s="2" t="s">
        <v>611</v>
      </c>
      <c r="E3" s="10">
        <v>24</v>
      </c>
      <c r="F3" s="9" t="s">
        <v>610</v>
      </c>
      <c r="G3" s="11">
        <v>46238</v>
      </c>
      <c r="H3" s="12">
        <v>38.869999999999997</v>
      </c>
      <c r="I3" s="12">
        <v>34.659999999999997</v>
      </c>
      <c r="J3" s="9" t="s">
        <v>3</v>
      </c>
      <c r="K3" s="8">
        <v>0</v>
      </c>
    </row>
    <row r="4" spans="1:11">
      <c r="A4" s="2" t="s">
        <v>607</v>
      </c>
      <c r="B4" s="2" t="s">
        <v>608</v>
      </c>
      <c r="C4" s="9">
        <v>10001118</v>
      </c>
      <c r="D4" s="2" t="s">
        <v>612</v>
      </c>
      <c r="E4" s="10">
        <v>24</v>
      </c>
      <c r="F4" s="9" t="s">
        <v>610</v>
      </c>
      <c r="G4" s="11">
        <v>46238</v>
      </c>
      <c r="H4" s="12">
        <v>38.869999999999997</v>
      </c>
      <c r="I4" s="12">
        <v>34.659999999999997</v>
      </c>
      <c r="J4" s="9" t="s">
        <v>3</v>
      </c>
      <c r="K4" s="8">
        <v>0</v>
      </c>
    </row>
    <row r="5" spans="1:11">
      <c r="A5" s="2" t="s">
        <v>607</v>
      </c>
      <c r="B5" s="2" t="s">
        <v>608</v>
      </c>
      <c r="C5" s="9">
        <v>10001119</v>
      </c>
      <c r="D5" s="2" t="s">
        <v>613</v>
      </c>
      <c r="E5" s="10">
        <v>24</v>
      </c>
      <c r="F5" s="9" t="s">
        <v>610</v>
      </c>
      <c r="G5" s="11">
        <v>46238</v>
      </c>
      <c r="H5" s="12">
        <v>38.869999999999997</v>
      </c>
      <c r="I5" s="12">
        <v>34.659999999999997</v>
      </c>
      <c r="J5" s="9" t="s">
        <v>3</v>
      </c>
      <c r="K5" s="8">
        <v>0</v>
      </c>
    </row>
    <row r="6" spans="1:11">
      <c r="A6" s="2" t="s">
        <v>607</v>
      </c>
      <c r="B6" s="2" t="s">
        <v>608</v>
      </c>
      <c r="C6" s="9">
        <v>10001120</v>
      </c>
      <c r="D6" s="2" t="s">
        <v>614</v>
      </c>
      <c r="E6" s="10">
        <v>24</v>
      </c>
      <c r="F6" s="9" t="s">
        <v>610</v>
      </c>
      <c r="G6" s="11">
        <v>46238</v>
      </c>
      <c r="H6" s="12">
        <v>38.869999999999997</v>
      </c>
      <c r="I6" s="12">
        <v>34.659999999999997</v>
      </c>
      <c r="J6" s="9" t="s">
        <v>3</v>
      </c>
      <c r="K6" s="8">
        <v>0</v>
      </c>
    </row>
    <row r="7" spans="1:11">
      <c r="A7" s="2" t="s">
        <v>607</v>
      </c>
      <c r="B7" s="2" t="s">
        <v>608</v>
      </c>
      <c r="C7" s="9">
        <v>10001121</v>
      </c>
      <c r="D7" s="2" t="s">
        <v>615</v>
      </c>
      <c r="E7" s="10">
        <v>24</v>
      </c>
      <c r="F7" s="9" t="s">
        <v>610</v>
      </c>
      <c r="G7" s="11">
        <v>46238</v>
      </c>
      <c r="H7" s="12">
        <v>38.869999999999997</v>
      </c>
      <c r="I7" s="12">
        <v>34.659999999999997</v>
      </c>
      <c r="J7" s="9" t="s">
        <v>3</v>
      </c>
      <c r="K7" s="8">
        <v>0</v>
      </c>
    </row>
    <row r="8" spans="1:11">
      <c r="A8" s="2" t="s">
        <v>607</v>
      </c>
      <c r="B8" s="2" t="s">
        <v>608</v>
      </c>
      <c r="C8" s="9">
        <v>10001122</v>
      </c>
      <c r="D8" s="2" t="s">
        <v>616</v>
      </c>
      <c r="E8" s="10">
        <v>24</v>
      </c>
      <c r="F8" s="9" t="s">
        <v>610</v>
      </c>
      <c r="G8" s="11">
        <v>46238</v>
      </c>
      <c r="H8" s="12">
        <v>38.869999999999997</v>
      </c>
      <c r="I8" s="12">
        <v>34.659999999999997</v>
      </c>
      <c r="J8" s="9" t="s">
        <v>3</v>
      </c>
      <c r="K8" s="8">
        <v>0</v>
      </c>
    </row>
    <row r="9" spans="1:11">
      <c r="A9" s="2" t="s">
        <v>607</v>
      </c>
      <c r="B9" s="2" t="s">
        <v>608</v>
      </c>
      <c r="C9" s="9">
        <v>10001123</v>
      </c>
      <c r="D9" s="2" t="s">
        <v>617</v>
      </c>
      <c r="E9" s="10">
        <v>24</v>
      </c>
      <c r="F9" s="9" t="s">
        <v>610</v>
      </c>
      <c r="G9" s="11">
        <v>46238</v>
      </c>
      <c r="H9" s="12">
        <v>38.869999999999997</v>
      </c>
      <c r="I9" s="12">
        <v>34.659999999999997</v>
      </c>
      <c r="J9" s="9" t="s">
        <v>3</v>
      </c>
      <c r="K9" s="8">
        <v>0</v>
      </c>
    </row>
    <row r="10" spans="1:11">
      <c r="A10" s="2" t="s">
        <v>607</v>
      </c>
      <c r="B10" s="2" t="s">
        <v>608</v>
      </c>
      <c r="C10" s="9">
        <v>10001126</v>
      </c>
      <c r="D10" s="2" t="s">
        <v>618</v>
      </c>
      <c r="E10" s="10">
        <v>24</v>
      </c>
      <c r="F10" s="9" t="s">
        <v>610</v>
      </c>
      <c r="G10" s="11">
        <v>46238</v>
      </c>
      <c r="H10" s="12">
        <v>38.869999999999997</v>
      </c>
      <c r="I10" s="12">
        <v>34.659999999999997</v>
      </c>
      <c r="J10" s="9" t="s">
        <v>3</v>
      </c>
      <c r="K10" s="8">
        <v>0</v>
      </c>
    </row>
    <row r="11" spans="1:11">
      <c r="A11" s="2" t="s">
        <v>607</v>
      </c>
      <c r="B11" s="2" t="s">
        <v>608</v>
      </c>
      <c r="C11" s="9">
        <v>10001127</v>
      </c>
      <c r="D11" s="2" t="s">
        <v>619</v>
      </c>
      <c r="E11" s="10">
        <v>24</v>
      </c>
      <c r="F11" s="9" t="s">
        <v>610</v>
      </c>
      <c r="G11" s="11">
        <v>46238</v>
      </c>
      <c r="H11" s="12">
        <v>38.869999999999997</v>
      </c>
      <c r="I11" s="12">
        <v>34.659999999999997</v>
      </c>
      <c r="J11" s="9" t="s">
        <v>3</v>
      </c>
      <c r="K11" s="8">
        <v>0</v>
      </c>
    </row>
    <row r="12" spans="1:11">
      <c r="A12" s="2" t="s">
        <v>607</v>
      </c>
      <c r="B12" s="2" t="s">
        <v>620</v>
      </c>
      <c r="C12" s="9">
        <v>10001128</v>
      </c>
      <c r="D12" s="2" t="s">
        <v>621</v>
      </c>
      <c r="E12" s="10">
        <v>24</v>
      </c>
      <c r="F12" s="9" t="s">
        <v>622</v>
      </c>
      <c r="G12" s="11">
        <v>46238</v>
      </c>
      <c r="H12" s="12">
        <v>37.68</v>
      </c>
      <c r="I12" s="12">
        <v>33.6</v>
      </c>
      <c r="J12" s="9" t="s">
        <v>3</v>
      </c>
      <c r="K12" s="8">
        <v>0</v>
      </c>
    </row>
    <row r="13" spans="1:11">
      <c r="A13" s="2" t="s">
        <v>607</v>
      </c>
      <c r="B13" s="2" t="s">
        <v>608</v>
      </c>
      <c r="C13" s="9">
        <v>10001134</v>
      </c>
      <c r="D13" s="2" t="s">
        <v>623</v>
      </c>
      <c r="E13" s="10">
        <v>24</v>
      </c>
      <c r="F13" s="9" t="s">
        <v>610</v>
      </c>
      <c r="G13" s="11">
        <v>46238</v>
      </c>
      <c r="H13" s="12">
        <v>38.869999999999997</v>
      </c>
      <c r="I13" s="12">
        <v>34.659999999999997</v>
      </c>
      <c r="J13" s="9" t="s">
        <v>3</v>
      </c>
      <c r="K13" s="8">
        <v>0</v>
      </c>
    </row>
    <row r="14" spans="1:11">
      <c r="A14" s="2" t="s">
        <v>607</v>
      </c>
      <c r="B14" s="2" t="s">
        <v>608</v>
      </c>
      <c r="C14" s="9">
        <v>10001137</v>
      </c>
      <c r="D14" s="2" t="s">
        <v>624</v>
      </c>
      <c r="E14" s="10">
        <v>8</v>
      </c>
      <c r="F14" s="9" t="s">
        <v>625</v>
      </c>
      <c r="G14" s="11">
        <v>46238</v>
      </c>
      <c r="H14" s="12">
        <v>27.98</v>
      </c>
      <c r="I14" s="12">
        <v>24.92</v>
      </c>
      <c r="J14" s="9" t="s">
        <v>3</v>
      </c>
      <c r="K14" s="8">
        <v>0</v>
      </c>
    </row>
    <row r="15" spans="1:11">
      <c r="A15" s="2" t="s">
        <v>607</v>
      </c>
      <c r="B15" s="2" t="s">
        <v>608</v>
      </c>
      <c r="C15" s="9">
        <v>10001138</v>
      </c>
      <c r="D15" s="2" t="s">
        <v>626</v>
      </c>
      <c r="E15" s="10">
        <v>8</v>
      </c>
      <c r="F15" s="9" t="s">
        <v>625</v>
      </c>
      <c r="G15" s="11">
        <v>46238</v>
      </c>
      <c r="H15" s="12">
        <v>27.98</v>
      </c>
      <c r="I15" s="12">
        <v>24.92</v>
      </c>
      <c r="J15" s="9" t="s">
        <v>3</v>
      </c>
      <c r="K15" s="8">
        <v>0</v>
      </c>
    </row>
    <row r="16" spans="1:11">
      <c r="A16" s="2" t="s">
        <v>607</v>
      </c>
      <c r="B16" s="2" t="s">
        <v>608</v>
      </c>
      <c r="C16" s="9">
        <v>10001139</v>
      </c>
      <c r="D16" s="2" t="s">
        <v>627</v>
      </c>
      <c r="E16" s="10">
        <v>8</v>
      </c>
      <c r="F16" s="9" t="s">
        <v>625</v>
      </c>
      <c r="G16" s="11">
        <v>46238</v>
      </c>
      <c r="H16" s="12">
        <v>27.98</v>
      </c>
      <c r="I16" s="12">
        <v>24.92</v>
      </c>
      <c r="J16" s="9" t="s">
        <v>3</v>
      </c>
      <c r="K16" s="8">
        <v>0</v>
      </c>
    </row>
    <row r="17" spans="1:11">
      <c r="A17" s="2" t="s">
        <v>607</v>
      </c>
      <c r="B17" s="2" t="s">
        <v>608</v>
      </c>
      <c r="C17" s="9">
        <v>10001143</v>
      </c>
      <c r="D17" s="2" t="s">
        <v>628</v>
      </c>
      <c r="E17" s="10">
        <v>8</v>
      </c>
      <c r="F17" s="9" t="s">
        <v>625</v>
      </c>
      <c r="G17" s="11">
        <v>46238</v>
      </c>
      <c r="H17" s="12">
        <v>27.98</v>
      </c>
      <c r="I17" s="12">
        <v>24.92</v>
      </c>
      <c r="J17" s="9" t="s">
        <v>3</v>
      </c>
      <c r="K17" s="8">
        <v>0</v>
      </c>
    </row>
    <row r="18" spans="1:11">
      <c r="A18" s="2" t="s">
        <v>607</v>
      </c>
      <c r="B18" s="2" t="s">
        <v>608</v>
      </c>
      <c r="C18" s="9">
        <v>10001159</v>
      </c>
      <c r="D18" s="2" t="s">
        <v>629</v>
      </c>
      <c r="E18" s="10">
        <v>24</v>
      </c>
      <c r="F18" s="9" t="s">
        <v>610</v>
      </c>
      <c r="G18" s="11">
        <v>46238</v>
      </c>
      <c r="H18" s="12">
        <v>38.869999999999997</v>
      </c>
      <c r="I18" s="12">
        <v>34.659999999999997</v>
      </c>
      <c r="J18" s="9" t="s">
        <v>3</v>
      </c>
      <c r="K18" s="8">
        <v>0</v>
      </c>
    </row>
    <row r="19" spans="1:11">
      <c r="A19" s="2" t="s">
        <v>607</v>
      </c>
      <c r="B19" s="2" t="s">
        <v>630</v>
      </c>
      <c r="C19" s="9">
        <v>10001310</v>
      </c>
      <c r="D19" s="2" t="s">
        <v>631</v>
      </c>
      <c r="E19" s="10">
        <v>12</v>
      </c>
      <c r="F19" s="9" t="s">
        <v>632</v>
      </c>
      <c r="G19" s="11">
        <v>46238</v>
      </c>
      <c r="H19" s="12">
        <v>67.02</v>
      </c>
      <c r="I19" s="12">
        <v>59.65</v>
      </c>
      <c r="J19" s="9" t="s">
        <v>3</v>
      </c>
      <c r="K19" s="8">
        <v>0</v>
      </c>
    </row>
    <row r="20" spans="1:11">
      <c r="A20" s="2" t="s">
        <v>607</v>
      </c>
      <c r="B20" s="2" t="s">
        <v>630</v>
      </c>
      <c r="C20" s="9">
        <v>10001311</v>
      </c>
      <c r="D20" s="2" t="s">
        <v>633</v>
      </c>
      <c r="E20" s="10">
        <v>12</v>
      </c>
      <c r="F20" s="9" t="s">
        <v>632</v>
      </c>
      <c r="G20" s="11">
        <v>46238</v>
      </c>
      <c r="H20" s="12">
        <v>67.02</v>
      </c>
      <c r="I20" s="12">
        <v>59.65</v>
      </c>
      <c r="J20" s="9" t="s">
        <v>3</v>
      </c>
      <c r="K20" s="8">
        <v>0</v>
      </c>
    </row>
    <row r="21" spans="1:11">
      <c r="A21" s="2" t="s">
        <v>607</v>
      </c>
      <c r="B21" s="2" t="s">
        <v>630</v>
      </c>
      <c r="C21" s="9">
        <v>10001312</v>
      </c>
      <c r="D21" s="2" t="s">
        <v>634</v>
      </c>
      <c r="E21" s="10">
        <v>12</v>
      </c>
      <c r="F21" s="9" t="s">
        <v>635</v>
      </c>
      <c r="G21" s="11">
        <v>46238</v>
      </c>
      <c r="H21" s="12">
        <v>72.64</v>
      </c>
      <c r="I21" s="12">
        <v>64.650000000000006</v>
      </c>
      <c r="J21" s="9" t="s">
        <v>3</v>
      </c>
      <c r="K21" s="8">
        <v>0</v>
      </c>
    </row>
    <row r="22" spans="1:11">
      <c r="A22" s="2" t="s">
        <v>607</v>
      </c>
      <c r="B22" s="2" t="s">
        <v>630</v>
      </c>
      <c r="C22" s="9">
        <v>10001313</v>
      </c>
      <c r="D22" s="2" t="s">
        <v>636</v>
      </c>
      <c r="E22" s="10">
        <v>24</v>
      </c>
      <c r="F22" s="9" t="s">
        <v>637</v>
      </c>
      <c r="G22" s="11">
        <v>46238</v>
      </c>
      <c r="H22" s="12">
        <v>88.55</v>
      </c>
      <c r="I22" s="12">
        <v>78.81</v>
      </c>
      <c r="J22" s="9" t="s">
        <v>3</v>
      </c>
      <c r="K22" s="8">
        <v>0</v>
      </c>
    </row>
    <row r="23" spans="1:11">
      <c r="A23" s="2" t="s">
        <v>607</v>
      </c>
      <c r="B23" s="2" t="s">
        <v>630</v>
      </c>
      <c r="C23" s="9">
        <v>10001314</v>
      </c>
      <c r="D23" s="2" t="s">
        <v>638</v>
      </c>
      <c r="E23" s="10">
        <v>12</v>
      </c>
      <c r="F23" s="9" t="s">
        <v>639</v>
      </c>
      <c r="G23" s="11">
        <v>46238</v>
      </c>
      <c r="H23" s="12">
        <v>85.07</v>
      </c>
      <c r="I23" s="12">
        <v>75.709999999999994</v>
      </c>
      <c r="J23" s="9" t="s">
        <v>3</v>
      </c>
      <c r="K23" s="8">
        <v>0</v>
      </c>
    </row>
    <row r="24" spans="1:11">
      <c r="A24" s="2" t="s">
        <v>607</v>
      </c>
      <c r="B24" s="2" t="s">
        <v>630</v>
      </c>
      <c r="C24" s="9">
        <v>10001318</v>
      </c>
      <c r="D24" s="2" t="s">
        <v>640</v>
      </c>
      <c r="E24" s="10">
        <v>12</v>
      </c>
      <c r="F24" s="9" t="s">
        <v>641</v>
      </c>
      <c r="G24" s="11">
        <v>46238</v>
      </c>
      <c r="H24" s="12">
        <v>55.19</v>
      </c>
      <c r="I24" s="12">
        <v>49.12</v>
      </c>
      <c r="J24" s="9" t="s">
        <v>3</v>
      </c>
      <c r="K24" s="8">
        <v>0</v>
      </c>
    </row>
    <row r="25" spans="1:11">
      <c r="A25" s="2" t="s">
        <v>607</v>
      </c>
      <c r="B25" s="2" t="s">
        <v>630</v>
      </c>
      <c r="C25" s="9">
        <v>10001319</v>
      </c>
      <c r="D25" s="2" t="s">
        <v>642</v>
      </c>
      <c r="E25" s="10">
        <v>12</v>
      </c>
      <c r="F25" s="9" t="s">
        <v>622</v>
      </c>
      <c r="G25" s="11">
        <v>46238</v>
      </c>
      <c r="H25" s="12">
        <v>46.4</v>
      </c>
      <c r="I25" s="12">
        <v>41.3</v>
      </c>
      <c r="J25" s="9" t="s">
        <v>3</v>
      </c>
      <c r="K25" s="8">
        <v>0</v>
      </c>
    </row>
    <row r="26" spans="1:11">
      <c r="A26" s="2" t="s">
        <v>607</v>
      </c>
      <c r="B26" s="2" t="s">
        <v>630</v>
      </c>
      <c r="C26" s="9">
        <v>10001320</v>
      </c>
      <c r="D26" s="2" t="s">
        <v>643</v>
      </c>
      <c r="E26" s="10">
        <v>12</v>
      </c>
      <c r="F26" s="9" t="s">
        <v>632</v>
      </c>
      <c r="G26" s="11">
        <v>46238</v>
      </c>
      <c r="H26" s="12">
        <v>67.02</v>
      </c>
      <c r="I26" s="12">
        <v>59.65</v>
      </c>
      <c r="J26" s="9" t="s">
        <v>3</v>
      </c>
      <c r="K26" s="8">
        <v>0</v>
      </c>
    </row>
    <row r="27" spans="1:11">
      <c r="A27" s="2" t="s">
        <v>607</v>
      </c>
      <c r="B27" s="2" t="s">
        <v>630</v>
      </c>
      <c r="C27" s="9">
        <v>10001321</v>
      </c>
      <c r="D27" s="2" t="s">
        <v>644</v>
      </c>
      <c r="E27" s="10">
        <v>12</v>
      </c>
      <c r="F27" s="9" t="s">
        <v>645</v>
      </c>
      <c r="G27" s="11">
        <v>46238</v>
      </c>
      <c r="H27" s="12">
        <v>50.8</v>
      </c>
      <c r="I27" s="12">
        <v>45.21</v>
      </c>
      <c r="J27" s="9" t="s">
        <v>3</v>
      </c>
      <c r="K27" s="8">
        <v>0</v>
      </c>
    </row>
    <row r="28" spans="1:11">
      <c r="A28" s="2" t="s">
        <v>607</v>
      </c>
      <c r="B28" s="2" t="s">
        <v>630</v>
      </c>
      <c r="C28" s="9">
        <v>10001322</v>
      </c>
      <c r="D28" s="2" t="s">
        <v>646</v>
      </c>
      <c r="E28" s="10">
        <v>12</v>
      </c>
      <c r="F28" s="9" t="s">
        <v>645</v>
      </c>
      <c r="G28" s="11">
        <v>46238</v>
      </c>
      <c r="H28" s="12">
        <v>50.8</v>
      </c>
      <c r="I28" s="12">
        <v>45.21</v>
      </c>
      <c r="J28" s="9" t="s">
        <v>3</v>
      </c>
      <c r="K28" s="8">
        <v>0</v>
      </c>
    </row>
    <row r="29" spans="1:11">
      <c r="A29" s="2" t="s">
        <v>607</v>
      </c>
      <c r="B29" s="2" t="s">
        <v>630</v>
      </c>
      <c r="C29" s="9">
        <v>10001324</v>
      </c>
      <c r="D29" s="2" t="s">
        <v>647</v>
      </c>
      <c r="E29" s="10">
        <v>12</v>
      </c>
      <c r="F29" s="9" t="s">
        <v>648</v>
      </c>
      <c r="G29" s="11">
        <v>46238</v>
      </c>
      <c r="H29" s="12">
        <v>47.01</v>
      </c>
      <c r="I29" s="12">
        <v>41.84</v>
      </c>
      <c r="J29" s="9" t="s">
        <v>3</v>
      </c>
      <c r="K29" s="8">
        <v>0</v>
      </c>
    </row>
    <row r="30" spans="1:11">
      <c r="A30" s="2" t="s">
        <v>607</v>
      </c>
      <c r="B30" s="2" t="s">
        <v>630</v>
      </c>
      <c r="C30" s="9">
        <v>10001325</v>
      </c>
      <c r="D30" s="2" t="s">
        <v>649</v>
      </c>
      <c r="E30" s="10">
        <v>24</v>
      </c>
      <c r="F30" s="9" t="s">
        <v>650</v>
      </c>
      <c r="G30" s="11">
        <v>46238</v>
      </c>
      <c r="H30" s="12">
        <v>50.96</v>
      </c>
      <c r="I30" s="12">
        <v>45.35</v>
      </c>
      <c r="J30" s="9" t="s">
        <v>3</v>
      </c>
      <c r="K30" s="8">
        <v>0</v>
      </c>
    </row>
    <row r="31" spans="1:11">
      <c r="A31" s="2" t="s">
        <v>607</v>
      </c>
      <c r="B31" s="2" t="s">
        <v>630</v>
      </c>
      <c r="C31" s="9">
        <v>10001326</v>
      </c>
      <c r="D31" s="2" t="s">
        <v>651</v>
      </c>
      <c r="E31" s="10">
        <v>12</v>
      </c>
      <c r="F31" s="9" t="s">
        <v>648</v>
      </c>
      <c r="G31" s="11">
        <v>46238</v>
      </c>
      <c r="H31" s="12">
        <v>47.01</v>
      </c>
      <c r="I31" s="12">
        <v>41.84</v>
      </c>
      <c r="J31" s="9" t="s">
        <v>3</v>
      </c>
      <c r="K31" s="8">
        <v>0</v>
      </c>
    </row>
    <row r="32" spans="1:11">
      <c r="A32" s="2" t="s">
        <v>607</v>
      </c>
      <c r="B32" s="2" t="s">
        <v>630</v>
      </c>
      <c r="C32" s="9">
        <v>10001330</v>
      </c>
      <c r="D32" s="2" t="s">
        <v>652</v>
      </c>
      <c r="E32" s="10">
        <v>24</v>
      </c>
      <c r="F32" s="9" t="s">
        <v>653</v>
      </c>
      <c r="G32" s="11">
        <v>46238</v>
      </c>
      <c r="H32" s="12">
        <v>59.74</v>
      </c>
      <c r="I32" s="12">
        <v>53.17</v>
      </c>
      <c r="J32" s="9" t="s">
        <v>3</v>
      </c>
      <c r="K32" s="8">
        <v>0</v>
      </c>
    </row>
    <row r="33" spans="1:11">
      <c r="A33" s="2" t="s">
        <v>607</v>
      </c>
      <c r="B33" s="2" t="s">
        <v>630</v>
      </c>
      <c r="C33" s="9">
        <v>10001331</v>
      </c>
      <c r="D33" s="2" t="s">
        <v>654</v>
      </c>
      <c r="E33" s="10">
        <v>12</v>
      </c>
      <c r="F33" s="9" t="s">
        <v>655</v>
      </c>
      <c r="G33" s="11">
        <v>46238</v>
      </c>
      <c r="H33" s="12">
        <v>63.99</v>
      </c>
      <c r="I33" s="12">
        <v>56.95</v>
      </c>
      <c r="J33" s="9" t="s">
        <v>3</v>
      </c>
      <c r="K33" s="8">
        <v>0</v>
      </c>
    </row>
    <row r="34" spans="1:11">
      <c r="A34" s="2" t="s">
        <v>607</v>
      </c>
      <c r="B34" s="2" t="s">
        <v>630</v>
      </c>
      <c r="C34" s="9">
        <v>10001332</v>
      </c>
      <c r="D34" s="2" t="s">
        <v>656</v>
      </c>
      <c r="E34" s="10">
        <v>12</v>
      </c>
      <c r="F34" s="9" t="s">
        <v>657</v>
      </c>
      <c r="G34" s="11">
        <v>46238</v>
      </c>
      <c r="H34" s="12">
        <v>45.04</v>
      </c>
      <c r="I34" s="12">
        <v>40.090000000000003</v>
      </c>
      <c r="J34" s="9" t="s">
        <v>3</v>
      </c>
      <c r="K34" s="8">
        <v>0</v>
      </c>
    </row>
    <row r="35" spans="1:11">
      <c r="A35" s="2" t="s">
        <v>607</v>
      </c>
      <c r="B35" s="2" t="s">
        <v>630</v>
      </c>
      <c r="C35" s="9">
        <v>10001333</v>
      </c>
      <c r="D35" s="2" t="s">
        <v>658</v>
      </c>
      <c r="E35" s="10">
        <v>12</v>
      </c>
      <c r="F35" s="9" t="s">
        <v>657</v>
      </c>
      <c r="G35" s="11">
        <v>46238</v>
      </c>
      <c r="H35" s="12">
        <v>44.89</v>
      </c>
      <c r="I35" s="12">
        <v>39.950000000000003</v>
      </c>
      <c r="J35" s="9" t="s">
        <v>3</v>
      </c>
      <c r="K35" s="8">
        <v>0</v>
      </c>
    </row>
    <row r="36" spans="1:11">
      <c r="A36" s="2" t="s">
        <v>607</v>
      </c>
      <c r="B36" s="2" t="s">
        <v>630</v>
      </c>
      <c r="C36" s="9">
        <v>10001334</v>
      </c>
      <c r="D36" s="2" t="s">
        <v>659</v>
      </c>
      <c r="E36" s="10">
        <v>12</v>
      </c>
      <c r="F36" s="9" t="s">
        <v>660</v>
      </c>
      <c r="G36" s="11">
        <v>46238</v>
      </c>
      <c r="H36" s="12">
        <v>64.900000000000006</v>
      </c>
      <c r="I36" s="12">
        <v>57.76</v>
      </c>
      <c r="J36" s="9" t="s">
        <v>3</v>
      </c>
      <c r="K36" s="8">
        <v>0</v>
      </c>
    </row>
    <row r="37" spans="1:11">
      <c r="A37" s="2" t="s">
        <v>607</v>
      </c>
      <c r="B37" s="2" t="s">
        <v>630</v>
      </c>
      <c r="C37" s="9">
        <v>10001335</v>
      </c>
      <c r="D37" s="2" t="s">
        <v>661</v>
      </c>
      <c r="E37" s="10">
        <v>12</v>
      </c>
      <c r="F37" s="9" t="s">
        <v>662</v>
      </c>
      <c r="G37" s="11">
        <v>46238</v>
      </c>
      <c r="H37" s="12">
        <v>76.430000000000007</v>
      </c>
      <c r="I37" s="12">
        <v>68.02</v>
      </c>
      <c r="J37" s="9" t="s">
        <v>3</v>
      </c>
      <c r="K37" s="8">
        <v>0</v>
      </c>
    </row>
    <row r="38" spans="1:11">
      <c r="A38" s="2" t="s">
        <v>663</v>
      </c>
      <c r="B38" s="2" t="s">
        <v>664</v>
      </c>
      <c r="C38" s="9">
        <v>10003032</v>
      </c>
      <c r="D38" s="2" t="s">
        <v>665</v>
      </c>
      <c r="E38" s="10">
        <v>12</v>
      </c>
      <c r="F38" s="9" t="s">
        <v>666</v>
      </c>
      <c r="G38" s="11">
        <v>46238</v>
      </c>
      <c r="H38" s="12">
        <v>41.09</v>
      </c>
      <c r="I38" s="12">
        <v>36.57</v>
      </c>
      <c r="J38" s="9" t="s">
        <v>3</v>
      </c>
      <c r="K38" s="8">
        <v>0</v>
      </c>
    </row>
    <row r="39" spans="1:11">
      <c r="A39" s="2" t="s">
        <v>663</v>
      </c>
      <c r="B39" s="2" t="s">
        <v>664</v>
      </c>
      <c r="C39" s="9">
        <v>10003033</v>
      </c>
      <c r="D39" s="2" t="s">
        <v>667</v>
      </c>
      <c r="E39" s="10">
        <v>12</v>
      </c>
      <c r="F39" s="9" t="s">
        <v>666</v>
      </c>
      <c r="G39" s="11">
        <v>46238</v>
      </c>
      <c r="H39" s="12">
        <v>41.09</v>
      </c>
      <c r="I39" s="12">
        <v>36.57</v>
      </c>
      <c r="J39" s="9" t="s">
        <v>3</v>
      </c>
      <c r="K39" s="8">
        <v>0</v>
      </c>
    </row>
    <row r="40" spans="1:11">
      <c r="A40" s="2" t="s">
        <v>663</v>
      </c>
      <c r="B40" s="2" t="s">
        <v>664</v>
      </c>
      <c r="C40" s="9">
        <v>10003034</v>
      </c>
      <c r="D40" s="2" t="s">
        <v>668</v>
      </c>
      <c r="E40" s="10">
        <v>12</v>
      </c>
      <c r="F40" s="9" t="s">
        <v>666</v>
      </c>
      <c r="G40" s="11">
        <v>46238</v>
      </c>
      <c r="H40" s="12">
        <v>41.09</v>
      </c>
      <c r="I40" s="12">
        <v>36.57</v>
      </c>
      <c r="J40" s="9" t="s">
        <v>3</v>
      </c>
      <c r="K40" s="8">
        <v>0</v>
      </c>
    </row>
    <row r="41" spans="1:11">
      <c r="A41" s="2" t="s">
        <v>663</v>
      </c>
      <c r="B41" s="2" t="s">
        <v>664</v>
      </c>
      <c r="C41" s="9">
        <v>10003035</v>
      </c>
      <c r="D41" s="2" t="s">
        <v>669</v>
      </c>
      <c r="E41" s="10">
        <v>12</v>
      </c>
      <c r="F41" s="9" t="s">
        <v>666</v>
      </c>
      <c r="G41" s="11">
        <v>46238</v>
      </c>
      <c r="H41" s="12">
        <v>41.09</v>
      </c>
      <c r="I41" s="12">
        <v>36.57</v>
      </c>
      <c r="J41" s="9" t="s">
        <v>3</v>
      </c>
      <c r="K41" s="8">
        <v>0</v>
      </c>
    </row>
    <row r="42" spans="1:11">
      <c r="A42" s="2" t="s">
        <v>663</v>
      </c>
      <c r="B42" s="2" t="s">
        <v>664</v>
      </c>
      <c r="C42" s="9">
        <v>10003036</v>
      </c>
      <c r="D42" s="2" t="s">
        <v>670</v>
      </c>
      <c r="E42" s="10">
        <v>12</v>
      </c>
      <c r="F42" s="9" t="s">
        <v>666</v>
      </c>
      <c r="G42" s="11">
        <v>46238</v>
      </c>
      <c r="H42" s="12">
        <v>41.09</v>
      </c>
      <c r="I42" s="12">
        <v>36.57</v>
      </c>
      <c r="J42" s="9" t="s">
        <v>3</v>
      </c>
      <c r="K42" s="8">
        <v>0</v>
      </c>
    </row>
    <row r="43" spans="1:11">
      <c r="A43" s="2" t="s">
        <v>663</v>
      </c>
      <c r="B43" s="2" t="s">
        <v>664</v>
      </c>
      <c r="C43" s="9">
        <v>10003039</v>
      </c>
      <c r="D43" s="2" t="s">
        <v>671</v>
      </c>
      <c r="E43" s="10">
        <v>12</v>
      </c>
      <c r="F43" s="9" t="s">
        <v>666</v>
      </c>
      <c r="G43" s="11">
        <v>46238</v>
      </c>
      <c r="H43" s="12">
        <v>41.09</v>
      </c>
      <c r="I43" s="12">
        <v>36.57</v>
      </c>
      <c r="J43" s="9" t="s">
        <v>3</v>
      </c>
      <c r="K43" s="8">
        <v>0</v>
      </c>
    </row>
    <row r="44" spans="1:11">
      <c r="A44" s="2" t="s">
        <v>663</v>
      </c>
      <c r="B44" s="2" t="s">
        <v>664</v>
      </c>
      <c r="C44" s="9">
        <v>10003057</v>
      </c>
      <c r="D44" s="2" t="s">
        <v>672</v>
      </c>
      <c r="E44" s="10">
        <v>12</v>
      </c>
      <c r="F44" s="9" t="s">
        <v>666</v>
      </c>
      <c r="G44" s="11">
        <v>46238</v>
      </c>
      <c r="H44" s="12">
        <v>41.09</v>
      </c>
      <c r="I44" s="12">
        <v>36.57</v>
      </c>
      <c r="J44" s="9" t="s">
        <v>3</v>
      </c>
      <c r="K44" s="8">
        <v>0</v>
      </c>
    </row>
    <row r="45" spans="1:11">
      <c r="A45" s="2" t="s">
        <v>663</v>
      </c>
      <c r="B45" s="2" t="s">
        <v>664</v>
      </c>
      <c r="C45" s="9">
        <v>10003058</v>
      </c>
      <c r="D45" s="2" t="s">
        <v>673</v>
      </c>
      <c r="E45" s="10">
        <v>12</v>
      </c>
      <c r="F45" s="9" t="s">
        <v>666</v>
      </c>
      <c r="G45" s="11">
        <v>46238</v>
      </c>
      <c r="H45" s="12">
        <v>41.09</v>
      </c>
      <c r="I45" s="12">
        <v>36.57</v>
      </c>
      <c r="J45" s="9" t="s">
        <v>3</v>
      </c>
      <c r="K45" s="8">
        <v>0</v>
      </c>
    </row>
    <row r="46" spans="1:11">
      <c r="A46" s="2" t="s">
        <v>663</v>
      </c>
      <c r="B46" s="2" t="s">
        <v>664</v>
      </c>
      <c r="C46" s="9">
        <v>10003059</v>
      </c>
      <c r="D46" s="2" t="s">
        <v>674</v>
      </c>
      <c r="E46" s="10">
        <v>12</v>
      </c>
      <c r="F46" s="9" t="s">
        <v>666</v>
      </c>
      <c r="G46" s="11">
        <v>46238</v>
      </c>
      <c r="H46" s="12">
        <v>41.09</v>
      </c>
      <c r="I46" s="12">
        <v>36.57</v>
      </c>
      <c r="J46" s="9" t="s">
        <v>3</v>
      </c>
      <c r="K46" s="8">
        <v>0</v>
      </c>
    </row>
    <row r="47" spans="1:11">
      <c r="A47" s="2" t="s">
        <v>663</v>
      </c>
      <c r="B47" s="2" t="s">
        <v>664</v>
      </c>
      <c r="C47" s="9">
        <v>10003061</v>
      </c>
      <c r="D47" s="2" t="s">
        <v>675</v>
      </c>
      <c r="E47" s="10">
        <v>8</v>
      </c>
      <c r="F47" s="9" t="s">
        <v>676</v>
      </c>
      <c r="G47" s="11">
        <v>46238</v>
      </c>
      <c r="H47" s="12">
        <v>31.04</v>
      </c>
      <c r="I47" s="12">
        <v>27.6</v>
      </c>
      <c r="J47" s="9" t="s">
        <v>3</v>
      </c>
      <c r="K47" s="8">
        <v>0</v>
      </c>
    </row>
    <row r="48" spans="1:11">
      <c r="A48" s="2" t="s">
        <v>663</v>
      </c>
      <c r="B48" s="2" t="s">
        <v>664</v>
      </c>
      <c r="C48" s="9">
        <v>10003062</v>
      </c>
      <c r="D48" s="2" t="s">
        <v>677</v>
      </c>
      <c r="E48" s="10">
        <v>8</v>
      </c>
      <c r="F48" s="9" t="s">
        <v>676</v>
      </c>
      <c r="G48" s="11">
        <v>46238</v>
      </c>
      <c r="H48" s="12">
        <v>32.6</v>
      </c>
      <c r="I48" s="12">
        <v>29.01</v>
      </c>
      <c r="J48" s="9" t="s">
        <v>3</v>
      </c>
      <c r="K48" s="8">
        <v>0</v>
      </c>
    </row>
    <row r="49" spans="1:11">
      <c r="A49" s="2" t="s">
        <v>663</v>
      </c>
      <c r="B49" s="2" t="s">
        <v>664</v>
      </c>
      <c r="C49" s="9">
        <v>10003064</v>
      </c>
      <c r="D49" s="2" t="s">
        <v>678</v>
      </c>
      <c r="E49" s="10">
        <v>8</v>
      </c>
      <c r="F49" s="9" t="s">
        <v>676</v>
      </c>
      <c r="G49" s="11">
        <v>46238</v>
      </c>
      <c r="H49" s="12">
        <v>31.04</v>
      </c>
      <c r="I49" s="12">
        <v>27.6</v>
      </c>
      <c r="J49" s="9" t="s">
        <v>3</v>
      </c>
      <c r="K49" s="8">
        <v>0</v>
      </c>
    </row>
    <row r="50" spans="1:11">
      <c r="A50" s="2" t="s">
        <v>663</v>
      </c>
      <c r="B50" s="2" t="s">
        <v>664</v>
      </c>
      <c r="C50" s="9">
        <v>10003066</v>
      </c>
      <c r="D50" s="2" t="s">
        <v>679</v>
      </c>
      <c r="E50" s="10">
        <v>12</v>
      </c>
      <c r="F50" s="9" t="s">
        <v>666</v>
      </c>
      <c r="G50" s="11">
        <v>46238</v>
      </c>
      <c r="H50" s="12">
        <v>41.09</v>
      </c>
      <c r="I50" s="12">
        <v>36.57</v>
      </c>
      <c r="J50" s="9" t="s">
        <v>3</v>
      </c>
      <c r="K50" s="8">
        <v>0</v>
      </c>
    </row>
    <row r="51" spans="1:11">
      <c r="A51" s="2" t="s">
        <v>663</v>
      </c>
      <c r="B51" s="2" t="s">
        <v>664</v>
      </c>
      <c r="C51" s="9">
        <v>10003070</v>
      </c>
      <c r="D51" s="2" t="s">
        <v>680</v>
      </c>
      <c r="E51" s="10">
        <v>12</v>
      </c>
      <c r="F51" s="9" t="s">
        <v>666</v>
      </c>
      <c r="G51" s="11">
        <v>46238</v>
      </c>
      <c r="H51" s="12">
        <v>39.119999999999997</v>
      </c>
      <c r="I51" s="12">
        <v>34.799999999999997</v>
      </c>
      <c r="J51" s="9" t="s">
        <v>3</v>
      </c>
      <c r="K51" s="8">
        <v>0</v>
      </c>
    </row>
    <row r="52" spans="1:11">
      <c r="A52" s="2" t="s">
        <v>663</v>
      </c>
      <c r="B52" s="2" t="s">
        <v>664</v>
      </c>
      <c r="C52" s="9">
        <v>10003071</v>
      </c>
      <c r="D52" s="2" t="s">
        <v>681</v>
      </c>
      <c r="E52" s="10">
        <v>12</v>
      </c>
      <c r="F52" s="9" t="s">
        <v>666</v>
      </c>
      <c r="G52" s="11">
        <v>46238</v>
      </c>
      <c r="H52" s="12">
        <v>39.119999999999997</v>
      </c>
      <c r="I52" s="12">
        <v>34.799999999999997</v>
      </c>
      <c r="J52" s="9" t="s">
        <v>3</v>
      </c>
      <c r="K52" s="8">
        <v>0</v>
      </c>
    </row>
    <row r="53" spans="1:11">
      <c r="A53" s="2" t="s">
        <v>663</v>
      </c>
      <c r="B53" s="2" t="s">
        <v>664</v>
      </c>
      <c r="C53" s="9">
        <v>10003073</v>
      </c>
      <c r="D53" s="2" t="s">
        <v>682</v>
      </c>
      <c r="E53" s="10">
        <v>12</v>
      </c>
      <c r="F53" s="9" t="s">
        <v>666</v>
      </c>
      <c r="G53" s="11">
        <v>46238</v>
      </c>
      <c r="H53" s="12">
        <v>39.119999999999997</v>
      </c>
      <c r="I53" s="12">
        <v>34.799999999999997</v>
      </c>
      <c r="J53" s="9" t="s">
        <v>3</v>
      </c>
      <c r="K53" s="8">
        <v>0</v>
      </c>
    </row>
    <row r="54" spans="1:11">
      <c r="A54" s="2" t="s">
        <v>663</v>
      </c>
      <c r="B54" s="2" t="s">
        <v>664</v>
      </c>
      <c r="C54" s="9">
        <v>10003076</v>
      </c>
      <c r="D54" s="2" t="s">
        <v>683</v>
      </c>
      <c r="E54" s="10">
        <v>8</v>
      </c>
      <c r="F54" s="9" t="s">
        <v>676</v>
      </c>
      <c r="G54" s="11">
        <v>46238</v>
      </c>
      <c r="H54" s="12">
        <v>31.04</v>
      </c>
      <c r="I54" s="12">
        <v>27.6</v>
      </c>
      <c r="J54" s="9" t="s">
        <v>3</v>
      </c>
      <c r="K54" s="8">
        <v>0</v>
      </c>
    </row>
    <row r="55" spans="1:11">
      <c r="A55" s="2" t="s">
        <v>663</v>
      </c>
      <c r="B55" s="2" t="s">
        <v>664</v>
      </c>
      <c r="C55" s="9">
        <v>10003080</v>
      </c>
      <c r="D55" s="2" t="s">
        <v>684</v>
      </c>
      <c r="E55" s="10">
        <v>6</v>
      </c>
      <c r="F55" s="9" t="s">
        <v>666</v>
      </c>
      <c r="G55" s="11">
        <v>46238</v>
      </c>
      <c r="H55" s="12">
        <v>28.34</v>
      </c>
      <c r="I55" s="12">
        <v>25.22</v>
      </c>
      <c r="J55" s="9" t="s">
        <v>3</v>
      </c>
      <c r="K55" s="8">
        <v>0</v>
      </c>
    </row>
    <row r="56" spans="1:11">
      <c r="A56" s="2" t="s">
        <v>663</v>
      </c>
      <c r="B56" s="2" t="s">
        <v>664</v>
      </c>
      <c r="C56" s="9">
        <v>10003081</v>
      </c>
      <c r="D56" s="2" t="s">
        <v>685</v>
      </c>
      <c r="E56" s="10">
        <v>6</v>
      </c>
      <c r="F56" s="9" t="s">
        <v>666</v>
      </c>
      <c r="G56" s="11">
        <v>46238</v>
      </c>
      <c r="H56" s="12">
        <v>28.34</v>
      </c>
      <c r="I56" s="12">
        <v>25.22</v>
      </c>
      <c r="J56" s="9" t="s">
        <v>3</v>
      </c>
      <c r="K56" s="8">
        <v>0</v>
      </c>
    </row>
    <row r="57" spans="1:11">
      <c r="A57" s="2" t="s">
        <v>663</v>
      </c>
      <c r="B57" s="2" t="s">
        <v>664</v>
      </c>
      <c r="C57" s="9">
        <v>10003083</v>
      </c>
      <c r="D57" s="2" t="s">
        <v>686</v>
      </c>
      <c r="E57" s="10">
        <v>8</v>
      </c>
      <c r="F57" s="9" t="s">
        <v>676</v>
      </c>
      <c r="G57" s="11">
        <v>46238</v>
      </c>
      <c r="H57" s="12">
        <v>32.6</v>
      </c>
      <c r="I57" s="12">
        <v>29.01</v>
      </c>
      <c r="J57" s="9" t="s">
        <v>3</v>
      </c>
      <c r="K57" s="8">
        <v>0</v>
      </c>
    </row>
    <row r="58" spans="1:11">
      <c r="A58" s="2" t="s">
        <v>687</v>
      </c>
      <c r="B58" s="2" t="s">
        <v>688</v>
      </c>
      <c r="C58" s="9">
        <v>10003246</v>
      </c>
      <c r="D58" s="2" t="s">
        <v>689</v>
      </c>
      <c r="E58" s="10">
        <v>12</v>
      </c>
      <c r="F58" s="9" t="s">
        <v>690</v>
      </c>
      <c r="G58" s="11">
        <v>46238</v>
      </c>
      <c r="H58" s="12">
        <v>63.39</v>
      </c>
      <c r="I58" s="12">
        <v>56.42</v>
      </c>
      <c r="J58" s="9" t="s">
        <v>3</v>
      </c>
      <c r="K58" s="8">
        <v>0</v>
      </c>
    </row>
    <row r="59" spans="1:11">
      <c r="A59" s="2" t="s">
        <v>687</v>
      </c>
      <c r="B59" s="2" t="s">
        <v>691</v>
      </c>
      <c r="C59" s="9">
        <v>10003247</v>
      </c>
      <c r="D59" s="2" t="s">
        <v>692</v>
      </c>
      <c r="E59" s="10">
        <v>6</v>
      </c>
      <c r="F59" s="9" t="s">
        <v>693</v>
      </c>
      <c r="G59" s="11">
        <v>46238</v>
      </c>
      <c r="H59" s="12">
        <v>32.6</v>
      </c>
      <c r="I59" s="12">
        <v>29.01</v>
      </c>
      <c r="J59" s="9" t="s">
        <v>3</v>
      </c>
      <c r="K59" s="8">
        <v>0</v>
      </c>
    </row>
    <row r="60" spans="1:11">
      <c r="A60" s="2" t="s">
        <v>687</v>
      </c>
      <c r="B60" s="2" t="s">
        <v>688</v>
      </c>
      <c r="C60" s="9">
        <v>10003248</v>
      </c>
      <c r="D60" s="2" t="s">
        <v>694</v>
      </c>
      <c r="E60" s="10">
        <v>12</v>
      </c>
      <c r="F60" s="9" t="s">
        <v>690</v>
      </c>
      <c r="G60" s="11">
        <v>46238</v>
      </c>
      <c r="H60" s="12">
        <v>63.39</v>
      </c>
      <c r="I60" s="12">
        <v>56.42</v>
      </c>
      <c r="J60" s="9" t="s">
        <v>3</v>
      </c>
      <c r="K60" s="8">
        <v>0</v>
      </c>
    </row>
    <row r="61" spans="1:11">
      <c r="A61" s="2" t="s">
        <v>687</v>
      </c>
      <c r="B61" s="2" t="s">
        <v>688</v>
      </c>
      <c r="C61" s="9">
        <v>10003249</v>
      </c>
      <c r="D61" s="2" t="s">
        <v>695</v>
      </c>
      <c r="E61" s="10">
        <v>12</v>
      </c>
      <c r="F61" s="9" t="s">
        <v>690</v>
      </c>
      <c r="G61" s="11">
        <v>46238</v>
      </c>
      <c r="H61" s="12">
        <v>63.39</v>
      </c>
      <c r="I61" s="12">
        <v>56.42</v>
      </c>
      <c r="J61" s="9" t="s">
        <v>3</v>
      </c>
      <c r="K61" s="8">
        <v>0</v>
      </c>
    </row>
    <row r="62" spans="1:11">
      <c r="A62" s="2" t="s">
        <v>687</v>
      </c>
      <c r="B62" s="2" t="s">
        <v>688</v>
      </c>
      <c r="C62" s="9">
        <v>10003254</v>
      </c>
      <c r="D62" s="2" t="s">
        <v>696</v>
      </c>
      <c r="E62" s="10">
        <v>12</v>
      </c>
      <c r="F62" s="9" t="s">
        <v>697</v>
      </c>
      <c r="G62" s="11">
        <v>46238</v>
      </c>
      <c r="H62" s="12">
        <v>63.39</v>
      </c>
      <c r="I62" s="12">
        <v>56.42</v>
      </c>
      <c r="J62" s="9" t="s">
        <v>3</v>
      </c>
      <c r="K62" s="8">
        <v>0</v>
      </c>
    </row>
    <row r="63" spans="1:11">
      <c r="A63" s="2" t="s">
        <v>687</v>
      </c>
      <c r="B63" s="2" t="s">
        <v>688</v>
      </c>
      <c r="C63" s="9">
        <v>10003255</v>
      </c>
      <c r="D63" s="2" t="s">
        <v>698</v>
      </c>
      <c r="E63" s="10">
        <v>12</v>
      </c>
      <c r="F63" s="9" t="s">
        <v>697</v>
      </c>
      <c r="G63" s="11">
        <v>46238</v>
      </c>
      <c r="H63" s="12">
        <v>63.39</v>
      </c>
      <c r="I63" s="12">
        <v>56.42</v>
      </c>
      <c r="J63" s="9" t="s">
        <v>3</v>
      </c>
      <c r="K63" s="8">
        <v>0</v>
      </c>
    </row>
    <row r="64" spans="1:11">
      <c r="A64" s="2" t="s">
        <v>607</v>
      </c>
      <c r="B64" s="2" t="s">
        <v>608</v>
      </c>
      <c r="C64" s="9">
        <v>10004446</v>
      </c>
      <c r="D64" s="2" t="s">
        <v>699</v>
      </c>
      <c r="E64" s="10">
        <v>6</v>
      </c>
      <c r="F64" s="9" t="s">
        <v>700</v>
      </c>
      <c r="G64" s="11">
        <v>46238</v>
      </c>
      <c r="H64" s="12">
        <v>38.93</v>
      </c>
      <c r="I64" s="12">
        <v>34.659999999999997</v>
      </c>
      <c r="J64" s="9" t="s">
        <v>3</v>
      </c>
      <c r="K64" s="8">
        <v>0</v>
      </c>
    </row>
    <row r="65" spans="1:11">
      <c r="A65" s="2" t="s">
        <v>607</v>
      </c>
      <c r="B65" s="2" t="s">
        <v>608</v>
      </c>
      <c r="C65" s="9">
        <v>10004448</v>
      </c>
      <c r="D65" s="2" t="s">
        <v>701</v>
      </c>
      <c r="E65" s="10">
        <v>6</v>
      </c>
      <c r="F65" s="9" t="s">
        <v>700</v>
      </c>
      <c r="G65" s="11">
        <v>46238</v>
      </c>
      <c r="H65" s="12">
        <v>38.93</v>
      </c>
      <c r="I65" s="12">
        <v>34.659999999999997</v>
      </c>
      <c r="J65" s="9" t="s">
        <v>3</v>
      </c>
      <c r="K65" s="8">
        <v>0</v>
      </c>
    </row>
    <row r="66" spans="1:11">
      <c r="A66" s="2" t="s">
        <v>607</v>
      </c>
      <c r="B66" s="2" t="s">
        <v>608</v>
      </c>
      <c r="C66" s="9">
        <v>10004450</v>
      </c>
      <c r="D66" s="2" t="s">
        <v>702</v>
      </c>
      <c r="E66" s="10">
        <v>6</v>
      </c>
      <c r="F66" s="9" t="s">
        <v>700</v>
      </c>
      <c r="G66" s="11">
        <v>46238</v>
      </c>
      <c r="H66" s="12">
        <v>38.93</v>
      </c>
      <c r="I66" s="12">
        <v>34.659999999999997</v>
      </c>
      <c r="J66" s="9" t="s">
        <v>3</v>
      </c>
      <c r="K66" s="8">
        <v>0</v>
      </c>
    </row>
    <row r="67" spans="1:11">
      <c r="A67" s="2" t="s">
        <v>607</v>
      </c>
      <c r="B67" s="2" t="s">
        <v>608</v>
      </c>
      <c r="C67" s="9">
        <v>10004452</v>
      </c>
      <c r="D67" s="2" t="s">
        <v>703</v>
      </c>
      <c r="E67" s="10">
        <v>6</v>
      </c>
      <c r="F67" s="9" t="s">
        <v>700</v>
      </c>
      <c r="G67" s="11">
        <v>46238</v>
      </c>
      <c r="H67" s="12">
        <v>38.93</v>
      </c>
      <c r="I67" s="12">
        <v>34.659999999999997</v>
      </c>
      <c r="J67" s="9" t="s">
        <v>3</v>
      </c>
      <c r="K67" s="8">
        <v>0</v>
      </c>
    </row>
    <row r="68" spans="1:11">
      <c r="A68" s="2" t="s">
        <v>607</v>
      </c>
      <c r="B68" s="2" t="s">
        <v>608</v>
      </c>
      <c r="C68" s="9">
        <v>10004454</v>
      </c>
      <c r="D68" s="2" t="s">
        <v>704</v>
      </c>
      <c r="E68" s="10">
        <v>6</v>
      </c>
      <c r="F68" s="9" t="s">
        <v>700</v>
      </c>
      <c r="G68" s="11">
        <v>46238</v>
      </c>
      <c r="H68" s="12">
        <v>38.93</v>
      </c>
      <c r="I68" s="12">
        <v>34.659999999999997</v>
      </c>
      <c r="J68" s="9" t="s">
        <v>3</v>
      </c>
      <c r="K68" s="8">
        <v>0</v>
      </c>
    </row>
    <row r="69" spans="1:11">
      <c r="A69" s="2" t="s">
        <v>607</v>
      </c>
      <c r="B69" s="2" t="s">
        <v>608</v>
      </c>
      <c r="C69" s="9">
        <v>10004455</v>
      </c>
      <c r="D69" s="2" t="s">
        <v>705</v>
      </c>
      <c r="E69" s="10">
        <v>6</v>
      </c>
      <c r="F69" s="9" t="s">
        <v>700</v>
      </c>
      <c r="G69" s="11">
        <v>46238</v>
      </c>
      <c r="H69" s="12">
        <v>38.93</v>
      </c>
      <c r="I69" s="12">
        <v>34.659999999999997</v>
      </c>
      <c r="J69" s="9" t="s">
        <v>3</v>
      </c>
      <c r="K69" s="8">
        <v>0</v>
      </c>
    </row>
    <row r="70" spans="1:11">
      <c r="A70" s="2" t="s">
        <v>607</v>
      </c>
      <c r="B70" s="2" t="s">
        <v>608</v>
      </c>
      <c r="C70" s="9">
        <v>10004456</v>
      </c>
      <c r="D70" s="2" t="s">
        <v>706</v>
      </c>
      <c r="E70" s="10">
        <v>12</v>
      </c>
      <c r="F70" s="9" t="s">
        <v>707</v>
      </c>
      <c r="G70" s="11">
        <v>46238</v>
      </c>
      <c r="H70" s="12">
        <v>3094.44</v>
      </c>
      <c r="I70" s="12">
        <v>2754</v>
      </c>
      <c r="J70" s="9" t="s">
        <v>3</v>
      </c>
      <c r="K70" s="8">
        <v>0</v>
      </c>
    </row>
    <row r="71" spans="1:11">
      <c r="A71" s="2" t="s">
        <v>708</v>
      </c>
      <c r="B71" s="2" t="s">
        <v>709</v>
      </c>
      <c r="C71" s="9">
        <v>10004856</v>
      </c>
      <c r="D71" s="2" t="s">
        <v>710</v>
      </c>
      <c r="E71" s="10">
        <v>12</v>
      </c>
      <c r="F71" s="9" t="s">
        <v>711</v>
      </c>
      <c r="G71" s="11">
        <v>46238</v>
      </c>
      <c r="H71" s="12">
        <v>51</v>
      </c>
      <c r="I71" s="12">
        <v>45.36</v>
      </c>
      <c r="J71" s="9" t="s">
        <v>3</v>
      </c>
      <c r="K71" s="8">
        <v>0</v>
      </c>
    </row>
    <row r="72" spans="1:11">
      <c r="A72" s="2" t="s">
        <v>708</v>
      </c>
      <c r="B72" s="2" t="s">
        <v>709</v>
      </c>
      <c r="C72" s="9">
        <v>10004857</v>
      </c>
      <c r="D72" s="2" t="s">
        <v>712</v>
      </c>
      <c r="E72" s="10">
        <v>12</v>
      </c>
      <c r="F72" s="9" t="s">
        <v>711</v>
      </c>
      <c r="G72" s="11">
        <v>46238</v>
      </c>
      <c r="H72" s="12">
        <v>51</v>
      </c>
      <c r="I72" s="12">
        <v>45.36</v>
      </c>
      <c r="J72" s="9" t="s">
        <v>3</v>
      </c>
      <c r="K72" s="8">
        <v>0</v>
      </c>
    </row>
    <row r="73" spans="1:11">
      <c r="A73" s="2" t="s">
        <v>708</v>
      </c>
      <c r="B73" s="2" t="s">
        <v>709</v>
      </c>
      <c r="C73" s="9">
        <v>10004858</v>
      </c>
      <c r="D73" s="2" t="s">
        <v>713</v>
      </c>
      <c r="E73" s="10">
        <v>12</v>
      </c>
      <c r="F73" s="9" t="s">
        <v>711</v>
      </c>
      <c r="G73" s="11">
        <v>46238</v>
      </c>
      <c r="H73" s="12">
        <v>51</v>
      </c>
      <c r="I73" s="12">
        <v>45.36</v>
      </c>
      <c r="J73" s="9" t="s">
        <v>3</v>
      </c>
      <c r="K73" s="8">
        <v>0</v>
      </c>
    </row>
    <row r="74" spans="1:11">
      <c r="A74" s="2" t="s">
        <v>708</v>
      </c>
      <c r="B74" s="2" t="s">
        <v>709</v>
      </c>
      <c r="C74" s="9">
        <v>10004860</v>
      </c>
      <c r="D74" s="2" t="s">
        <v>714</v>
      </c>
      <c r="E74" s="10">
        <v>12</v>
      </c>
      <c r="F74" s="9" t="s">
        <v>711</v>
      </c>
      <c r="G74" s="11">
        <v>46238</v>
      </c>
      <c r="H74" s="12">
        <v>51</v>
      </c>
      <c r="I74" s="12">
        <v>45.36</v>
      </c>
      <c r="J74" s="9" t="s">
        <v>3</v>
      </c>
      <c r="K74" s="8">
        <v>0</v>
      </c>
    </row>
    <row r="75" spans="1:11">
      <c r="A75" s="2" t="s">
        <v>708</v>
      </c>
      <c r="B75" s="2" t="s">
        <v>709</v>
      </c>
      <c r="C75" s="9">
        <v>10004861</v>
      </c>
      <c r="D75" s="2" t="s">
        <v>715</v>
      </c>
      <c r="E75" s="10">
        <v>12</v>
      </c>
      <c r="F75" s="9" t="s">
        <v>711</v>
      </c>
      <c r="G75" s="11">
        <v>46238</v>
      </c>
      <c r="H75" s="12">
        <v>51</v>
      </c>
      <c r="I75" s="12">
        <v>45.36</v>
      </c>
      <c r="J75" s="9" t="s">
        <v>3</v>
      </c>
      <c r="K75" s="8">
        <v>0</v>
      </c>
    </row>
    <row r="76" spans="1:11">
      <c r="A76" s="2" t="s">
        <v>708</v>
      </c>
      <c r="B76" s="2" t="s">
        <v>709</v>
      </c>
      <c r="C76" s="9">
        <v>10004862</v>
      </c>
      <c r="D76" s="2" t="s">
        <v>716</v>
      </c>
      <c r="E76" s="10">
        <v>12</v>
      </c>
      <c r="F76" s="9" t="s">
        <v>711</v>
      </c>
      <c r="G76" s="11">
        <v>46238</v>
      </c>
      <c r="H76" s="12">
        <v>51</v>
      </c>
      <c r="I76" s="12">
        <v>45.36</v>
      </c>
      <c r="J76" s="9" t="s">
        <v>3</v>
      </c>
      <c r="K76" s="8">
        <v>0</v>
      </c>
    </row>
    <row r="77" spans="1:11">
      <c r="A77" s="2" t="s">
        <v>708</v>
      </c>
      <c r="B77" s="2" t="s">
        <v>709</v>
      </c>
      <c r="C77" s="9">
        <v>10004863</v>
      </c>
      <c r="D77" s="2" t="s">
        <v>717</v>
      </c>
      <c r="E77" s="10">
        <v>12</v>
      </c>
      <c r="F77" s="9" t="s">
        <v>711</v>
      </c>
      <c r="G77" s="11">
        <v>46238</v>
      </c>
      <c r="H77" s="12">
        <v>51</v>
      </c>
      <c r="I77" s="12">
        <v>45.36</v>
      </c>
      <c r="J77" s="9" t="s">
        <v>3</v>
      </c>
      <c r="K77" s="8">
        <v>0</v>
      </c>
    </row>
    <row r="78" spans="1:11">
      <c r="A78" s="2" t="s">
        <v>708</v>
      </c>
      <c r="B78" s="2" t="s">
        <v>709</v>
      </c>
      <c r="C78" s="9">
        <v>10004864</v>
      </c>
      <c r="D78" s="2" t="s">
        <v>718</v>
      </c>
      <c r="E78" s="10">
        <v>12</v>
      </c>
      <c r="F78" s="9" t="s">
        <v>711</v>
      </c>
      <c r="G78" s="11">
        <v>46238</v>
      </c>
      <c r="H78" s="12">
        <v>76.849999999999994</v>
      </c>
      <c r="I78" s="12">
        <v>68.400000000000006</v>
      </c>
      <c r="J78" s="9" t="s">
        <v>3</v>
      </c>
      <c r="K78" s="8">
        <v>0</v>
      </c>
    </row>
    <row r="79" spans="1:11">
      <c r="A79" s="2" t="s">
        <v>708</v>
      </c>
      <c r="B79" s="2" t="s">
        <v>709</v>
      </c>
      <c r="C79" s="9">
        <v>10004865</v>
      </c>
      <c r="D79" s="2" t="s">
        <v>719</v>
      </c>
      <c r="E79" s="10">
        <v>12</v>
      </c>
      <c r="F79" s="9" t="s">
        <v>711</v>
      </c>
      <c r="G79" s="11">
        <v>46238</v>
      </c>
      <c r="H79" s="12">
        <v>76.849999999999994</v>
      </c>
      <c r="I79" s="12">
        <v>68.400000000000006</v>
      </c>
      <c r="J79" s="9" t="s">
        <v>3</v>
      </c>
      <c r="K79" s="8">
        <v>0</v>
      </c>
    </row>
    <row r="80" spans="1:11">
      <c r="A80" s="2" t="s">
        <v>708</v>
      </c>
      <c r="B80" s="2" t="s">
        <v>709</v>
      </c>
      <c r="C80" s="9">
        <v>10004866</v>
      </c>
      <c r="D80" s="2" t="s">
        <v>720</v>
      </c>
      <c r="E80" s="10">
        <v>12</v>
      </c>
      <c r="F80" s="9" t="s">
        <v>711</v>
      </c>
      <c r="G80" s="11">
        <v>46238</v>
      </c>
      <c r="H80" s="12">
        <v>76.849999999999994</v>
      </c>
      <c r="I80" s="12">
        <v>68.400000000000006</v>
      </c>
      <c r="J80" s="9" t="s">
        <v>3</v>
      </c>
      <c r="K80" s="8">
        <v>0</v>
      </c>
    </row>
    <row r="81" spans="1:11">
      <c r="A81" s="2" t="s">
        <v>721</v>
      </c>
      <c r="B81" s="2" t="s">
        <v>722</v>
      </c>
      <c r="C81" s="9">
        <v>10005470</v>
      </c>
      <c r="D81" s="2" t="s">
        <v>723</v>
      </c>
      <c r="E81" s="10">
        <v>12</v>
      </c>
      <c r="F81" s="9" t="s">
        <v>711</v>
      </c>
      <c r="G81" s="11">
        <v>46238</v>
      </c>
      <c r="H81" s="12">
        <v>36.39</v>
      </c>
      <c r="I81" s="12">
        <v>32.36</v>
      </c>
      <c r="J81" s="9" t="s">
        <v>3</v>
      </c>
      <c r="K81" s="8">
        <v>0</v>
      </c>
    </row>
    <row r="82" spans="1:11">
      <c r="A82" s="2" t="s">
        <v>721</v>
      </c>
      <c r="B82" s="2" t="s">
        <v>722</v>
      </c>
      <c r="C82" s="9">
        <v>10005483</v>
      </c>
      <c r="D82" s="2" t="s">
        <v>724</v>
      </c>
      <c r="E82" s="10">
        <v>12</v>
      </c>
      <c r="F82" s="9" t="s">
        <v>711</v>
      </c>
      <c r="G82" s="11">
        <v>46238</v>
      </c>
      <c r="H82" s="12">
        <v>38.380000000000003</v>
      </c>
      <c r="I82" s="12">
        <v>34.17</v>
      </c>
      <c r="J82" s="9" t="s">
        <v>3</v>
      </c>
      <c r="K82" s="8">
        <v>0</v>
      </c>
    </row>
    <row r="83" spans="1:11">
      <c r="A83" s="2" t="s">
        <v>721</v>
      </c>
      <c r="B83" s="2" t="s">
        <v>722</v>
      </c>
      <c r="C83" s="9">
        <v>10005484</v>
      </c>
      <c r="D83" s="2" t="s">
        <v>725</v>
      </c>
      <c r="E83" s="10">
        <v>12</v>
      </c>
      <c r="F83" s="9" t="s">
        <v>711</v>
      </c>
      <c r="G83" s="11">
        <v>46238</v>
      </c>
      <c r="H83" s="12">
        <v>38.380000000000003</v>
      </c>
      <c r="I83" s="12">
        <v>34.17</v>
      </c>
      <c r="J83" s="9" t="s">
        <v>3</v>
      </c>
      <c r="K83" s="8">
        <v>0</v>
      </c>
    </row>
    <row r="84" spans="1:11">
      <c r="A84" s="2" t="s">
        <v>663</v>
      </c>
      <c r="B84" s="2" t="s">
        <v>726</v>
      </c>
      <c r="C84" s="9">
        <v>10005814</v>
      </c>
      <c r="D84" s="2" t="s">
        <v>727</v>
      </c>
      <c r="E84" s="10">
        <v>6</v>
      </c>
      <c r="F84" s="9" t="s">
        <v>728</v>
      </c>
      <c r="G84" s="11">
        <v>46238</v>
      </c>
      <c r="H84" s="12">
        <v>29.55</v>
      </c>
      <c r="I84" s="12">
        <v>26.3</v>
      </c>
      <c r="J84" s="9" t="s">
        <v>3</v>
      </c>
      <c r="K84" s="8">
        <v>0</v>
      </c>
    </row>
    <row r="85" spans="1:11">
      <c r="A85" s="2" t="s">
        <v>687</v>
      </c>
      <c r="B85" s="2" t="s">
        <v>729</v>
      </c>
      <c r="C85" s="9">
        <v>10006045</v>
      </c>
      <c r="D85" s="2" t="s">
        <v>730</v>
      </c>
      <c r="E85" s="10">
        <v>12</v>
      </c>
      <c r="F85" s="9" t="s">
        <v>731</v>
      </c>
      <c r="G85" s="11">
        <v>46238</v>
      </c>
      <c r="H85" s="12">
        <v>24.11</v>
      </c>
      <c r="I85" s="12">
        <v>21.46</v>
      </c>
      <c r="J85" s="9" t="s">
        <v>3</v>
      </c>
      <c r="K85" s="8">
        <v>0</v>
      </c>
    </row>
    <row r="86" spans="1:11">
      <c r="A86" s="2" t="s">
        <v>687</v>
      </c>
      <c r="B86" s="2" t="s">
        <v>729</v>
      </c>
      <c r="C86" s="9">
        <v>10006046</v>
      </c>
      <c r="D86" s="2" t="s">
        <v>732</v>
      </c>
      <c r="E86" s="10">
        <v>12</v>
      </c>
      <c r="F86" s="9" t="s">
        <v>733</v>
      </c>
      <c r="G86" s="11">
        <v>46238</v>
      </c>
      <c r="H86" s="12">
        <v>24.11</v>
      </c>
      <c r="I86" s="12">
        <v>21.46</v>
      </c>
      <c r="J86" s="9" t="s">
        <v>3</v>
      </c>
      <c r="K86" s="8">
        <v>0</v>
      </c>
    </row>
    <row r="87" spans="1:11">
      <c r="A87" s="2" t="s">
        <v>687</v>
      </c>
      <c r="B87" s="2" t="s">
        <v>729</v>
      </c>
      <c r="C87" s="9">
        <v>10006047</v>
      </c>
      <c r="D87" s="2" t="s">
        <v>734</v>
      </c>
      <c r="E87" s="10">
        <v>12</v>
      </c>
      <c r="F87" s="9" t="s">
        <v>731</v>
      </c>
      <c r="G87" s="11">
        <v>46238</v>
      </c>
      <c r="H87" s="12">
        <v>24.11</v>
      </c>
      <c r="I87" s="12">
        <v>21.46</v>
      </c>
      <c r="J87" s="9" t="s">
        <v>3</v>
      </c>
      <c r="K87" s="8">
        <v>0</v>
      </c>
    </row>
    <row r="88" spans="1:11">
      <c r="A88" s="2" t="s">
        <v>687</v>
      </c>
      <c r="B88" s="2" t="s">
        <v>729</v>
      </c>
      <c r="C88" s="9">
        <v>10006049</v>
      </c>
      <c r="D88" s="2" t="s">
        <v>735</v>
      </c>
      <c r="E88" s="10">
        <v>12</v>
      </c>
      <c r="F88" s="9" t="s">
        <v>731</v>
      </c>
      <c r="G88" s="11">
        <v>46238</v>
      </c>
      <c r="H88" s="12">
        <v>24.27</v>
      </c>
      <c r="I88" s="12">
        <v>21.6</v>
      </c>
      <c r="J88" s="9" t="s">
        <v>3</v>
      </c>
      <c r="K88" s="8">
        <v>0</v>
      </c>
    </row>
    <row r="89" spans="1:11">
      <c r="A89" s="2" t="s">
        <v>687</v>
      </c>
      <c r="B89" s="2" t="s">
        <v>729</v>
      </c>
      <c r="C89" s="9">
        <v>10006062</v>
      </c>
      <c r="D89" s="2" t="s">
        <v>736</v>
      </c>
      <c r="E89" s="10">
        <v>12</v>
      </c>
      <c r="F89" s="9" t="s">
        <v>731</v>
      </c>
      <c r="G89" s="11">
        <v>46238</v>
      </c>
      <c r="H89" s="12">
        <v>24.27</v>
      </c>
      <c r="I89" s="12">
        <v>21.6</v>
      </c>
      <c r="J89" s="9" t="s">
        <v>3</v>
      </c>
      <c r="K89" s="8">
        <v>0</v>
      </c>
    </row>
    <row r="90" spans="1:11">
      <c r="A90" s="2" t="s">
        <v>687</v>
      </c>
      <c r="B90" s="2" t="s">
        <v>729</v>
      </c>
      <c r="C90" s="9">
        <v>10006064</v>
      </c>
      <c r="D90" s="2" t="s">
        <v>737</v>
      </c>
      <c r="E90" s="10">
        <v>12</v>
      </c>
      <c r="F90" s="9" t="s">
        <v>738</v>
      </c>
      <c r="G90" s="11">
        <v>46238</v>
      </c>
      <c r="H90" s="12">
        <v>24.27</v>
      </c>
      <c r="I90" s="12">
        <v>21.6</v>
      </c>
      <c r="J90" s="9" t="s">
        <v>3</v>
      </c>
      <c r="K90" s="8">
        <v>0</v>
      </c>
    </row>
    <row r="91" spans="1:11">
      <c r="A91" s="2" t="s">
        <v>687</v>
      </c>
      <c r="B91" s="2" t="s">
        <v>739</v>
      </c>
      <c r="C91" s="9">
        <v>10006409</v>
      </c>
      <c r="D91" s="2" t="s">
        <v>740</v>
      </c>
      <c r="E91" s="10">
        <v>12</v>
      </c>
      <c r="F91" s="9" t="s">
        <v>741</v>
      </c>
      <c r="G91" s="11">
        <v>46238</v>
      </c>
      <c r="H91" s="12">
        <v>115.8</v>
      </c>
      <c r="I91" s="12">
        <v>103.08</v>
      </c>
      <c r="J91" s="9" t="s">
        <v>3</v>
      </c>
      <c r="K91" s="8">
        <v>0</v>
      </c>
    </row>
    <row r="92" spans="1:11">
      <c r="A92" s="2" t="s">
        <v>687</v>
      </c>
      <c r="B92" s="2" t="s">
        <v>739</v>
      </c>
      <c r="C92" s="9">
        <v>10006410</v>
      </c>
      <c r="D92" s="2" t="s">
        <v>742</v>
      </c>
      <c r="E92" s="10">
        <v>6</v>
      </c>
      <c r="F92" s="9" t="s">
        <v>666</v>
      </c>
      <c r="G92" s="11">
        <v>46238</v>
      </c>
      <c r="H92" s="12">
        <v>121.8</v>
      </c>
      <c r="I92" s="12">
        <v>108.42</v>
      </c>
      <c r="J92" s="9" t="s">
        <v>3</v>
      </c>
      <c r="K92" s="8">
        <v>0</v>
      </c>
    </row>
    <row r="93" spans="1:11">
      <c r="A93" s="2" t="s">
        <v>708</v>
      </c>
      <c r="B93" s="2" t="s">
        <v>743</v>
      </c>
      <c r="C93" s="9">
        <v>10007125</v>
      </c>
      <c r="D93" s="2" t="s">
        <v>744</v>
      </c>
      <c r="E93" s="10">
        <v>1</v>
      </c>
      <c r="F93" s="9" t="s">
        <v>745</v>
      </c>
      <c r="G93" s="11">
        <v>46238</v>
      </c>
      <c r="H93" s="12">
        <v>69.97</v>
      </c>
      <c r="I93" s="12">
        <v>62.27</v>
      </c>
      <c r="J93" s="9" t="s">
        <v>3</v>
      </c>
      <c r="K93" s="8">
        <v>0</v>
      </c>
    </row>
    <row r="94" spans="1:11">
      <c r="A94" s="2" t="s">
        <v>746</v>
      </c>
      <c r="B94" s="2" t="s">
        <v>747</v>
      </c>
      <c r="C94" s="9">
        <v>10007237</v>
      </c>
      <c r="D94" s="2" t="s">
        <v>748</v>
      </c>
      <c r="E94" s="10">
        <v>12</v>
      </c>
      <c r="F94" s="9" t="s">
        <v>749</v>
      </c>
      <c r="G94" s="11">
        <v>46238</v>
      </c>
      <c r="H94" s="12">
        <v>54.13</v>
      </c>
      <c r="I94" s="12">
        <v>48.18</v>
      </c>
      <c r="J94" s="9" t="s">
        <v>3</v>
      </c>
      <c r="K94" s="8">
        <v>0</v>
      </c>
    </row>
    <row r="95" spans="1:11">
      <c r="A95" s="2" t="s">
        <v>746</v>
      </c>
      <c r="B95" s="2" t="s">
        <v>747</v>
      </c>
      <c r="C95" s="9">
        <v>10007238</v>
      </c>
      <c r="D95" s="2" t="s">
        <v>750</v>
      </c>
      <c r="E95" s="10">
        <v>12</v>
      </c>
      <c r="F95" s="9" t="s">
        <v>751</v>
      </c>
      <c r="G95" s="11">
        <v>46238</v>
      </c>
      <c r="H95" s="12">
        <v>75.099999999999994</v>
      </c>
      <c r="I95" s="12">
        <v>66.84</v>
      </c>
      <c r="J95" s="9" t="s">
        <v>3</v>
      </c>
      <c r="K95" s="8">
        <v>0</v>
      </c>
    </row>
    <row r="96" spans="1:11">
      <c r="A96" s="2" t="s">
        <v>746</v>
      </c>
      <c r="B96" s="2" t="s">
        <v>747</v>
      </c>
      <c r="C96" s="9">
        <v>10007240</v>
      </c>
      <c r="D96" s="2" t="s">
        <v>752</v>
      </c>
      <c r="E96" s="10">
        <v>5</v>
      </c>
      <c r="F96" s="9" t="s">
        <v>753</v>
      </c>
      <c r="G96" s="11">
        <v>46238</v>
      </c>
      <c r="H96" s="12">
        <v>275.38</v>
      </c>
      <c r="I96" s="12">
        <v>245.09</v>
      </c>
      <c r="J96" s="9" t="s">
        <v>3</v>
      </c>
      <c r="K96" s="8">
        <v>0</v>
      </c>
    </row>
    <row r="97" spans="1:11">
      <c r="A97" s="2" t="s">
        <v>746</v>
      </c>
      <c r="B97" s="2" t="s">
        <v>747</v>
      </c>
      <c r="C97" s="9">
        <v>10007241</v>
      </c>
      <c r="D97" s="2" t="s">
        <v>754</v>
      </c>
      <c r="E97" s="10">
        <v>12</v>
      </c>
      <c r="F97" s="9" t="s">
        <v>733</v>
      </c>
      <c r="G97" s="11">
        <v>46238</v>
      </c>
      <c r="H97" s="12">
        <v>32.020000000000003</v>
      </c>
      <c r="I97" s="12">
        <v>28.5</v>
      </c>
      <c r="J97" s="9" t="s">
        <v>3</v>
      </c>
      <c r="K97" s="8">
        <v>0</v>
      </c>
    </row>
    <row r="98" spans="1:11">
      <c r="A98" s="2" t="s">
        <v>746</v>
      </c>
      <c r="B98" s="2" t="s">
        <v>747</v>
      </c>
      <c r="C98" s="9">
        <v>10007242</v>
      </c>
      <c r="D98" s="2" t="s">
        <v>755</v>
      </c>
      <c r="E98" s="10">
        <v>12</v>
      </c>
      <c r="F98" s="9" t="s">
        <v>756</v>
      </c>
      <c r="G98" s="11">
        <v>46238</v>
      </c>
      <c r="H98" s="12">
        <v>32.020000000000003</v>
      </c>
      <c r="I98" s="12">
        <v>28.5</v>
      </c>
      <c r="J98" s="9" t="s">
        <v>3</v>
      </c>
      <c r="K98" s="8">
        <v>0</v>
      </c>
    </row>
    <row r="99" spans="1:11">
      <c r="A99" s="2" t="s">
        <v>687</v>
      </c>
      <c r="B99" s="2" t="s">
        <v>757</v>
      </c>
      <c r="C99" s="9">
        <v>10007272</v>
      </c>
      <c r="D99" s="2" t="s">
        <v>758</v>
      </c>
      <c r="E99" s="10">
        <v>12</v>
      </c>
      <c r="F99" s="9" t="s">
        <v>759</v>
      </c>
      <c r="G99" s="11">
        <v>46238</v>
      </c>
      <c r="H99" s="12">
        <v>39.24</v>
      </c>
      <c r="I99" s="12">
        <v>34.92</v>
      </c>
      <c r="J99" s="9" t="s">
        <v>3</v>
      </c>
      <c r="K99" s="8">
        <v>0</v>
      </c>
    </row>
    <row r="100" spans="1:11">
      <c r="A100" s="2" t="s">
        <v>687</v>
      </c>
      <c r="B100" s="2" t="s">
        <v>757</v>
      </c>
      <c r="C100" s="9">
        <v>10007274</v>
      </c>
      <c r="D100" s="2" t="s">
        <v>760</v>
      </c>
      <c r="E100" s="10">
        <v>12</v>
      </c>
      <c r="F100" s="9" t="s">
        <v>759</v>
      </c>
      <c r="G100" s="11">
        <v>46238</v>
      </c>
      <c r="H100" s="12">
        <v>39.24</v>
      </c>
      <c r="I100" s="12">
        <v>34.92</v>
      </c>
      <c r="J100" s="9" t="s">
        <v>3</v>
      </c>
      <c r="K100" s="8">
        <v>0</v>
      </c>
    </row>
    <row r="101" spans="1:11">
      <c r="A101" s="2" t="s">
        <v>687</v>
      </c>
      <c r="B101" s="2" t="s">
        <v>757</v>
      </c>
      <c r="C101" s="9">
        <v>10007278</v>
      </c>
      <c r="D101" s="2" t="s">
        <v>761</v>
      </c>
      <c r="E101" s="10">
        <v>12</v>
      </c>
      <c r="F101" s="9" t="s">
        <v>759</v>
      </c>
      <c r="G101" s="11">
        <v>46238</v>
      </c>
      <c r="H101" s="12">
        <v>39.24</v>
      </c>
      <c r="I101" s="12">
        <v>34.92</v>
      </c>
      <c r="J101" s="9" t="s">
        <v>3</v>
      </c>
      <c r="K101" s="8">
        <v>0</v>
      </c>
    </row>
    <row r="102" spans="1:11">
      <c r="A102" s="2" t="s">
        <v>687</v>
      </c>
      <c r="B102" s="2" t="s">
        <v>757</v>
      </c>
      <c r="C102" s="9">
        <v>10007280</v>
      </c>
      <c r="D102" s="2" t="s">
        <v>762</v>
      </c>
      <c r="E102" s="10">
        <v>12</v>
      </c>
      <c r="F102" s="9" t="s">
        <v>763</v>
      </c>
      <c r="G102" s="11">
        <v>46238</v>
      </c>
      <c r="H102" s="12">
        <v>48.89</v>
      </c>
      <c r="I102" s="12">
        <v>43.51</v>
      </c>
      <c r="J102" s="9" t="s">
        <v>3</v>
      </c>
      <c r="K102" s="8">
        <v>0</v>
      </c>
    </row>
    <row r="103" spans="1:11">
      <c r="A103" s="2" t="s">
        <v>687</v>
      </c>
      <c r="B103" s="2" t="s">
        <v>757</v>
      </c>
      <c r="C103" s="9">
        <v>10007283</v>
      </c>
      <c r="D103" s="2" t="s">
        <v>764</v>
      </c>
      <c r="E103" s="10">
        <v>12</v>
      </c>
      <c r="F103" s="9" t="s">
        <v>763</v>
      </c>
      <c r="G103" s="11">
        <v>46238</v>
      </c>
      <c r="H103" s="12">
        <v>46.56</v>
      </c>
      <c r="I103" s="12">
        <v>41.4</v>
      </c>
      <c r="J103" s="9" t="s">
        <v>3</v>
      </c>
      <c r="K103" s="8">
        <v>0</v>
      </c>
    </row>
    <row r="104" spans="1:11">
      <c r="A104" s="2" t="s">
        <v>687</v>
      </c>
      <c r="B104" s="2" t="s">
        <v>757</v>
      </c>
      <c r="C104" s="9">
        <v>10007284</v>
      </c>
      <c r="D104" s="2" t="s">
        <v>765</v>
      </c>
      <c r="E104" s="10">
        <v>12</v>
      </c>
      <c r="F104" s="9" t="s">
        <v>763</v>
      </c>
      <c r="G104" s="11">
        <v>46238</v>
      </c>
      <c r="H104" s="12">
        <v>46.56</v>
      </c>
      <c r="I104" s="12">
        <v>41.4</v>
      </c>
      <c r="J104" s="9" t="s">
        <v>3</v>
      </c>
      <c r="K104" s="8">
        <v>0</v>
      </c>
    </row>
    <row r="105" spans="1:11">
      <c r="A105" s="2" t="s">
        <v>687</v>
      </c>
      <c r="B105" s="2" t="s">
        <v>757</v>
      </c>
      <c r="C105" s="9">
        <v>10007285</v>
      </c>
      <c r="D105" s="2" t="s">
        <v>766</v>
      </c>
      <c r="E105" s="10">
        <v>12</v>
      </c>
      <c r="F105" s="9" t="s">
        <v>763</v>
      </c>
      <c r="G105" s="11">
        <v>46238</v>
      </c>
      <c r="H105" s="12">
        <v>46.56</v>
      </c>
      <c r="I105" s="12">
        <v>41.4</v>
      </c>
      <c r="J105" s="9" t="s">
        <v>3</v>
      </c>
      <c r="K105" s="8">
        <v>0</v>
      </c>
    </row>
    <row r="106" spans="1:11">
      <c r="A106" s="2" t="s">
        <v>663</v>
      </c>
      <c r="B106" s="2" t="s">
        <v>726</v>
      </c>
      <c r="C106" s="9">
        <v>10007754</v>
      </c>
      <c r="D106" s="2" t="s">
        <v>767</v>
      </c>
      <c r="E106" s="10">
        <v>6</v>
      </c>
      <c r="F106" s="9" t="s">
        <v>768</v>
      </c>
      <c r="G106" s="11">
        <v>46238</v>
      </c>
      <c r="H106" s="12">
        <v>32.81</v>
      </c>
      <c r="I106" s="12">
        <v>29.2</v>
      </c>
      <c r="J106" s="9" t="s">
        <v>3</v>
      </c>
      <c r="K106" s="8">
        <v>0</v>
      </c>
    </row>
    <row r="107" spans="1:11">
      <c r="A107" s="2" t="s">
        <v>663</v>
      </c>
      <c r="B107" s="2" t="s">
        <v>726</v>
      </c>
      <c r="C107" s="9">
        <v>10007755</v>
      </c>
      <c r="D107" s="2" t="s">
        <v>769</v>
      </c>
      <c r="E107" s="10">
        <v>6</v>
      </c>
      <c r="F107" s="9" t="s">
        <v>770</v>
      </c>
      <c r="G107" s="11">
        <v>46238</v>
      </c>
      <c r="H107" s="12">
        <v>32.81</v>
      </c>
      <c r="I107" s="12">
        <v>29.2</v>
      </c>
      <c r="J107" s="9" t="s">
        <v>3</v>
      </c>
      <c r="K107" s="8">
        <v>0</v>
      </c>
    </row>
    <row r="108" spans="1:11">
      <c r="A108" s="2" t="s">
        <v>663</v>
      </c>
      <c r="B108" s="2" t="s">
        <v>726</v>
      </c>
      <c r="C108" s="9">
        <v>10007756</v>
      </c>
      <c r="D108" s="2" t="s">
        <v>771</v>
      </c>
      <c r="E108" s="10">
        <v>6</v>
      </c>
      <c r="F108" s="9" t="s">
        <v>770</v>
      </c>
      <c r="G108" s="11">
        <v>46238</v>
      </c>
      <c r="H108" s="12">
        <v>32.81</v>
      </c>
      <c r="I108" s="12">
        <v>29.2</v>
      </c>
      <c r="J108" s="9" t="s">
        <v>3</v>
      </c>
      <c r="K108" s="8">
        <v>0</v>
      </c>
    </row>
    <row r="109" spans="1:11">
      <c r="A109" s="2" t="s">
        <v>663</v>
      </c>
      <c r="B109" s="2" t="s">
        <v>726</v>
      </c>
      <c r="C109" s="9">
        <v>10007757</v>
      </c>
      <c r="D109" s="2" t="s">
        <v>772</v>
      </c>
      <c r="E109" s="10">
        <v>6</v>
      </c>
      <c r="F109" s="9" t="s">
        <v>759</v>
      </c>
      <c r="G109" s="11">
        <v>46238</v>
      </c>
      <c r="H109" s="12">
        <v>32.81</v>
      </c>
      <c r="I109" s="12">
        <v>29.2</v>
      </c>
      <c r="J109" s="9" t="s">
        <v>3</v>
      </c>
      <c r="K109" s="8">
        <v>0</v>
      </c>
    </row>
    <row r="110" spans="1:11">
      <c r="A110" s="2" t="s">
        <v>663</v>
      </c>
      <c r="B110" s="2" t="s">
        <v>726</v>
      </c>
      <c r="C110" s="9">
        <v>10007765</v>
      </c>
      <c r="D110" s="2" t="s">
        <v>773</v>
      </c>
      <c r="E110" s="10">
        <v>6</v>
      </c>
      <c r="F110" s="9" t="s">
        <v>774</v>
      </c>
      <c r="G110" s="11">
        <v>46238</v>
      </c>
      <c r="H110" s="12">
        <v>29.9</v>
      </c>
      <c r="I110" s="12">
        <v>26.61</v>
      </c>
      <c r="J110" s="9" t="s">
        <v>3</v>
      </c>
      <c r="K110" s="8">
        <v>0</v>
      </c>
    </row>
    <row r="111" spans="1:11">
      <c r="A111" s="2" t="s">
        <v>663</v>
      </c>
      <c r="B111" s="2" t="s">
        <v>726</v>
      </c>
      <c r="C111" s="9">
        <v>10007766</v>
      </c>
      <c r="D111" s="2" t="s">
        <v>775</v>
      </c>
      <c r="E111" s="10">
        <v>6</v>
      </c>
      <c r="F111" s="9" t="s">
        <v>776</v>
      </c>
      <c r="G111" s="11">
        <v>46238</v>
      </c>
      <c r="H111" s="12">
        <v>30.54</v>
      </c>
      <c r="I111" s="12">
        <v>27.18</v>
      </c>
      <c r="J111" s="9" t="s">
        <v>3</v>
      </c>
      <c r="K111" s="8">
        <v>0</v>
      </c>
    </row>
    <row r="112" spans="1:11">
      <c r="A112" s="2" t="s">
        <v>663</v>
      </c>
      <c r="B112" s="2" t="s">
        <v>726</v>
      </c>
      <c r="C112" s="9">
        <v>10007767</v>
      </c>
      <c r="D112" s="2" t="s">
        <v>777</v>
      </c>
      <c r="E112" s="10">
        <v>6</v>
      </c>
      <c r="F112" s="9" t="s">
        <v>728</v>
      </c>
      <c r="G112" s="11">
        <v>46238</v>
      </c>
      <c r="H112" s="12">
        <v>23.6</v>
      </c>
      <c r="I112" s="12">
        <v>21</v>
      </c>
      <c r="J112" s="9" t="s">
        <v>3</v>
      </c>
      <c r="K112" s="8">
        <v>0</v>
      </c>
    </row>
    <row r="113" spans="1:11">
      <c r="A113" s="2" t="s">
        <v>663</v>
      </c>
      <c r="B113" s="2" t="s">
        <v>726</v>
      </c>
      <c r="C113" s="9">
        <v>10007775</v>
      </c>
      <c r="D113" s="2" t="s">
        <v>778</v>
      </c>
      <c r="E113" s="10">
        <v>6</v>
      </c>
      <c r="F113" s="9" t="s">
        <v>759</v>
      </c>
      <c r="G113" s="11">
        <v>46238</v>
      </c>
      <c r="H113" s="12">
        <v>32.81</v>
      </c>
      <c r="I113" s="12">
        <v>29.2</v>
      </c>
      <c r="J113" s="9" t="s">
        <v>3</v>
      </c>
      <c r="K113" s="8">
        <v>0</v>
      </c>
    </row>
    <row r="114" spans="1:11">
      <c r="A114" s="2" t="s">
        <v>687</v>
      </c>
      <c r="B114" s="2" t="s">
        <v>691</v>
      </c>
      <c r="C114" s="9">
        <v>10007802</v>
      </c>
      <c r="D114" s="2" t="s">
        <v>779</v>
      </c>
      <c r="E114" s="10">
        <v>6</v>
      </c>
      <c r="F114" s="9" t="s">
        <v>759</v>
      </c>
      <c r="G114" s="11">
        <v>46238</v>
      </c>
      <c r="H114" s="12">
        <v>44.71</v>
      </c>
      <c r="I114" s="12">
        <v>39.79</v>
      </c>
      <c r="J114" s="9" t="s">
        <v>3</v>
      </c>
      <c r="K114" s="8">
        <v>0</v>
      </c>
    </row>
    <row r="115" spans="1:11">
      <c r="A115" s="2" t="s">
        <v>687</v>
      </c>
      <c r="B115" s="2" t="s">
        <v>691</v>
      </c>
      <c r="C115" s="9">
        <v>10007812</v>
      </c>
      <c r="D115" s="2" t="s">
        <v>780</v>
      </c>
      <c r="E115" s="10">
        <v>6</v>
      </c>
      <c r="F115" s="9" t="s">
        <v>781</v>
      </c>
      <c r="G115" s="11">
        <v>46238</v>
      </c>
      <c r="H115" s="12">
        <v>52.64</v>
      </c>
      <c r="I115" s="12">
        <v>46.85</v>
      </c>
      <c r="J115" s="9" t="s">
        <v>3</v>
      </c>
      <c r="K115" s="8">
        <v>0</v>
      </c>
    </row>
    <row r="116" spans="1:11">
      <c r="A116" s="2" t="s">
        <v>687</v>
      </c>
      <c r="B116" s="2" t="s">
        <v>691</v>
      </c>
      <c r="C116" s="9">
        <v>10007814</v>
      </c>
      <c r="D116" s="2" t="s">
        <v>782</v>
      </c>
      <c r="E116" s="10">
        <v>6</v>
      </c>
      <c r="F116" s="9" t="s">
        <v>781</v>
      </c>
      <c r="G116" s="11">
        <v>46238</v>
      </c>
      <c r="H116" s="12">
        <v>52.64</v>
      </c>
      <c r="I116" s="12">
        <v>46.85</v>
      </c>
      <c r="J116" s="9" t="s">
        <v>3</v>
      </c>
      <c r="K116" s="8">
        <v>0</v>
      </c>
    </row>
    <row r="117" spans="1:11">
      <c r="A117" s="2" t="s">
        <v>687</v>
      </c>
      <c r="B117" s="2" t="s">
        <v>691</v>
      </c>
      <c r="C117" s="9">
        <v>10007835</v>
      </c>
      <c r="D117" s="2" t="s">
        <v>783</v>
      </c>
      <c r="E117" s="10">
        <v>6</v>
      </c>
      <c r="F117" s="9" t="s">
        <v>781</v>
      </c>
      <c r="G117" s="11">
        <v>46238</v>
      </c>
      <c r="H117" s="12">
        <v>66.89</v>
      </c>
      <c r="I117" s="12">
        <v>59.53</v>
      </c>
      <c r="J117" s="9" t="s">
        <v>3</v>
      </c>
      <c r="K117" s="8">
        <v>0</v>
      </c>
    </row>
    <row r="118" spans="1:11">
      <c r="A118" s="2" t="s">
        <v>687</v>
      </c>
      <c r="B118" s="2" t="s">
        <v>691</v>
      </c>
      <c r="C118" s="9">
        <v>10007837</v>
      </c>
      <c r="D118" s="2" t="s">
        <v>784</v>
      </c>
      <c r="E118" s="10">
        <v>6</v>
      </c>
      <c r="F118" s="9" t="s">
        <v>781</v>
      </c>
      <c r="G118" s="11">
        <v>46238</v>
      </c>
      <c r="H118" s="12">
        <v>52.64</v>
      </c>
      <c r="I118" s="12">
        <v>46.85</v>
      </c>
      <c r="J118" s="9" t="s">
        <v>3</v>
      </c>
      <c r="K118" s="8">
        <v>0</v>
      </c>
    </row>
    <row r="119" spans="1:11">
      <c r="A119" s="2" t="s">
        <v>687</v>
      </c>
      <c r="B119" s="2" t="s">
        <v>691</v>
      </c>
      <c r="C119" s="9">
        <v>10007839</v>
      </c>
      <c r="D119" s="2" t="s">
        <v>785</v>
      </c>
      <c r="E119" s="10">
        <v>6</v>
      </c>
      <c r="F119" s="9" t="s">
        <v>781</v>
      </c>
      <c r="G119" s="11">
        <v>46238</v>
      </c>
      <c r="H119" s="12">
        <v>66.89</v>
      </c>
      <c r="I119" s="12">
        <v>59.53</v>
      </c>
      <c r="J119" s="9" t="s">
        <v>3</v>
      </c>
      <c r="K119" s="8">
        <v>0</v>
      </c>
    </row>
    <row r="120" spans="1:11">
      <c r="A120" s="2" t="s">
        <v>687</v>
      </c>
      <c r="B120" s="2" t="s">
        <v>691</v>
      </c>
      <c r="C120" s="9">
        <v>10007841</v>
      </c>
      <c r="D120" s="2" t="s">
        <v>786</v>
      </c>
      <c r="E120" s="10">
        <v>6</v>
      </c>
      <c r="F120" s="9" t="s">
        <v>781</v>
      </c>
      <c r="G120" s="11">
        <v>46238</v>
      </c>
      <c r="H120" s="12">
        <v>66.89</v>
      </c>
      <c r="I120" s="12">
        <v>59.53</v>
      </c>
      <c r="J120" s="9" t="s">
        <v>3</v>
      </c>
      <c r="K120" s="8">
        <v>0</v>
      </c>
    </row>
    <row r="121" spans="1:11">
      <c r="A121" s="2" t="s">
        <v>687</v>
      </c>
      <c r="B121" s="2" t="s">
        <v>691</v>
      </c>
      <c r="C121" s="9">
        <v>10007843</v>
      </c>
      <c r="D121" s="2" t="s">
        <v>787</v>
      </c>
      <c r="E121" s="10">
        <v>6</v>
      </c>
      <c r="F121" s="9" t="s">
        <v>781</v>
      </c>
      <c r="G121" s="11">
        <v>46238</v>
      </c>
      <c r="H121" s="12">
        <v>66.89</v>
      </c>
      <c r="I121" s="12">
        <v>59.53</v>
      </c>
      <c r="J121" s="9" t="s">
        <v>3</v>
      </c>
      <c r="K121" s="8">
        <v>0</v>
      </c>
    </row>
    <row r="122" spans="1:11">
      <c r="A122" s="2" t="s">
        <v>687</v>
      </c>
      <c r="B122" s="2" t="s">
        <v>691</v>
      </c>
      <c r="C122" s="9">
        <v>10007845</v>
      </c>
      <c r="D122" s="2" t="s">
        <v>788</v>
      </c>
      <c r="E122" s="10">
        <v>6</v>
      </c>
      <c r="F122" s="9" t="s">
        <v>781</v>
      </c>
      <c r="G122" s="11">
        <v>46238</v>
      </c>
      <c r="H122" s="12">
        <v>66.89</v>
      </c>
      <c r="I122" s="12">
        <v>59.53</v>
      </c>
      <c r="J122" s="9" t="s">
        <v>3</v>
      </c>
      <c r="K122" s="8">
        <v>0</v>
      </c>
    </row>
    <row r="123" spans="1:11">
      <c r="A123" s="2" t="s">
        <v>687</v>
      </c>
      <c r="B123" s="2" t="s">
        <v>691</v>
      </c>
      <c r="C123" s="9">
        <v>10007847</v>
      </c>
      <c r="D123" s="2" t="s">
        <v>789</v>
      </c>
      <c r="E123" s="10">
        <v>6</v>
      </c>
      <c r="F123" s="9" t="s">
        <v>781</v>
      </c>
      <c r="G123" s="11">
        <v>46238</v>
      </c>
      <c r="H123" s="12">
        <v>52.64</v>
      </c>
      <c r="I123" s="12">
        <v>46.85</v>
      </c>
      <c r="J123" s="9" t="s">
        <v>3</v>
      </c>
      <c r="K123" s="8">
        <v>0</v>
      </c>
    </row>
    <row r="124" spans="1:11">
      <c r="A124" s="2" t="s">
        <v>687</v>
      </c>
      <c r="B124" s="2" t="s">
        <v>691</v>
      </c>
      <c r="C124" s="9">
        <v>10007849</v>
      </c>
      <c r="D124" s="2" t="s">
        <v>790</v>
      </c>
      <c r="E124" s="10">
        <v>6</v>
      </c>
      <c r="F124" s="9" t="s">
        <v>781</v>
      </c>
      <c r="G124" s="11">
        <v>46238</v>
      </c>
      <c r="H124" s="12">
        <v>52.64</v>
      </c>
      <c r="I124" s="12">
        <v>46.85</v>
      </c>
      <c r="J124" s="9" t="s">
        <v>3</v>
      </c>
      <c r="K124" s="8">
        <v>0</v>
      </c>
    </row>
    <row r="125" spans="1:11">
      <c r="A125" s="2" t="s">
        <v>687</v>
      </c>
      <c r="B125" s="2" t="s">
        <v>691</v>
      </c>
      <c r="C125" s="9">
        <v>10007851</v>
      </c>
      <c r="D125" s="2" t="s">
        <v>791</v>
      </c>
      <c r="E125" s="10">
        <v>6</v>
      </c>
      <c r="F125" s="9" t="s">
        <v>781</v>
      </c>
      <c r="G125" s="11">
        <v>46238</v>
      </c>
      <c r="H125" s="12">
        <v>66.89</v>
      </c>
      <c r="I125" s="12">
        <v>59.53</v>
      </c>
      <c r="J125" s="9" t="s">
        <v>3</v>
      </c>
      <c r="K125" s="8">
        <v>0</v>
      </c>
    </row>
    <row r="126" spans="1:11">
      <c r="A126" s="2" t="s">
        <v>687</v>
      </c>
      <c r="B126" s="2" t="s">
        <v>792</v>
      </c>
      <c r="C126" s="9">
        <v>10007920</v>
      </c>
      <c r="D126" s="2" t="s">
        <v>793</v>
      </c>
      <c r="E126" s="10">
        <v>6</v>
      </c>
      <c r="F126" s="9" t="s">
        <v>794</v>
      </c>
      <c r="G126" s="11">
        <v>46238</v>
      </c>
      <c r="H126" s="12">
        <v>15.3</v>
      </c>
      <c r="I126" s="12">
        <v>13.62</v>
      </c>
      <c r="J126" s="9" t="s">
        <v>3</v>
      </c>
      <c r="K126" s="8">
        <v>0</v>
      </c>
    </row>
    <row r="127" spans="1:11">
      <c r="A127" s="2" t="s">
        <v>687</v>
      </c>
      <c r="B127" s="2" t="s">
        <v>792</v>
      </c>
      <c r="C127" s="9">
        <v>10007921</v>
      </c>
      <c r="D127" s="2" t="s">
        <v>795</v>
      </c>
      <c r="E127" s="10">
        <v>6</v>
      </c>
      <c r="F127" s="9" t="s">
        <v>738</v>
      </c>
      <c r="G127" s="11">
        <v>46238</v>
      </c>
      <c r="H127" s="12">
        <v>15.3</v>
      </c>
      <c r="I127" s="12">
        <v>13.62</v>
      </c>
      <c r="J127" s="9" t="s">
        <v>3</v>
      </c>
      <c r="K127" s="8">
        <v>0</v>
      </c>
    </row>
    <row r="128" spans="1:11">
      <c r="A128" s="2" t="s">
        <v>687</v>
      </c>
      <c r="B128" s="2" t="s">
        <v>792</v>
      </c>
      <c r="C128" s="9">
        <v>10007922</v>
      </c>
      <c r="D128" s="2" t="s">
        <v>796</v>
      </c>
      <c r="E128" s="10">
        <v>6</v>
      </c>
      <c r="F128" s="9" t="s">
        <v>738</v>
      </c>
      <c r="G128" s="11">
        <v>46238</v>
      </c>
      <c r="H128" s="12">
        <v>15.3</v>
      </c>
      <c r="I128" s="12">
        <v>13.62</v>
      </c>
      <c r="J128" s="9" t="s">
        <v>3</v>
      </c>
      <c r="K128" s="8">
        <v>0</v>
      </c>
    </row>
    <row r="129" spans="1:11">
      <c r="A129" s="2" t="s">
        <v>687</v>
      </c>
      <c r="B129" s="2" t="s">
        <v>792</v>
      </c>
      <c r="C129" s="9">
        <v>10007923</v>
      </c>
      <c r="D129" s="2" t="s">
        <v>797</v>
      </c>
      <c r="E129" s="10">
        <v>6</v>
      </c>
      <c r="F129" s="9" t="s">
        <v>738</v>
      </c>
      <c r="G129" s="11">
        <v>46238</v>
      </c>
      <c r="H129" s="12">
        <v>15.3</v>
      </c>
      <c r="I129" s="12">
        <v>13.62</v>
      </c>
      <c r="J129" s="9" t="s">
        <v>3</v>
      </c>
      <c r="K129" s="8">
        <v>0</v>
      </c>
    </row>
    <row r="130" spans="1:11">
      <c r="A130" s="2" t="s">
        <v>687</v>
      </c>
      <c r="B130" s="2" t="s">
        <v>792</v>
      </c>
      <c r="C130" s="9">
        <v>10007924</v>
      </c>
      <c r="D130" s="2" t="s">
        <v>798</v>
      </c>
      <c r="E130" s="10">
        <v>6</v>
      </c>
      <c r="F130" s="9" t="s">
        <v>738</v>
      </c>
      <c r="G130" s="11">
        <v>46238</v>
      </c>
      <c r="H130" s="12">
        <v>15.3</v>
      </c>
      <c r="I130" s="12">
        <v>13.62</v>
      </c>
      <c r="J130" s="9" t="s">
        <v>3</v>
      </c>
      <c r="K130" s="8">
        <v>0</v>
      </c>
    </row>
    <row r="131" spans="1:11">
      <c r="A131" s="2" t="s">
        <v>687</v>
      </c>
      <c r="B131" s="2" t="s">
        <v>792</v>
      </c>
      <c r="C131" s="9">
        <v>10007925</v>
      </c>
      <c r="D131" s="2" t="s">
        <v>799</v>
      </c>
      <c r="E131" s="10">
        <v>6</v>
      </c>
      <c r="F131" s="9" t="s">
        <v>794</v>
      </c>
      <c r="G131" s="11">
        <v>46238</v>
      </c>
      <c r="H131" s="12">
        <v>15.3</v>
      </c>
      <c r="I131" s="12">
        <v>13.62</v>
      </c>
      <c r="J131" s="9" t="s">
        <v>3</v>
      </c>
      <c r="K131" s="8">
        <v>0</v>
      </c>
    </row>
    <row r="132" spans="1:11">
      <c r="A132" s="2" t="s">
        <v>687</v>
      </c>
      <c r="B132" s="2" t="s">
        <v>792</v>
      </c>
      <c r="C132" s="9">
        <v>10007927</v>
      </c>
      <c r="D132" s="2" t="s">
        <v>800</v>
      </c>
      <c r="E132" s="10">
        <v>6</v>
      </c>
      <c r="F132" s="9" t="s">
        <v>794</v>
      </c>
      <c r="G132" s="11">
        <v>46238</v>
      </c>
      <c r="H132" s="12">
        <v>15.3</v>
      </c>
      <c r="I132" s="12">
        <v>13.62</v>
      </c>
      <c r="J132" s="9" t="s">
        <v>3</v>
      </c>
      <c r="K132" s="8">
        <v>0</v>
      </c>
    </row>
    <row r="133" spans="1:11">
      <c r="A133" s="2" t="s">
        <v>746</v>
      </c>
      <c r="B133" s="2" t="s">
        <v>747</v>
      </c>
      <c r="C133" s="9">
        <v>10008068</v>
      </c>
      <c r="D133" s="2" t="s">
        <v>801</v>
      </c>
      <c r="E133" s="10">
        <v>6</v>
      </c>
      <c r="F133" s="9" t="s">
        <v>802</v>
      </c>
      <c r="G133" s="11">
        <v>46238</v>
      </c>
      <c r="H133" s="12">
        <v>54.48</v>
      </c>
      <c r="I133" s="12">
        <v>48.49</v>
      </c>
      <c r="J133" s="9" t="s">
        <v>3</v>
      </c>
      <c r="K133" s="8">
        <v>0</v>
      </c>
    </row>
    <row r="134" spans="1:11">
      <c r="A134" s="2" t="s">
        <v>746</v>
      </c>
      <c r="B134" s="2" t="s">
        <v>747</v>
      </c>
      <c r="C134" s="9">
        <v>10008069</v>
      </c>
      <c r="D134" s="2" t="s">
        <v>803</v>
      </c>
      <c r="E134" s="10">
        <v>6</v>
      </c>
      <c r="F134" s="9" t="s">
        <v>804</v>
      </c>
      <c r="G134" s="11">
        <v>46238</v>
      </c>
      <c r="H134" s="12">
        <v>30.39</v>
      </c>
      <c r="I134" s="12">
        <v>27.05</v>
      </c>
      <c r="J134" s="9" t="s">
        <v>3</v>
      </c>
      <c r="K134" s="8">
        <v>0</v>
      </c>
    </row>
    <row r="135" spans="1:11">
      <c r="A135" s="2" t="s">
        <v>746</v>
      </c>
      <c r="B135" s="2" t="s">
        <v>747</v>
      </c>
      <c r="C135" s="9">
        <v>10008070</v>
      </c>
      <c r="D135" s="2" t="s">
        <v>805</v>
      </c>
      <c r="E135" s="10">
        <v>6</v>
      </c>
      <c r="F135" s="9" t="s">
        <v>804</v>
      </c>
      <c r="G135" s="11">
        <v>46238</v>
      </c>
      <c r="H135" s="12">
        <v>40.380000000000003</v>
      </c>
      <c r="I135" s="12">
        <v>35.94</v>
      </c>
      <c r="J135" s="9" t="s">
        <v>3</v>
      </c>
      <c r="K135" s="8">
        <v>0</v>
      </c>
    </row>
    <row r="136" spans="1:11">
      <c r="A136" s="2" t="s">
        <v>746</v>
      </c>
      <c r="B136" s="2" t="s">
        <v>747</v>
      </c>
      <c r="C136" s="9">
        <v>10008071</v>
      </c>
      <c r="D136" s="2" t="s">
        <v>806</v>
      </c>
      <c r="E136" s="10">
        <v>6</v>
      </c>
      <c r="F136" s="9" t="s">
        <v>804</v>
      </c>
      <c r="G136" s="11">
        <v>46238</v>
      </c>
      <c r="H136" s="12">
        <v>46.98</v>
      </c>
      <c r="I136" s="12">
        <v>41.81</v>
      </c>
      <c r="J136" s="9" t="s">
        <v>3</v>
      </c>
      <c r="K136" s="8">
        <v>0</v>
      </c>
    </row>
    <row r="137" spans="1:11">
      <c r="A137" s="2" t="s">
        <v>746</v>
      </c>
      <c r="B137" s="2" t="s">
        <v>747</v>
      </c>
      <c r="C137" s="9">
        <v>10008072</v>
      </c>
      <c r="D137" s="2" t="s">
        <v>807</v>
      </c>
      <c r="E137" s="10">
        <v>6</v>
      </c>
      <c r="F137" s="9" t="s">
        <v>808</v>
      </c>
      <c r="G137" s="11">
        <v>46238</v>
      </c>
      <c r="H137" s="12">
        <v>29.34</v>
      </c>
      <c r="I137" s="12">
        <v>26.11</v>
      </c>
      <c r="J137" s="9" t="s">
        <v>3</v>
      </c>
      <c r="K137" s="8">
        <v>0</v>
      </c>
    </row>
    <row r="138" spans="1:11">
      <c r="A138" s="2" t="s">
        <v>746</v>
      </c>
      <c r="B138" s="2" t="s">
        <v>747</v>
      </c>
      <c r="C138" s="9">
        <v>10008073</v>
      </c>
      <c r="D138" s="2" t="s">
        <v>809</v>
      </c>
      <c r="E138" s="10">
        <v>6</v>
      </c>
      <c r="F138" s="9" t="s">
        <v>753</v>
      </c>
      <c r="G138" s="11">
        <v>46238</v>
      </c>
      <c r="H138" s="12">
        <v>45.07</v>
      </c>
      <c r="I138" s="12">
        <v>40.11</v>
      </c>
      <c r="J138" s="9" t="s">
        <v>3</v>
      </c>
      <c r="K138" s="8">
        <v>0</v>
      </c>
    </row>
    <row r="139" spans="1:11">
      <c r="A139" s="2" t="s">
        <v>746</v>
      </c>
      <c r="B139" s="2" t="s">
        <v>747</v>
      </c>
      <c r="C139" s="9">
        <v>10008075</v>
      </c>
      <c r="D139" s="2" t="s">
        <v>810</v>
      </c>
      <c r="E139" s="10">
        <v>6</v>
      </c>
      <c r="F139" s="9" t="s">
        <v>811</v>
      </c>
      <c r="G139" s="11">
        <v>46238</v>
      </c>
      <c r="H139" s="12">
        <v>39.46</v>
      </c>
      <c r="I139" s="12">
        <v>35.119999999999997</v>
      </c>
      <c r="J139" s="9" t="s">
        <v>3</v>
      </c>
      <c r="K139" s="8">
        <v>0</v>
      </c>
    </row>
    <row r="140" spans="1:11">
      <c r="A140" s="2" t="s">
        <v>746</v>
      </c>
      <c r="B140" s="2" t="s">
        <v>747</v>
      </c>
      <c r="C140" s="9">
        <v>10008078</v>
      </c>
      <c r="D140" s="2" t="s">
        <v>812</v>
      </c>
      <c r="E140" s="10">
        <v>12</v>
      </c>
      <c r="F140" s="9" t="s">
        <v>813</v>
      </c>
      <c r="G140" s="11">
        <v>46238</v>
      </c>
      <c r="H140" s="12">
        <v>69.16</v>
      </c>
      <c r="I140" s="12">
        <v>61.55</v>
      </c>
      <c r="J140" s="9" t="s">
        <v>3</v>
      </c>
      <c r="K140" s="8">
        <v>0</v>
      </c>
    </row>
    <row r="141" spans="1:11">
      <c r="A141" s="2" t="s">
        <v>746</v>
      </c>
      <c r="B141" s="2" t="s">
        <v>747</v>
      </c>
      <c r="C141" s="9">
        <v>10008079</v>
      </c>
      <c r="D141" s="2" t="s">
        <v>814</v>
      </c>
      <c r="E141" s="10">
        <v>12</v>
      </c>
      <c r="F141" s="9" t="s">
        <v>815</v>
      </c>
      <c r="G141" s="11">
        <v>46238</v>
      </c>
      <c r="H141" s="12">
        <v>54.13</v>
      </c>
      <c r="I141" s="12">
        <v>48.18</v>
      </c>
      <c r="J141" s="9" t="s">
        <v>3</v>
      </c>
      <c r="K141" s="8">
        <v>0</v>
      </c>
    </row>
    <row r="142" spans="1:11">
      <c r="A142" s="2" t="s">
        <v>663</v>
      </c>
      <c r="B142" s="2" t="s">
        <v>726</v>
      </c>
      <c r="C142" s="9">
        <v>10008594</v>
      </c>
      <c r="D142" s="2" t="s">
        <v>816</v>
      </c>
      <c r="E142" s="10">
        <v>1</v>
      </c>
      <c r="F142" s="9" t="s">
        <v>817</v>
      </c>
      <c r="G142" s="11">
        <v>46238</v>
      </c>
      <c r="H142" s="12">
        <v>47.24</v>
      </c>
      <c r="I142" s="12">
        <v>42.04</v>
      </c>
      <c r="J142" s="9" t="s">
        <v>3</v>
      </c>
      <c r="K142" s="8">
        <v>0</v>
      </c>
    </row>
    <row r="143" spans="1:11">
      <c r="A143" s="2" t="s">
        <v>663</v>
      </c>
      <c r="B143" s="2" t="s">
        <v>726</v>
      </c>
      <c r="C143" s="9">
        <v>10008595</v>
      </c>
      <c r="D143" s="2" t="s">
        <v>818</v>
      </c>
      <c r="E143" s="10">
        <v>1</v>
      </c>
      <c r="F143" s="9" t="s">
        <v>817</v>
      </c>
      <c r="G143" s="11">
        <v>46238</v>
      </c>
      <c r="H143" s="12">
        <v>47.24</v>
      </c>
      <c r="I143" s="12">
        <v>42.04</v>
      </c>
      <c r="J143" s="9" t="s">
        <v>3</v>
      </c>
      <c r="K143" s="8">
        <v>0</v>
      </c>
    </row>
    <row r="144" spans="1:11">
      <c r="A144" s="2" t="s">
        <v>663</v>
      </c>
      <c r="B144" s="2" t="s">
        <v>726</v>
      </c>
      <c r="C144" s="9">
        <v>10008704</v>
      </c>
      <c r="D144" s="2" t="s">
        <v>819</v>
      </c>
      <c r="E144" s="10">
        <v>1</v>
      </c>
      <c r="F144" s="9" t="s">
        <v>817</v>
      </c>
      <c r="G144" s="11">
        <v>46238</v>
      </c>
      <c r="H144" s="12">
        <v>52.19</v>
      </c>
      <c r="I144" s="12">
        <v>46.45</v>
      </c>
      <c r="J144" s="9" t="s">
        <v>3</v>
      </c>
      <c r="K144" s="8">
        <v>0</v>
      </c>
    </row>
    <row r="145" spans="1:11">
      <c r="A145" s="2" t="s">
        <v>663</v>
      </c>
      <c r="B145" s="2" t="s">
        <v>726</v>
      </c>
      <c r="C145" s="9">
        <v>10008709</v>
      </c>
      <c r="D145" s="2" t="s">
        <v>820</v>
      </c>
      <c r="E145" s="10">
        <v>1</v>
      </c>
      <c r="F145" s="9" t="s">
        <v>817</v>
      </c>
      <c r="G145" s="11">
        <v>46238</v>
      </c>
      <c r="H145" s="12">
        <v>49.16</v>
      </c>
      <c r="I145" s="12">
        <v>43.75</v>
      </c>
      <c r="J145" s="9" t="s">
        <v>3</v>
      </c>
      <c r="K145" s="8">
        <v>0</v>
      </c>
    </row>
    <row r="146" spans="1:11">
      <c r="A146" s="2" t="s">
        <v>687</v>
      </c>
      <c r="B146" s="2" t="s">
        <v>792</v>
      </c>
      <c r="C146" s="9">
        <v>10008920</v>
      </c>
      <c r="D146" s="2" t="s">
        <v>821</v>
      </c>
      <c r="E146" s="10">
        <v>6</v>
      </c>
      <c r="F146" s="9" t="s">
        <v>738</v>
      </c>
      <c r="G146" s="11">
        <v>46238</v>
      </c>
      <c r="H146" s="12">
        <v>15.3</v>
      </c>
      <c r="I146" s="12">
        <v>13.62</v>
      </c>
      <c r="J146" s="9" t="s">
        <v>3</v>
      </c>
      <c r="K146" s="8">
        <v>0</v>
      </c>
    </row>
    <row r="147" spans="1:11">
      <c r="A147" s="2" t="s">
        <v>687</v>
      </c>
      <c r="B147" s="2" t="s">
        <v>792</v>
      </c>
      <c r="C147" s="9">
        <v>10008921</v>
      </c>
      <c r="D147" s="2" t="s">
        <v>822</v>
      </c>
      <c r="E147" s="10">
        <v>6</v>
      </c>
      <c r="F147" s="9" t="s">
        <v>823</v>
      </c>
      <c r="G147" s="11">
        <v>46238</v>
      </c>
      <c r="H147" s="12">
        <v>15.3</v>
      </c>
      <c r="I147" s="12">
        <v>13.62</v>
      </c>
      <c r="J147" s="9" t="s">
        <v>3</v>
      </c>
      <c r="K147" s="8">
        <v>0</v>
      </c>
    </row>
    <row r="148" spans="1:11">
      <c r="A148" s="2" t="s">
        <v>687</v>
      </c>
      <c r="B148" s="2" t="s">
        <v>792</v>
      </c>
      <c r="C148" s="9">
        <v>10008922</v>
      </c>
      <c r="D148" s="2" t="s">
        <v>824</v>
      </c>
      <c r="E148" s="10">
        <v>6</v>
      </c>
      <c r="F148" s="9" t="s">
        <v>794</v>
      </c>
      <c r="G148" s="11">
        <v>46238</v>
      </c>
      <c r="H148" s="12">
        <v>15.3</v>
      </c>
      <c r="I148" s="12">
        <v>13.62</v>
      </c>
      <c r="J148" s="9" t="s">
        <v>3</v>
      </c>
      <c r="K148" s="8">
        <v>0</v>
      </c>
    </row>
    <row r="149" spans="1:11">
      <c r="A149" s="2" t="s">
        <v>687</v>
      </c>
      <c r="B149" s="2" t="s">
        <v>792</v>
      </c>
      <c r="C149" s="9">
        <v>10008923</v>
      </c>
      <c r="D149" s="2" t="s">
        <v>825</v>
      </c>
      <c r="E149" s="10">
        <v>6</v>
      </c>
      <c r="F149" s="9" t="s">
        <v>826</v>
      </c>
      <c r="G149" s="11">
        <v>46238</v>
      </c>
      <c r="H149" s="12">
        <v>15.3</v>
      </c>
      <c r="I149" s="12">
        <v>13.62</v>
      </c>
      <c r="J149" s="9" t="s">
        <v>3</v>
      </c>
      <c r="K149" s="8">
        <v>0</v>
      </c>
    </row>
    <row r="150" spans="1:11">
      <c r="A150" s="2" t="s">
        <v>687</v>
      </c>
      <c r="B150" s="2" t="s">
        <v>792</v>
      </c>
      <c r="C150" s="9">
        <v>10008925</v>
      </c>
      <c r="D150" s="2" t="s">
        <v>827</v>
      </c>
      <c r="E150" s="10">
        <v>6</v>
      </c>
      <c r="F150" s="9" t="s">
        <v>794</v>
      </c>
      <c r="G150" s="11">
        <v>46238</v>
      </c>
      <c r="H150" s="12">
        <v>15.3</v>
      </c>
      <c r="I150" s="12">
        <v>13.62</v>
      </c>
      <c r="J150" s="9" t="s">
        <v>3</v>
      </c>
      <c r="K150" s="8">
        <v>0</v>
      </c>
    </row>
    <row r="151" spans="1:11">
      <c r="A151" s="2" t="s">
        <v>687</v>
      </c>
      <c r="B151" s="2" t="s">
        <v>792</v>
      </c>
      <c r="C151" s="9">
        <v>10008926</v>
      </c>
      <c r="D151" s="2" t="s">
        <v>828</v>
      </c>
      <c r="E151" s="10">
        <v>48</v>
      </c>
      <c r="F151" s="9" t="s">
        <v>829</v>
      </c>
      <c r="G151" s="11">
        <v>46238</v>
      </c>
      <c r="H151" s="12">
        <v>122.4</v>
      </c>
      <c r="I151" s="12">
        <v>108.96</v>
      </c>
      <c r="J151" s="9" t="s">
        <v>3</v>
      </c>
      <c r="K151" s="8">
        <v>0</v>
      </c>
    </row>
    <row r="152" spans="1:11">
      <c r="A152" s="2" t="s">
        <v>687</v>
      </c>
      <c r="B152" s="2" t="s">
        <v>691</v>
      </c>
      <c r="C152" s="9">
        <v>10009929</v>
      </c>
      <c r="D152" s="2" t="s">
        <v>830</v>
      </c>
      <c r="E152" s="10">
        <v>6</v>
      </c>
      <c r="F152" s="9" t="s">
        <v>831</v>
      </c>
      <c r="G152" s="11">
        <v>46238</v>
      </c>
      <c r="H152" s="12">
        <v>36.56</v>
      </c>
      <c r="I152" s="12">
        <v>32.54</v>
      </c>
      <c r="J152" s="9" t="s">
        <v>3</v>
      </c>
      <c r="K152" s="8">
        <v>0</v>
      </c>
    </row>
    <row r="153" spans="1:11">
      <c r="A153" s="2" t="s">
        <v>687</v>
      </c>
      <c r="B153" s="2" t="s">
        <v>691</v>
      </c>
      <c r="C153" s="9">
        <v>10009931</v>
      </c>
      <c r="D153" s="2" t="s">
        <v>832</v>
      </c>
      <c r="E153" s="10">
        <v>6</v>
      </c>
      <c r="F153" s="9" t="s">
        <v>831</v>
      </c>
      <c r="G153" s="11">
        <v>46238</v>
      </c>
      <c r="H153" s="12">
        <v>36.56</v>
      </c>
      <c r="I153" s="12">
        <v>32.54</v>
      </c>
      <c r="J153" s="9" t="s">
        <v>3</v>
      </c>
      <c r="K153" s="8">
        <v>0</v>
      </c>
    </row>
    <row r="154" spans="1:11">
      <c r="A154" s="2" t="s">
        <v>687</v>
      </c>
      <c r="B154" s="2" t="s">
        <v>691</v>
      </c>
      <c r="C154" s="9">
        <v>10009932</v>
      </c>
      <c r="D154" s="2" t="s">
        <v>833</v>
      </c>
      <c r="E154" s="10">
        <v>6</v>
      </c>
      <c r="F154" s="9" t="s">
        <v>831</v>
      </c>
      <c r="G154" s="11">
        <v>46238</v>
      </c>
      <c r="H154" s="12">
        <v>34.799999999999997</v>
      </c>
      <c r="I154" s="12">
        <v>30.96</v>
      </c>
      <c r="J154" s="9" t="s">
        <v>3</v>
      </c>
      <c r="K154" s="8">
        <v>0</v>
      </c>
    </row>
    <row r="155" spans="1:11">
      <c r="A155" s="2" t="s">
        <v>834</v>
      </c>
      <c r="B155" s="2" t="s">
        <v>835</v>
      </c>
      <c r="C155" s="9">
        <v>10010007</v>
      </c>
      <c r="D155" s="2" t="s">
        <v>836</v>
      </c>
      <c r="E155" s="10">
        <v>1</v>
      </c>
      <c r="F155" s="9" t="s">
        <v>837</v>
      </c>
      <c r="G155" s="11">
        <v>46238</v>
      </c>
      <c r="H155" s="12">
        <v>29.06</v>
      </c>
      <c r="I155" s="12">
        <v>27.61</v>
      </c>
      <c r="J155" s="9" t="s">
        <v>3</v>
      </c>
      <c r="K155" s="8">
        <v>1</v>
      </c>
    </row>
    <row r="156" spans="1:11">
      <c r="A156" s="2" t="s">
        <v>834</v>
      </c>
      <c r="B156" s="2" t="s">
        <v>835</v>
      </c>
      <c r="C156" s="9">
        <v>10010015</v>
      </c>
      <c r="D156" s="2" t="s">
        <v>838</v>
      </c>
      <c r="E156" s="10">
        <v>1</v>
      </c>
      <c r="F156" s="9" t="s">
        <v>839</v>
      </c>
      <c r="G156" s="11">
        <v>46238</v>
      </c>
      <c r="H156" s="12">
        <v>46.1</v>
      </c>
      <c r="I156" s="12">
        <v>42.41</v>
      </c>
      <c r="J156" s="9" t="s">
        <v>3</v>
      </c>
      <c r="K156" s="8">
        <v>1</v>
      </c>
    </row>
    <row r="157" spans="1:11">
      <c r="A157" s="2" t="s">
        <v>834</v>
      </c>
      <c r="B157" s="2" t="s">
        <v>835</v>
      </c>
      <c r="C157" s="9">
        <v>10010016</v>
      </c>
      <c r="D157" s="2" t="s">
        <v>840</v>
      </c>
      <c r="E157" s="10">
        <v>1</v>
      </c>
      <c r="F157" s="9" t="s">
        <v>837</v>
      </c>
      <c r="G157" s="11">
        <v>46238</v>
      </c>
      <c r="H157" s="12">
        <v>27.4</v>
      </c>
      <c r="I157" s="12">
        <v>25.21</v>
      </c>
      <c r="J157" s="9" t="s">
        <v>3</v>
      </c>
      <c r="K157" s="8">
        <v>1</v>
      </c>
    </row>
    <row r="158" spans="1:11">
      <c r="A158" s="2" t="s">
        <v>834</v>
      </c>
      <c r="B158" s="2" t="s">
        <v>835</v>
      </c>
      <c r="C158" s="9">
        <v>10010274</v>
      </c>
      <c r="D158" s="2" t="s">
        <v>841</v>
      </c>
      <c r="E158" s="10">
        <v>1</v>
      </c>
      <c r="F158" s="9" t="s">
        <v>837</v>
      </c>
      <c r="G158" s="11">
        <v>46238</v>
      </c>
      <c r="H158" s="12">
        <v>30.41</v>
      </c>
      <c r="I158" s="12">
        <v>27.98</v>
      </c>
      <c r="J158" s="9" t="s">
        <v>3</v>
      </c>
      <c r="K158" s="8">
        <v>1</v>
      </c>
    </row>
    <row r="159" spans="1:11">
      <c r="A159" s="2" t="s">
        <v>842</v>
      </c>
      <c r="B159" s="2" t="s">
        <v>843</v>
      </c>
      <c r="C159" s="9">
        <v>10010341</v>
      </c>
      <c r="D159" s="2" t="s">
        <v>844</v>
      </c>
      <c r="E159" s="10">
        <v>12</v>
      </c>
      <c r="F159" s="9" t="s">
        <v>770</v>
      </c>
      <c r="G159" s="11">
        <v>46238</v>
      </c>
      <c r="H159" s="12">
        <v>47.65</v>
      </c>
      <c r="I159" s="12">
        <v>42.41</v>
      </c>
      <c r="J159" s="9" t="s">
        <v>3</v>
      </c>
      <c r="K159" s="8">
        <v>0</v>
      </c>
    </row>
    <row r="160" spans="1:11">
      <c r="A160" s="2" t="s">
        <v>842</v>
      </c>
      <c r="B160" s="2" t="s">
        <v>843</v>
      </c>
      <c r="C160" s="9">
        <v>10010342</v>
      </c>
      <c r="D160" s="2" t="s">
        <v>845</v>
      </c>
      <c r="E160" s="10">
        <v>12</v>
      </c>
      <c r="F160" s="9" t="s">
        <v>770</v>
      </c>
      <c r="G160" s="11">
        <v>46238</v>
      </c>
      <c r="H160" s="12">
        <v>47.65</v>
      </c>
      <c r="I160" s="12">
        <v>42.41</v>
      </c>
      <c r="J160" s="9" t="s">
        <v>3</v>
      </c>
      <c r="K160" s="8">
        <v>0</v>
      </c>
    </row>
    <row r="161" spans="1:11">
      <c r="A161" s="2" t="s">
        <v>842</v>
      </c>
      <c r="B161" s="2" t="s">
        <v>843</v>
      </c>
      <c r="C161" s="9">
        <v>10010344</v>
      </c>
      <c r="D161" s="2" t="s">
        <v>846</v>
      </c>
      <c r="E161" s="10">
        <v>12</v>
      </c>
      <c r="F161" s="9" t="s">
        <v>770</v>
      </c>
      <c r="G161" s="11">
        <v>46238</v>
      </c>
      <c r="H161" s="12">
        <v>47.65</v>
      </c>
      <c r="I161" s="12">
        <v>42.41</v>
      </c>
      <c r="J161" s="9" t="s">
        <v>3</v>
      </c>
      <c r="K161" s="8">
        <v>0</v>
      </c>
    </row>
    <row r="162" spans="1:11">
      <c r="A162" s="2" t="s">
        <v>842</v>
      </c>
      <c r="B162" s="2" t="s">
        <v>843</v>
      </c>
      <c r="C162" s="9">
        <v>10010345</v>
      </c>
      <c r="D162" s="2" t="s">
        <v>847</v>
      </c>
      <c r="E162" s="10">
        <v>12</v>
      </c>
      <c r="F162" s="9" t="s">
        <v>770</v>
      </c>
      <c r="G162" s="11">
        <v>46238</v>
      </c>
      <c r="H162" s="12">
        <v>47.65</v>
      </c>
      <c r="I162" s="12">
        <v>42.41</v>
      </c>
      <c r="J162" s="9" t="s">
        <v>3</v>
      </c>
      <c r="K162" s="8">
        <v>0</v>
      </c>
    </row>
    <row r="163" spans="1:11">
      <c r="A163" s="2" t="s">
        <v>842</v>
      </c>
      <c r="B163" s="2" t="s">
        <v>843</v>
      </c>
      <c r="C163" s="9">
        <v>10010347</v>
      </c>
      <c r="D163" s="2" t="s">
        <v>848</v>
      </c>
      <c r="E163" s="10">
        <v>12</v>
      </c>
      <c r="F163" s="9" t="s">
        <v>770</v>
      </c>
      <c r="G163" s="11">
        <v>46238</v>
      </c>
      <c r="H163" s="12">
        <v>51.16</v>
      </c>
      <c r="I163" s="12">
        <v>45.53</v>
      </c>
      <c r="J163" s="9" t="s">
        <v>3</v>
      </c>
      <c r="K163" s="8">
        <v>0</v>
      </c>
    </row>
    <row r="164" spans="1:11">
      <c r="A164" s="2" t="s">
        <v>842</v>
      </c>
      <c r="B164" s="2" t="s">
        <v>843</v>
      </c>
      <c r="C164" s="9">
        <v>10010348</v>
      </c>
      <c r="D164" s="2" t="s">
        <v>849</v>
      </c>
      <c r="E164" s="10">
        <v>12</v>
      </c>
      <c r="F164" s="9" t="s">
        <v>770</v>
      </c>
      <c r="G164" s="11">
        <v>46238</v>
      </c>
      <c r="H164" s="12">
        <v>51.16</v>
      </c>
      <c r="I164" s="12">
        <v>45.53</v>
      </c>
      <c r="J164" s="9" t="s">
        <v>3</v>
      </c>
      <c r="K164" s="8">
        <v>0</v>
      </c>
    </row>
    <row r="165" spans="1:11">
      <c r="A165" s="2" t="s">
        <v>842</v>
      </c>
      <c r="B165" s="2" t="s">
        <v>843</v>
      </c>
      <c r="C165" s="9">
        <v>10010349</v>
      </c>
      <c r="D165" s="2" t="s">
        <v>850</v>
      </c>
      <c r="E165" s="10">
        <v>12</v>
      </c>
      <c r="F165" s="9" t="s">
        <v>770</v>
      </c>
      <c r="G165" s="11">
        <v>46238</v>
      </c>
      <c r="H165" s="12">
        <v>51.16</v>
      </c>
      <c r="I165" s="12">
        <v>45.53</v>
      </c>
      <c r="J165" s="9" t="s">
        <v>3</v>
      </c>
      <c r="K165" s="8">
        <v>0</v>
      </c>
    </row>
    <row r="166" spans="1:11">
      <c r="A166" s="2" t="s">
        <v>851</v>
      </c>
      <c r="B166" s="2" t="s">
        <v>852</v>
      </c>
      <c r="C166" s="9">
        <v>10010448</v>
      </c>
      <c r="D166" s="2" t="s">
        <v>853</v>
      </c>
      <c r="E166" s="10">
        <v>12</v>
      </c>
      <c r="F166" s="9" t="s">
        <v>690</v>
      </c>
      <c r="G166" s="11">
        <v>46238</v>
      </c>
      <c r="H166" s="12">
        <v>56.04</v>
      </c>
      <c r="I166" s="12">
        <v>49.92</v>
      </c>
      <c r="J166" s="9" t="s">
        <v>3</v>
      </c>
      <c r="K166" s="8">
        <v>0</v>
      </c>
    </row>
    <row r="167" spans="1:11">
      <c r="A167" s="2" t="s">
        <v>851</v>
      </c>
      <c r="B167" s="2" t="s">
        <v>852</v>
      </c>
      <c r="C167" s="9">
        <v>10010449</v>
      </c>
      <c r="D167" s="2" t="s">
        <v>854</v>
      </c>
      <c r="E167" s="10">
        <v>12</v>
      </c>
      <c r="F167" s="9" t="s">
        <v>690</v>
      </c>
      <c r="G167" s="11">
        <v>46238</v>
      </c>
      <c r="H167" s="12">
        <v>56.04</v>
      </c>
      <c r="I167" s="12">
        <v>49.92</v>
      </c>
      <c r="J167" s="9" t="s">
        <v>3</v>
      </c>
      <c r="K167" s="8">
        <v>0</v>
      </c>
    </row>
    <row r="168" spans="1:11">
      <c r="A168" s="2" t="s">
        <v>834</v>
      </c>
      <c r="B168" s="2" t="s">
        <v>835</v>
      </c>
      <c r="C168" s="9">
        <v>10010466</v>
      </c>
      <c r="D168" s="2" t="s">
        <v>855</v>
      </c>
      <c r="E168" s="10">
        <v>1</v>
      </c>
      <c r="F168" s="9" t="s">
        <v>837</v>
      </c>
      <c r="G168" s="11">
        <v>46238</v>
      </c>
      <c r="H168" s="12">
        <v>57.17</v>
      </c>
      <c r="I168" s="12">
        <v>54.32</v>
      </c>
      <c r="J168" s="9" t="s">
        <v>3</v>
      </c>
      <c r="K168" s="8">
        <v>1</v>
      </c>
    </row>
    <row r="169" spans="1:11">
      <c r="A169" s="2" t="s">
        <v>851</v>
      </c>
      <c r="B169" s="2" t="s">
        <v>852</v>
      </c>
      <c r="C169" s="9">
        <v>10010467</v>
      </c>
      <c r="D169" s="2" t="s">
        <v>856</v>
      </c>
      <c r="E169" s="10">
        <v>60</v>
      </c>
      <c r="F169" s="9" t="s">
        <v>829</v>
      </c>
      <c r="G169" s="11">
        <v>46238</v>
      </c>
      <c r="H169" s="12">
        <v>255</v>
      </c>
      <c r="I169" s="12">
        <v>226.8</v>
      </c>
      <c r="J169" s="9" t="s">
        <v>3</v>
      </c>
      <c r="K169" s="8">
        <v>0</v>
      </c>
    </row>
    <row r="170" spans="1:11">
      <c r="A170" s="2" t="s">
        <v>834</v>
      </c>
      <c r="B170" s="2" t="s">
        <v>835</v>
      </c>
      <c r="C170" s="9">
        <v>10010695</v>
      </c>
      <c r="D170" s="2" t="s">
        <v>857</v>
      </c>
      <c r="E170" s="10">
        <v>1</v>
      </c>
      <c r="F170" s="9" t="s">
        <v>839</v>
      </c>
      <c r="G170" s="11">
        <v>46238</v>
      </c>
      <c r="H170" s="12">
        <v>55.42</v>
      </c>
      <c r="I170" s="12">
        <v>52.66</v>
      </c>
      <c r="J170" s="9" t="s">
        <v>3</v>
      </c>
      <c r="K170" s="8">
        <v>1</v>
      </c>
    </row>
    <row r="171" spans="1:11">
      <c r="A171" s="2" t="s">
        <v>834</v>
      </c>
      <c r="B171" s="2" t="s">
        <v>835</v>
      </c>
      <c r="C171" s="9">
        <v>10010729</v>
      </c>
      <c r="D171" s="2" t="s">
        <v>858</v>
      </c>
      <c r="E171" s="10">
        <v>1</v>
      </c>
      <c r="F171" s="9" t="s">
        <v>837</v>
      </c>
      <c r="G171" s="11">
        <v>46238</v>
      </c>
      <c r="H171" s="12">
        <v>30.3</v>
      </c>
      <c r="I171" s="12">
        <v>27.88</v>
      </c>
      <c r="J171" s="9" t="s">
        <v>3</v>
      </c>
      <c r="K171" s="8">
        <v>1</v>
      </c>
    </row>
    <row r="172" spans="1:11">
      <c r="A172" s="2" t="s">
        <v>834</v>
      </c>
      <c r="B172" s="2" t="s">
        <v>835</v>
      </c>
      <c r="C172" s="9">
        <v>10010730</v>
      </c>
      <c r="D172" s="2" t="s">
        <v>859</v>
      </c>
      <c r="E172" s="10">
        <v>1</v>
      </c>
      <c r="F172" s="9" t="s">
        <v>837</v>
      </c>
      <c r="G172" s="11">
        <v>46238</v>
      </c>
      <c r="H172" s="12">
        <v>28.54</v>
      </c>
      <c r="I172" s="12">
        <v>26.26</v>
      </c>
      <c r="J172" s="9" t="s">
        <v>3</v>
      </c>
      <c r="K172" s="8">
        <v>1</v>
      </c>
    </row>
    <row r="173" spans="1:11">
      <c r="A173" s="2" t="s">
        <v>834</v>
      </c>
      <c r="B173" s="2" t="s">
        <v>835</v>
      </c>
      <c r="C173" s="9">
        <v>10010732</v>
      </c>
      <c r="D173" s="2" t="s">
        <v>860</v>
      </c>
      <c r="E173" s="10">
        <v>1</v>
      </c>
      <c r="F173" s="9" t="s">
        <v>837</v>
      </c>
      <c r="G173" s="11">
        <v>46238</v>
      </c>
      <c r="H173" s="12">
        <v>26.41</v>
      </c>
      <c r="I173" s="12">
        <v>24.3</v>
      </c>
      <c r="J173" s="9" t="s">
        <v>3</v>
      </c>
      <c r="K173" s="8">
        <v>1</v>
      </c>
    </row>
    <row r="174" spans="1:11">
      <c r="A174" s="2" t="s">
        <v>834</v>
      </c>
      <c r="B174" s="2" t="s">
        <v>835</v>
      </c>
      <c r="C174" s="9">
        <v>10010733</v>
      </c>
      <c r="D174" s="2" t="s">
        <v>861</v>
      </c>
      <c r="E174" s="10">
        <v>1</v>
      </c>
      <c r="F174" s="9" t="s">
        <v>837</v>
      </c>
      <c r="G174" s="11">
        <v>46238</v>
      </c>
      <c r="H174" s="12">
        <v>27.53</v>
      </c>
      <c r="I174" s="12">
        <v>25.33</v>
      </c>
      <c r="J174" s="9" t="s">
        <v>3</v>
      </c>
      <c r="K174" s="8">
        <v>1</v>
      </c>
    </row>
    <row r="175" spans="1:11">
      <c r="A175" s="2" t="s">
        <v>834</v>
      </c>
      <c r="B175" s="2" t="s">
        <v>835</v>
      </c>
      <c r="C175" s="9">
        <v>10010747</v>
      </c>
      <c r="D175" s="2" t="s">
        <v>862</v>
      </c>
      <c r="E175" s="10">
        <v>1</v>
      </c>
      <c r="F175" s="9" t="s">
        <v>863</v>
      </c>
      <c r="G175" s="11">
        <v>46238</v>
      </c>
      <c r="H175" s="12">
        <v>44.73</v>
      </c>
      <c r="I175" s="12">
        <v>41.15</v>
      </c>
      <c r="J175" s="9" t="s">
        <v>3</v>
      </c>
      <c r="K175" s="8">
        <v>1</v>
      </c>
    </row>
    <row r="176" spans="1:11">
      <c r="A176" s="2" t="s">
        <v>834</v>
      </c>
      <c r="B176" s="2" t="s">
        <v>835</v>
      </c>
      <c r="C176" s="9">
        <v>10010749</v>
      </c>
      <c r="D176" s="2" t="s">
        <v>864</v>
      </c>
      <c r="E176" s="10">
        <v>1</v>
      </c>
      <c r="F176" s="9" t="s">
        <v>837</v>
      </c>
      <c r="G176" s="11">
        <v>46238</v>
      </c>
      <c r="H176" s="12">
        <v>23.43</v>
      </c>
      <c r="I176" s="12">
        <v>21.56</v>
      </c>
      <c r="J176" s="9" t="s">
        <v>3</v>
      </c>
      <c r="K176" s="8">
        <v>1</v>
      </c>
    </row>
    <row r="177" spans="1:11">
      <c r="A177" s="2" t="s">
        <v>834</v>
      </c>
      <c r="B177" s="2" t="s">
        <v>835</v>
      </c>
      <c r="C177" s="9">
        <v>10010752</v>
      </c>
      <c r="D177" s="2" t="s">
        <v>865</v>
      </c>
      <c r="E177" s="10">
        <v>12</v>
      </c>
      <c r="F177" s="9" t="s">
        <v>866</v>
      </c>
      <c r="G177" s="11">
        <v>46238</v>
      </c>
      <c r="H177" s="12">
        <v>125.56</v>
      </c>
      <c r="I177" s="12">
        <v>119.27</v>
      </c>
      <c r="J177" s="9" t="s">
        <v>3</v>
      </c>
      <c r="K177" s="8">
        <v>0</v>
      </c>
    </row>
    <row r="178" spans="1:11">
      <c r="A178" s="2" t="s">
        <v>834</v>
      </c>
      <c r="B178" s="2" t="s">
        <v>835</v>
      </c>
      <c r="C178" s="9">
        <v>10010753</v>
      </c>
      <c r="D178" s="2" t="s">
        <v>867</v>
      </c>
      <c r="E178" s="10">
        <v>1</v>
      </c>
      <c r="F178" s="9" t="s">
        <v>837</v>
      </c>
      <c r="G178" s="11">
        <v>46238</v>
      </c>
      <c r="H178" s="12">
        <v>36.08</v>
      </c>
      <c r="I178" s="12">
        <v>33.19</v>
      </c>
      <c r="J178" s="9" t="s">
        <v>3</v>
      </c>
      <c r="K178" s="8">
        <v>1</v>
      </c>
    </row>
    <row r="179" spans="1:11">
      <c r="A179" s="2" t="s">
        <v>834</v>
      </c>
      <c r="B179" s="2" t="s">
        <v>835</v>
      </c>
      <c r="C179" s="9">
        <v>10010755</v>
      </c>
      <c r="D179" s="2" t="s">
        <v>868</v>
      </c>
      <c r="E179" s="10">
        <v>1</v>
      </c>
      <c r="F179" s="9" t="s">
        <v>837</v>
      </c>
      <c r="G179" s="11">
        <v>46238</v>
      </c>
      <c r="H179" s="12">
        <v>38.61</v>
      </c>
      <c r="I179" s="12">
        <v>35.520000000000003</v>
      </c>
      <c r="J179" s="9" t="s">
        <v>3</v>
      </c>
      <c r="K179" s="8">
        <v>1</v>
      </c>
    </row>
    <row r="180" spans="1:11">
      <c r="A180" s="2" t="s">
        <v>834</v>
      </c>
      <c r="B180" s="2" t="s">
        <v>835</v>
      </c>
      <c r="C180" s="9">
        <v>10010789</v>
      </c>
      <c r="D180" s="2" t="s">
        <v>869</v>
      </c>
      <c r="E180" s="10">
        <v>1</v>
      </c>
      <c r="F180" s="9" t="s">
        <v>839</v>
      </c>
      <c r="G180" s="11">
        <v>46238</v>
      </c>
      <c r="H180" s="12">
        <v>38.61</v>
      </c>
      <c r="I180" s="12">
        <v>35.520000000000003</v>
      </c>
      <c r="J180" s="9" t="s">
        <v>3</v>
      </c>
      <c r="K180" s="8">
        <v>1</v>
      </c>
    </row>
    <row r="181" spans="1:11">
      <c r="A181" s="2" t="s">
        <v>834</v>
      </c>
      <c r="B181" s="2" t="s">
        <v>835</v>
      </c>
      <c r="C181" s="9">
        <v>10010794</v>
      </c>
      <c r="D181" s="2" t="s">
        <v>870</v>
      </c>
      <c r="E181" s="10">
        <v>4</v>
      </c>
      <c r="F181" s="9" t="s">
        <v>871</v>
      </c>
      <c r="G181" s="11">
        <v>46238</v>
      </c>
      <c r="H181" s="12">
        <v>33.99</v>
      </c>
      <c r="I181" s="12">
        <v>31.27</v>
      </c>
      <c r="J181" s="9" t="s">
        <v>3</v>
      </c>
      <c r="K181" s="8">
        <v>1</v>
      </c>
    </row>
    <row r="182" spans="1:11">
      <c r="A182" s="2" t="s">
        <v>834</v>
      </c>
      <c r="B182" s="2" t="s">
        <v>835</v>
      </c>
      <c r="C182" s="9">
        <v>10010796</v>
      </c>
      <c r="D182" s="2" t="s">
        <v>872</v>
      </c>
      <c r="E182" s="10">
        <v>1</v>
      </c>
      <c r="F182" s="9" t="s">
        <v>837</v>
      </c>
      <c r="G182" s="11">
        <v>46238</v>
      </c>
      <c r="H182" s="12">
        <v>41.3</v>
      </c>
      <c r="I182" s="12">
        <v>38</v>
      </c>
      <c r="J182" s="9" t="s">
        <v>3</v>
      </c>
      <c r="K182" s="8">
        <v>1</v>
      </c>
    </row>
    <row r="183" spans="1:11">
      <c r="A183" s="2" t="s">
        <v>834</v>
      </c>
      <c r="B183" s="2" t="s">
        <v>835</v>
      </c>
      <c r="C183" s="9">
        <v>10010797</v>
      </c>
      <c r="D183" s="2" t="s">
        <v>873</v>
      </c>
      <c r="E183" s="10">
        <v>1</v>
      </c>
      <c r="F183" s="9" t="s">
        <v>837</v>
      </c>
      <c r="G183" s="11">
        <v>46238</v>
      </c>
      <c r="H183" s="12">
        <v>35.82</v>
      </c>
      <c r="I183" s="12">
        <v>32.950000000000003</v>
      </c>
      <c r="J183" s="9" t="s">
        <v>3</v>
      </c>
      <c r="K183" s="8">
        <v>1</v>
      </c>
    </row>
    <row r="184" spans="1:11">
      <c r="A184" s="2" t="s">
        <v>834</v>
      </c>
      <c r="B184" s="2" t="s">
        <v>835</v>
      </c>
      <c r="C184" s="9">
        <v>10010798</v>
      </c>
      <c r="D184" s="2" t="s">
        <v>874</v>
      </c>
      <c r="E184" s="10">
        <v>1</v>
      </c>
      <c r="F184" s="9" t="s">
        <v>837</v>
      </c>
      <c r="G184" s="11">
        <v>46238</v>
      </c>
      <c r="H184" s="12">
        <v>65.010000000000005</v>
      </c>
      <c r="I184" s="12">
        <v>59.81</v>
      </c>
      <c r="J184" s="9" t="s">
        <v>3</v>
      </c>
      <c r="K184" s="8">
        <v>1</v>
      </c>
    </row>
    <row r="185" spans="1:11">
      <c r="A185" s="2" t="s">
        <v>663</v>
      </c>
      <c r="B185" s="2" t="s">
        <v>875</v>
      </c>
      <c r="C185" s="9">
        <v>10010840</v>
      </c>
      <c r="D185" s="2" t="s">
        <v>876</v>
      </c>
      <c r="E185" s="10">
        <v>12</v>
      </c>
      <c r="F185" s="9" t="s">
        <v>877</v>
      </c>
      <c r="G185" s="11">
        <v>46238</v>
      </c>
      <c r="H185" s="12">
        <v>45.78</v>
      </c>
      <c r="I185" s="12">
        <v>40.74</v>
      </c>
      <c r="J185" s="9" t="s">
        <v>3</v>
      </c>
      <c r="K185" s="8">
        <v>0</v>
      </c>
    </row>
    <row r="186" spans="1:11">
      <c r="A186" s="2" t="s">
        <v>663</v>
      </c>
      <c r="B186" s="2" t="s">
        <v>875</v>
      </c>
      <c r="C186" s="9">
        <v>10010841</v>
      </c>
      <c r="D186" s="2" t="s">
        <v>878</v>
      </c>
      <c r="E186" s="10">
        <v>12</v>
      </c>
      <c r="F186" s="9" t="s">
        <v>877</v>
      </c>
      <c r="G186" s="11">
        <v>46238</v>
      </c>
      <c r="H186" s="12">
        <v>45.78</v>
      </c>
      <c r="I186" s="12">
        <v>40.74</v>
      </c>
      <c r="J186" s="9" t="s">
        <v>3</v>
      </c>
      <c r="K186" s="8">
        <v>0</v>
      </c>
    </row>
    <row r="187" spans="1:11">
      <c r="A187" s="2" t="s">
        <v>663</v>
      </c>
      <c r="B187" s="2" t="s">
        <v>875</v>
      </c>
      <c r="C187" s="9">
        <v>10010842</v>
      </c>
      <c r="D187" s="2" t="s">
        <v>879</v>
      </c>
      <c r="E187" s="10">
        <v>12</v>
      </c>
      <c r="F187" s="9" t="s">
        <v>877</v>
      </c>
      <c r="G187" s="11">
        <v>46238</v>
      </c>
      <c r="H187" s="12">
        <v>45.78</v>
      </c>
      <c r="I187" s="12">
        <v>40.74</v>
      </c>
      <c r="J187" s="9" t="s">
        <v>3</v>
      </c>
      <c r="K187" s="8">
        <v>0</v>
      </c>
    </row>
    <row r="188" spans="1:11">
      <c r="A188" s="2" t="s">
        <v>663</v>
      </c>
      <c r="B188" s="2" t="s">
        <v>875</v>
      </c>
      <c r="C188" s="9">
        <v>10010845</v>
      </c>
      <c r="D188" s="2" t="s">
        <v>880</v>
      </c>
      <c r="E188" s="10">
        <v>6</v>
      </c>
      <c r="F188" s="9" t="s">
        <v>625</v>
      </c>
      <c r="G188" s="11">
        <v>46238</v>
      </c>
      <c r="H188" s="12">
        <v>45.29</v>
      </c>
      <c r="I188" s="12">
        <v>40.31</v>
      </c>
      <c r="J188" s="9" t="s">
        <v>3</v>
      </c>
      <c r="K188" s="8">
        <v>0</v>
      </c>
    </row>
    <row r="189" spans="1:11">
      <c r="A189" s="2" t="s">
        <v>663</v>
      </c>
      <c r="B189" s="2" t="s">
        <v>875</v>
      </c>
      <c r="C189" s="9">
        <v>10010847</v>
      </c>
      <c r="D189" s="2" t="s">
        <v>881</v>
      </c>
      <c r="E189" s="10">
        <v>12</v>
      </c>
      <c r="F189" s="9" t="s">
        <v>882</v>
      </c>
      <c r="G189" s="11">
        <v>46238</v>
      </c>
      <c r="H189" s="12">
        <v>44.42</v>
      </c>
      <c r="I189" s="12">
        <v>39.53</v>
      </c>
      <c r="J189" s="9" t="s">
        <v>3</v>
      </c>
      <c r="K189" s="8">
        <v>0</v>
      </c>
    </row>
    <row r="190" spans="1:11">
      <c r="A190" s="2" t="s">
        <v>663</v>
      </c>
      <c r="B190" s="2" t="s">
        <v>875</v>
      </c>
      <c r="C190" s="9">
        <v>10010848</v>
      </c>
      <c r="D190" s="2" t="s">
        <v>883</v>
      </c>
      <c r="E190" s="10">
        <v>10</v>
      </c>
      <c r="F190" s="9" t="s">
        <v>650</v>
      </c>
      <c r="G190" s="11">
        <v>46238</v>
      </c>
      <c r="H190" s="12">
        <v>44</v>
      </c>
      <c r="I190" s="12">
        <v>39.159999999999997</v>
      </c>
      <c r="J190" s="9" t="s">
        <v>3</v>
      </c>
      <c r="K190" s="8">
        <v>0</v>
      </c>
    </row>
    <row r="191" spans="1:11">
      <c r="A191" s="2" t="s">
        <v>663</v>
      </c>
      <c r="B191" s="2" t="s">
        <v>875</v>
      </c>
      <c r="C191" s="9">
        <v>10010857</v>
      </c>
      <c r="D191" s="2" t="s">
        <v>884</v>
      </c>
      <c r="E191" s="10">
        <v>2</v>
      </c>
      <c r="F191" s="9" t="s">
        <v>885</v>
      </c>
      <c r="G191" s="11">
        <v>46238</v>
      </c>
      <c r="H191" s="12">
        <v>76.36</v>
      </c>
      <c r="I191" s="12">
        <v>67.959999999999994</v>
      </c>
      <c r="J191" s="9" t="s">
        <v>3</v>
      </c>
      <c r="K191" s="8">
        <v>0</v>
      </c>
    </row>
    <row r="192" spans="1:11">
      <c r="A192" s="2" t="s">
        <v>663</v>
      </c>
      <c r="B192" s="2" t="s">
        <v>875</v>
      </c>
      <c r="C192" s="9">
        <v>10010859</v>
      </c>
      <c r="D192" s="2" t="s">
        <v>886</v>
      </c>
      <c r="E192" s="10">
        <v>3</v>
      </c>
      <c r="F192" s="9" t="s">
        <v>887</v>
      </c>
      <c r="G192" s="11">
        <v>46238</v>
      </c>
      <c r="H192" s="12">
        <v>74.75</v>
      </c>
      <c r="I192" s="12">
        <v>66.53</v>
      </c>
      <c r="J192" s="9" t="s">
        <v>3</v>
      </c>
      <c r="K192" s="8">
        <v>0</v>
      </c>
    </row>
    <row r="193" spans="1:11">
      <c r="A193" s="2" t="s">
        <v>663</v>
      </c>
      <c r="B193" s="2" t="s">
        <v>875</v>
      </c>
      <c r="C193" s="9">
        <v>10010860</v>
      </c>
      <c r="D193" s="2" t="s">
        <v>888</v>
      </c>
      <c r="E193" s="10">
        <v>3</v>
      </c>
      <c r="F193" s="9" t="s">
        <v>889</v>
      </c>
      <c r="G193" s="11">
        <v>46238</v>
      </c>
      <c r="H193" s="12">
        <v>51.76</v>
      </c>
      <c r="I193" s="12">
        <v>46.07</v>
      </c>
      <c r="J193" s="9" t="s">
        <v>3</v>
      </c>
      <c r="K193" s="8">
        <v>0</v>
      </c>
    </row>
    <row r="194" spans="1:11">
      <c r="A194" s="2" t="s">
        <v>663</v>
      </c>
      <c r="B194" s="2" t="s">
        <v>875</v>
      </c>
      <c r="C194" s="9">
        <v>10010861</v>
      </c>
      <c r="D194" s="2" t="s">
        <v>890</v>
      </c>
      <c r="E194" s="10">
        <v>12</v>
      </c>
      <c r="F194" s="9" t="s">
        <v>877</v>
      </c>
      <c r="G194" s="11">
        <v>46238</v>
      </c>
      <c r="H194" s="12">
        <v>44.88</v>
      </c>
      <c r="I194" s="12">
        <v>39.94</v>
      </c>
      <c r="J194" s="9" t="s">
        <v>3</v>
      </c>
      <c r="K194" s="8">
        <v>0</v>
      </c>
    </row>
    <row r="195" spans="1:11">
      <c r="A195" s="2" t="s">
        <v>891</v>
      </c>
      <c r="B195" s="2" t="s">
        <v>892</v>
      </c>
      <c r="C195" s="9">
        <v>10010870</v>
      </c>
      <c r="D195" s="2" t="s">
        <v>893</v>
      </c>
      <c r="E195" s="10">
        <v>18</v>
      </c>
      <c r="F195" s="9" t="s">
        <v>894</v>
      </c>
      <c r="G195" s="11">
        <v>46238</v>
      </c>
      <c r="H195" s="12">
        <v>77.760000000000005</v>
      </c>
      <c r="I195" s="12">
        <v>69.3</v>
      </c>
      <c r="J195" s="9" t="s">
        <v>3</v>
      </c>
      <c r="K195" s="8">
        <v>0</v>
      </c>
    </row>
    <row r="196" spans="1:11">
      <c r="A196" s="2" t="s">
        <v>891</v>
      </c>
      <c r="B196" s="2" t="s">
        <v>892</v>
      </c>
      <c r="C196" s="9">
        <v>10010871</v>
      </c>
      <c r="D196" s="2" t="s">
        <v>895</v>
      </c>
      <c r="E196" s="10">
        <v>12</v>
      </c>
      <c r="F196" s="9" t="s">
        <v>896</v>
      </c>
      <c r="G196" s="11">
        <v>46238</v>
      </c>
      <c r="H196" s="12">
        <v>51.24</v>
      </c>
      <c r="I196" s="12">
        <v>45.6</v>
      </c>
      <c r="J196" s="9" t="s">
        <v>3</v>
      </c>
      <c r="K196" s="8">
        <v>0</v>
      </c>
    </row>
    <row r="197" spans="1:11">
      <c r="A197" s="2" t="s">
        <v>891</v>
      </c>
      <c r="B197" s="2" t="s">
        <v>892</v>
      </c>
      <c r="C197" s="9">
        <v>10010872</v>
      </c>
      <c r="D197" s="2" t="s">
        <v>897</v>
      </c>
      <c r="E197" s="10">
        <v>12</v>
      </c>
      <c r="F197" s="9" t="s">
        <v>898</v>
      </c>
      <c r="G197" s="11">
        <v>46238</v>
      </c>
      <c r="H197" s="12">
        <v>67.56</v>
      </c>
      <c r="I197" s="12">
        <v>60.12</v>
      </c>
      <c r="J197" s="9" t="s">
        <v>3</v>
      </c>
      <c r="K197" s="8">
        <v>0</v>
      </c>
    </row>
    <row r="198" spans="1:11">
      <c r="A198" s="2" t="s">
        <v>891</v>
      </c>
      <c r="B198" s="2" t="s">
        <v>892</v>
      </c>
      <c r="C198" s="9">
        <v>10010873</v>
      </c>
      <c r="D198" s="2" t="s">
        <v>899</v>
      </c>
      <c r="E198" s="10">
        <v>12</v>
      </c>
      <c r="F198" s="9" t="s">
        <v>900</v>
      </c>
      <c r="G198" s="11">
        <v>46238</v>
      </c>
      <c r="H198" s="12">
        <v>84.12</v>
      </c>
      <c r="I198" s="12">
        <v>74.88</v>
      </c>
      <c r="J198" s="9" t="s">
        <v>3</v>
      </c>
      <c r="K198" s="8">
        <v>0</v>
      </c>
    </row>
    <row r="199" spans="1:11">
      <c r="A199" s="2" t="s">
        <v>891</v>
      </c>
      <c r="B199" s="2" t="s">
        <v>892</v>
      </c>
      <c r="C199" s="9">
        <v>10010874</v>
      </c>
      <c r="D199" s="2" t="s">
        <v>901</v>
      </c>
      <c r="E199" s="10">
        <v>6</v>
      </c>
      <c r="F199" s="9" t="s">
        <v>902</v>
      </c>
      <c r="G199" s="11">
        <v>46238</v>
      </c>
      <c r="H199" s="12">
        <v>60.96</v>
      </c>
      <c r="I199" s="12">
        <v>54.24</v>
      </c>
      <c r="J199" s="9" t="s">
        <v>3</v>
      </c>
      <c r="K199" s="8">
        <v>0</v>
      </c>
    </row>
    <row r="200" spans="1:11">
      <c r="A200" s="2" t="s">
        <v>891</v>
      </c>
      <c r="B200" s="2" t="s">
        <v>892</v>
      </c>
      <c r="C200" s="9">
        <v>10010875</v>
      </c>
      <c r="D200" s="2" t="s">
        <v>903</v>
      </c>
      <c r="E200" s="10">
        <v>12</v>
      </c>
      <c r="F200" s="9" t="s">
        <v>898</v>
      </c>
      <c r="G200" s="11">
        <v>46238</v>
      </c>
      <c r="H200" s="12">
        <v>69.48</v>
      </c>
      <c r="I200" s="12">
        <v>61.8</v>
      </c>
      <c r="J200" s="9" t="s">
        <v>3</v>
      </c>
      <c r="K200" s="8">
        <v>0</v>
      </c>
    </row>
    <row r="201" spans="1:11">
      <c r="A201" s="2" t="s">
        <v>891</v>
      </c>
      <c r="B201" s="2" t="s">
        <v>892</v>
      </c>
      <c r="C201" s="9">
        <v>10010876</v>
      </c>
      <c r="D201" s="2" t="s">
        <v>904</v>
      </c>
      <c r="E201" s="10">
        <v>12</v>
      </c>
      <c r="F201" s="9" t="s">
        <v>905</v>
      </c>
      <c r="G201" s="11">
        <v>46238</v>
      </c>
      <c r="H201" s="12">
        <v>98.88</v>
      </c>
      <c r="I201" s="12">
        <v>87.96</v>
      </c>
      <c r="J201" s="9" t="s">
        <v>3</v>
      </c>
      <c r="K201" s="8">
        <v>0</v>
      </c>
    </row>
    <row r="202" spans="1:11">
      <c r="A202" s="2" t="s">
        <v>906</v>
      </c>
      <c r="B202" s="2" t="s">
        <v>907</v>
      </c>
      <c r="C202" s="9">
        <v>10011008</v>
      </c>
      <c r="D202" s="2" t="s">
        <v>908</v>
      </c>
      <c r="E202" s="10">
        <v>12</v>
      </c>
      <c r="F202" s="9" t="s">
        <v>909</v>
      </c>
      <c r="G202" s="11">
        <v>46238</v>
      </c>
      <c r="H202" s="12">
        <v>77.94</v>
      </c>
      <c r="I202" s="12">
        <v>69.37</v>
      </c>
      <c r="J202" s="9" t="s">
        <v>3</v>
      </c>
      <c r="K202" s="8">
        <v>0</v>
      </c>
    </row>
    <row r="203" spans="1:11">
      <c r="A203" s="2" t="s">
        <v>906</v>
      </c>
      <c r="B203" s="2" t="s">
        <v>907</v>
      </c>
      <c r="C203" s="9">
        <v>10011009</v>
      </c>
      <c r="D203" s="2" t="s">
        <v>910</v>
      </c>
      <c r="E203" s="10">
        <v>12</v>
      </c>
      <c r="F203" s="9" t="s">
        <v>909</v>
      </c>
      <c r="G203" s="11">
        <v>46238</v>
      </c>
      <c r="H203" s="12">
        <v>77.94</v>
      </c>
      <c r="I203" s="12">
        <v>69.37</v>
      </c>
      <c r="J203" s="9" t="s">
        <v>3</v>
      </c>
      <c r="K203" s="8">
        <v>0</v>
      </c>
    </row>
    <row r="204" spans="1:11">
      <c r="A204" s="2" t="s">
        <v>906</v>
      </c>
      <c r="B204" s="2" t="s">
        <v>907</v>
      </c>
      <c r="C204" s="9">
        <v>10011017</v>
      </c>
      <c r="D204" s="2" t="s">
        <v>911</v>
      </c>
      <c r="E204" s="10">
        <v>12</v>
      </c>
      <c r="F204" s="9" t="s">
        <v>909</v>
      </c>
      <c r="G204" s="11">
        <v>46238</v>
      </c>
      <c r="H204" s="12">
        <v>77.94</v>
      </c>
      <c r="I204" s="12">
        <v>69.37</v>
      </c>
      <c r="J204" s="9" t="s">
        <v>3</v>
      </c>
      <c r="K204" s="8">
        <v>0</v>
      </c>
    </row>
    <row r="205" spans="1:11">
      <c r="A205" s="2" t="s">
        <v>906</v>
      </c>
      <c r="B205" s="2" t="s">
        <v>907</v>
      </c>
      <c r="C205" s="9">
        <v>10011018</v>
      </c>
      <c r="D205" s="2" t="s">
        <v>912</v>
      </c>
      <c r="E205" s="10">
        <v>12</v>
      </c>
      <c r="F205" s="9" t="s">
        <v>909</v>
      </c>
      <c r="G205" s="11">
        <v>46238</v>
      </c>
      <c r="H205" s="12">
        <v>77.94</v>
      </c>
      <c r="I205" s="12">
        <v>69.37</v>
      </c>
      <c r="J205" s="9" t="s">
        <v>3</v>
      </c>
      <c r="K205" s="8">
        <v>0</v>
      </c>
    </row>
    <row r="206" spans="1:11">
      <c r="A206" s="2" t="s">
        <v>906</v>
      </c>
      <c r="B206" s="2" t="s">
        <v>907</v>
      </c>
      <c r="C206" s="9">
        <v>10011029</v>
      </c>
      <c r="D206" s="2" t="s">
        <v>913</v>
      </c>
      <c r="E206" s="10">
        <v>12</v>
      </c>
      <c r="F206" s="9" t="s">
        <v>909</v>
      </c>
      <c r="G206" s="11">
        <v>46238</v>
      </c>
      <c r="H206" s="12">
        <v>77.94</v>
      </c>
      <c r="I206" s="12">
        <v>69.37</v>
      </c>
      <c r="J206" s="9" t="s">
        <v>3</v>
      </c>
      <c r="K206" s="8">
        <v>0</v>
      </c>
    </row>
    <row r="207" spans="1:11">
      <c r="A207" s="2" t="s">
        <v>906</v>
      </c>
      <c r="B207" s="2" t="s">
        <v>907</v>
      </c>
      <c r="C207" s="9">
        <v>10011121</v>
      </c>
      <c r="D207" s="2" t="s">
        <v>914</v>
      </c>
      <c r="E207" s="10">
        <v>12</v>
      </c>
      <c r="F207" s="9" t="s">
        <v>909</v>
      </c>
      <c r="G207" s="11">
        <v>46238</v>
      </c>
      <c r="H207" s="12">
        <v>77.94</v>
      </c>
      <c r="I207" s="12">
        <v>69.37</v>
      </c>
      <c r="J207" s="9" t="s">
        <v>3</v>
      </c>
      <c r="K207" s="8">
        <v>0</v>
      </c>
    </row>
    <row r="208" spans="1:11">
      <c r="A208" s="2" t="s">
        <v>906</v>
      </c>
      <c r="B208" s="2" t="s">
        <v>907</v>
      </c>
      <c r="C208" s="9">
        <v>10011126</v>
      </c>
      <c r="D208" s="2" t="s">
        <v>915</v>
      </c>
      <c r="E208" s="10">
        <v>12</v>
      </c>
      <c r="F208" s="9" t="s">
        <v>909</v>
      </c>
      <c r="G208" s="11">
        <v>46238</v>
      </c>
      <c r="H208" s="12">
        <v>77.94</v>
      </c>
      <c r="I208" s="12">
        <v>69.37</v>
      </c>
      <c r="J208" s="9" t="s">
        <v>3</v>
      </c>
      <c r="K208" s="8">
        <v>0</v>
      </c>
    </row>
    <row r="209" spans="1:11">
      <c r="A209" s="2" t="s">
        <v>906</v>
      </c>
      <c r="B209" s="2" t="s">
        <v>907</v>
      </c>
      <c r="C209" s="9">
        <v>10011134</v>
      </c>
      <c r="D209" s="2" t="s">
        <v>916</v>
      </c>
      <c r="E209" s="10">
        <v>9</v>
      </c>
      <c r="F209" s="9" t="s">
        <v>917</v>
      </c>
      <c r="G209" s="11">
        <v>46238</v>
      </c>
      <c r="H209" s="12">
        <v>122.75</v>
      </c>
      <c r="I209" s="12">
        <v>109.25</v>
      </c>
      <c r="J209" s="9" t="s">
        <v>3</v>
      </c>
      <c r="K209" s="8">
        <v>0</v>
      </c>
    </row>
    <row r="210" spans="1:11">
      <c r="A210" s="2" t="s">
        <v>906</v>
      </c>
      <c r="B210" s="2" t="s">
        <v>907</v>
      </c>
      <c r="C210" s="9">
        <v>10011139</v>
      </c>
      <c r="D210" s="2" t="s">
        <v>918</v>
      </c>
      <c r="E210" s="10">
        <v>12</v>
      </c>
      <c r="F210" s="9" t="s">
        <v>909</v>
      </c>
      <c r="G210" s="11">
        <v>46238</v>
      </c>
      <c r="H210" s="12">
        <v>77.94</v>
      </c>
      <c r="I210" s="12">
        <v>69.37</v>
      </c>
      <c r="J210" s="9" t="s">
        <v>3</v>
      </c>
      <c r="K210" s="8">
        <v>0</v>
      </c>
    </row>
    <row r="211" spans="1:11">
      <c r="A211" s="2" t="s">
        <v>919</v>
      </c>
      <c r="B211" s="2" t="s">
        <v>920</v>
      </c>
      <c r="C211" s="9">
        <v>10011140</v>
      </c>
      <c r="D211" s="2" t="s">
        <v>921</v>
      </c>
      <c r="E211" s="10">
        <v>2</v>
      </c>
      <c r="F211" s="9" t="s">
        <v>922</v>
      </c>
      <c r="G211" s="11">
        <v>46238</v>
      </c>
      <c r="H211" s="12">
        <v>111.66</v>
      </c>
      <c r="I211" s="12">
        <v>97.14</v>
      </c>
      <c r="J211" s="9" t="s">
        <v>3</v>
      </c>
      <c r="K211" s="8">
        <v>0</v>
      </c>
    </row>
    <row r="212" spans="1:11">
      <c r="A212" s="2" t="s">
        <v>919</v>
      </c>
      <c r="B212" s="2" t="s">
        <v>920</v>
      </c>
      <c r="C212" s="9">
        <v>10011141</v>
      </c>
      <c r="D212" s="2" t="s">
        <v>923</v>
      </c>
      <c r="E212" s="10">
        <v>4</v>
      </c>
      <c r="F212" s="9" t="s">
        <v>924</v>
      </c>
      <c r="G212" s="11">
        <v>46238</v>
      </c>
      <c r="H212" s="12">
        <v>89.52</v>
      </c>
      <c r="I212" s="12">
        <v>77.88</v>
      </c>
      <c r="J212" s="9" t="s">
        <v>3</v>
      </c>
      <c r="K212" s="8">
        <v>0</v>
      </c>
    </row>
    <row r="213" spans="1:11">
      <c r="A213" s="2" t="s">
        <v>925</v>
      </c>
      <c r="B213" s="2" t="s">
        <v>926</v>
      </c>
      <c r="C213" s="9">
        <v>10011159</v>
      </c>
      <c r="D213" s="2" t="s">
        <v>927</v>
      </c>
      <c r="E213" s="10">
        <v>20</v>
      </c>
      <c r="F213" s="9" t="s">
        <v>759</v>
      </c>
      <c r="G213" s="11">
        <v>46238</v>
      </c>
      <c r="H213" s="12">
        <v>44.67</v>
      </c>
      <c r="I213" s="12">
        <v>39.76</v>
      </c>
      <c r="J213" s="9" t="s">
        <v>3</v>
      </c>
      <c r="K213" s="8">
        <v>0</v>
      </c>
    </row>
    <row r="214" spans="1:11">
      <c r="A214" s="2" t="s">
        <v>925</v>
      </c>
      <c r="B214" s="2" t="s">
        <v>926</v>
      </c>
      <c r="C214" s="9">
        <v>10011160</v>
      </c>
      <c r="D214" s="2" t="s">
        <v>928</v>
      </c>
      <c r="E214" s="10">
        <v>20</v>
      </c>
      <c r="F214" s="9" t="s">
        <v>759</v>
      </c>
      <c r="G214" s="11">
        <v>46238</v>
      </c>
      <c r="H214" s="12">
        <v>44.67</v>
      </c>
      <c r="I214" s="12">
        <v>39.76</v>
      </c>
      <c r="J214" s="9" t="s">
        <v>3</v>
      </c>
      <c r="K214" s="8">
        <v>0</v>
      </c>
    </row>
    <row r="215" spans="1:11">
      <c r="A215" s="2" t="s">
        <v>925</v>
      </c>
      <c r="B215" s="2" t="s">
        <v>926</v>
      </c>
      <c r="C215" s="9">
        <v>10011161</v>
      </c>
      <c r="D215" s="2" t="s">
        <v>929</v>
      </c>
      <c r="E215" s="10">
        <v>20</v>
      </c>
      <c r="F215" s="9" t="s">
        <v>759</v>
      </c>
      <c r="G215" s="11">
        <v>46238</v>
      </c>
      <c r="H215" s="12">
        <v>44.67</v>
      </c>
      <c r="I215" s="12">
        <v>39.76</v>
      </c>
      <c r="J215" s="9" t="s">
        <v>3</v>
      </c>
      <c r="K215" s="8">
        <v>0</v>
      </c>
    </row>
    <row r="216" spans="1:11">
      <c r="A216" s="2" t="s">
        <v>925</v>
      </c>
      <c r="B216" s="2" t="s">
        <v>926</v>
      </c>
      <c r="C216" s="9">
        <v>10011163</v>
      </c>
      <c r="D216" s="2" t="s">
        <v>930</v>
      </c>
      <c r="E216" s="10">
        <v>16</v>
      </c>
      <c r="F216" s="9" t="s">
        <v>759</v>
      </c>
      <c r="G216" s="11">
        <v>46238</v>
      </c>
      <c r="H216" s="12">
        <v>35.729999999999997</v>
      </c>
      <c r="I216" s="12">
        <v>31.8</v>
      </c>
      <c r="J216" s="9" t="s">
        <v>3</v>
      </c>
      <c r="K216" s="8">
        <v>0</v>
      </c>
    </row>
    <row r="217" spans="1:11">
      <c r="A217" s="2" t="s">
        <v>925</v>
      </c>
      <c r="B217" s="2" t="s">
        <v>926</v>
      </c>
      <c r="C217" s="9">
        <v>10011164</v>
      </c>
      <c r="D217" s="2" t="s">
        <v>931</v>
      </c>
      <c r="E217" s="10">
        <v>16</v>
      </c>
      <c r="F217" s="9" t="s">
        <v>759</v>
      </c>
      <c r="G217" s="11">
        <v>46238</v>
      </c>
      <c r="H217" s="12">
        <v>35.729999999999997</v>
      </c>
      <c r="I217" s="12">
        <v>31.8</v>
      </c>
      <c r="J217" s="9" t="s">
        <v>3</v>
      </c>
      <c r="K217" s="8">
        <v>0</v>
      </c>
    </row>
    <row r="218" spans="1:11">
      <c r="A218" s="2" t="s">
        <v>925</v>
      </c>
      <c r="B218" s="2" t="s">
        <v>926</v>
      </c>
      <c r="C218" s="9">
        <v>10011165</v>
      </c>
      <c r="D218" s="2" t="s">
        <v>932</v>
      </c>
      <c r="E218" s="10">
        <v>16</v>
      </c>
      <c r="F218" s="9" t="s">
        <v>759</v>
      </c>
      <c r="G218" s="11">
        <v>46238</v>
      </c>
      <c r="H218" s="12">
        <v>35.729999999999997</v>
      </c>
      <c r="I218" s="12">
        <v>31.8</v>
      </c>
      <c r="J218" s="9" t="s">
        <v>3</v>
      </c>
      <c r="K218" s="8">
        <v>0</v>
      </c>
    </row>
    <row r="219" spans="1:11">
      <c r="A219" s="2" t="s">
        <v>925</v>
      </c>
      <c r="B219" s="2" t="s">
        <v>926</v>
      </c>
      <c r="C219" s="9">
        <v>10011166</v>
      </c>
      <c r="D219" s="2" t="s">
        <v>933</v>
      </c>
      <c r="E219" s="10">
        <v>16</v>
      </c>
      <c r="F219" s="9" t="s">
        <v>759</v>
      </c>
      <c r="G219" s="11">
        <v>46238</v>
      </c>
      <c r="H219" s="12">
        <v>35.729999999999997</v>
      </c>
      <c r="I219" s="12">
        <v>31.8</v>
      </c>
      <c r="J219" s="9" t="s">
        <v>3</v>
      </c>
      <c r="K219" s="8">
        <v>0</v>
      </c>
    </row>
    <row r="220" spans="1:11">
      <c r="A220" s="2" t="s">
        <v>925</v>
      </c>
      <c r="B220" s="2" t="s">
        <v>926</v>
      </c>
      <c r="C220" s="9">
        <v>10011167</v>
      </c>
      <c r="D220" s="2" t="s">
        <v>934</v>
      </c>
      <c r="E220" s="10">
        <v>16</v>
      </c>
      <c r="F220" s="9" t="s">
        <v>759</v>
      </c>
      <c r="G220" s="11">
        <v>46238</v>
      </c>
      <c r="H220" s="12">
        <v>35.729999999999997</v>
      </c>
      <c r="I220" s="12">
        <v>31.8</v>
      </c>
      <c r="J220" s="9" t="s">
        <v>3</v>
      </c>
      <c r="K220" s="8">
        <v>0</v>
      </c>
    </row>
    <row r="221" spans="1:11">
      <c r="A221" s="2" t="s">
        <v>925</v>
      </c>
      <c r="B221" s="2" t="s">
        <v>926</v>
      </c>
      <c r="C221" s="9">
        <v>10011168</v>
      </c>
      <c r="D221" s="2" t="s">
        <v>935</v>
      </c>
      <c r="E221" s="10">
        <v>16</v>
      </c>
      <c r="F221" s="9" t="s">
        <v>759</v>
      </c>
      <c r="G221" s="11">
        <v>46238</v>
      </c>
      <c r="H221" s="12">
        <v>35.729999999999997</v>
      </c>
      <c r="I221" s="12">
        <v>31.8</v>
      </c>
      <c r="J221" s="9" t="s">
        <v>3</v>
      </c>
      <c r="K221" s="8">
        <v>0</v>
      </c>
    </row>
    <row r="222" spans="1:11">
      <c r="A222" s="2" t="s">
        <v>925</v>
      </c>
      <c r="B222" s="2" t="s">
        <v>926</v>
      </c>
      <c r="C222" s="9">
        <v>10011169</v>
      </c>
      <c r="D222" s="2" t="s">
        <v>936</v>
      </c>
      <c r="E222" s="10">
        <v>16</v>
      </c>
      <c r="F222" s="9" t="s">
        <v>759</v>
      </c>
      <c r="G222" s="11">
        <v>46238</v>
      </c>
      <c r="H222" s="12">
        <v>35.729999999999997</v>
      </c>
      <c r="I222" s="12">
        <v>31.8</v>
      </c>
      <c r="J222" s="9" t="s">
        <v>3</v>
      </c>
      <c r="K222" s="8">
        <v>0</v>
      </c>
    </row>
    <row r="223" spans="1:11">
      <c r="A223" s="2" t="s">
        <v>925</v>
      </c>
      <c r="B223" s="2" t="s">
        <v>926</v>
      </c>
      <c r="C223" s="9">
        <v>10011170</v>
      </c>
      <c r="D223" s="2" t="s">
        <v>937</v>
      </c>
      <c r="E223" s="10">
        <v>16</v>
      </c>
      <c r="F223" s="9" t="s">
        <v>759</v>
      </c>
      <c r="G223" s="11">
        <v>46238</v>
      </c>
      <c r="H223" s="12">
        <v>35.729999999999997</v>
      </c>
      <c r="I223" s="12">
        <v>31.8</v>
      </c>
      <c r="J223" s="9" t="s">
        <v>3</v>
      </c>
      <c r="K223" s="8">
        <v>0</v>
      </c>
    </row>
    <row r="224" spans="1:11">
      <c r="A224" s="2" t="s">
        <v>834</v>
      </c>
      <c r="B224" s="2" t="s">
        <v>938</v>
      </c>
      <c r="C224" s="9">
        <v>10011271</v>
      </c>
      <c r="D224" s="2" t="s">
        <v>939</v>
      </c>
      <c r="E224" s="10">
        <v>6</v>
      </c>
      <c r="F224" s="9" t="s">
        <v>940</v>
      </c>
      <c r="G224" s="11">
        <v>46238</v>
      </c>
      <c r="H224" s="12">
        <v>26.1</v>
      </c>
      <c r="I224" s="12">
        <v>23.22</v>
      </c>
      <c r="J224" s="9" t="s">
        <v>3</v>
      </c>
      <c r="K224" s="8">
        <v>0</v>
      </c>
    </row>
    <row r="225" spans="1:11">
      <c r="A225" s="2" t="s">
        <v>834</v>
      </c>
      <c r="B225" s="2" t="s">
        <v>938</v>
      </c>
      <c r="C225" s="9">
        <v>10011272</v>
      </c>
      <c r="D225" s="2" t="s">
        <v>941</v>
      </c>
      <c r="E225" s="10">
        <v>6</v>
      </c>
      <c r="F225" s="9" t="s">
        <v>940</v>
      </c>
      <c r="G225" s="11">
        <v>46238</v>
      </c>
      <c r="H225" s="12">
        <v>26.1</v>
      </c>
      <c r="I225" s="12">
        <v>23.22</v>
      </c>
      <c r="J225" s="9" t="s">
        <v>3</v>
      </c>
      <c r="K225" s="8">
        <v>0</v>
      </c>
    </row>
    <row r="226" spans="1:11">
      <c r="A226" s="2" t="s">
        <v>834</v>
      </c>
      <c r="B226" s="2" t="s">
        <v>938</v>
      </c>
      <c r="C226" s="9">
        <v>10011274</v>
      </c>
      <c r="D226" s="2" t="s">
        <v>942</v>
      </c>
      <c r="E226" s="10">
        <v>6</v>
      </c>
      <c r="F226" s="9" t="s">
        <v>940</v>
      </c>
      <c r="G226" s="11">
        <v>46238</v>
      </c>
      <c r="H226" s="12">
        <v>26.1</v>
      </c>
      <c r="I226" s="12">
        <v>23.22</v>
      </c>
      <c r="J226" s="9" t="s">
        <v>3</v>
      </c>
      <c r="K226" s="8">
        <v>0</v>
      </c>
    </row>
    <row r="227" spans="1:11">
      <c r="A227" s="2" t="s">
        <v>834</v>
      </c>
      <c r="B227" s="2" t="s">
        <v>938</v>
      </c>
      <c r="C227" s="9">
        <v>10011275</v>
      </c>
      <c r="D227" s="2" t="s">
        <v>943</v>
      </c>
      <c r="E227" s="10">
        <v>6</v>
      </c>
      <c r="F227" s="9" t="s">
        <v>944</v>
      </c>
      <c r="G227" s="11">
        <v>46238</v>
      </c>
      <c r="H227" s="12">
        <v>26.1</v>
      </c>
      <c r="I227" s="12">
        <v>23.22</v>
      </c>
      <c r="J227" s="9" t="s">
        <v>3</v>
      </c>
      <c r="K227" s="8">
        <v>0</v>
      </c>
    </row>
    <row r="228" spans="1:11">
      <c r="A228" s="2" t="s">
        <v>834</v>
      </c>
      <c r="B228" s="2" t="s">
        <v>938</v>
      </c>
      <c r="C228" s="9">
        <v>10011276</v>
      </c>
      <c r="D228" s="2" t="s">
        <v>945</v>
      </c>
      <c r="E228" s="10">
        <v>6</v>
      </c>
      <c r="F228" s="9" t="s">
        <v>944</v>
      </c>
      <c r="G228" s="11">
        <v>46238</v>
      </c>
      <c r="H228" s="12">
        <v>26.1</v>
      </c>
      <c r="I228" s="12">
        <v>23.22</v>
      </c>
      <c r="J228" s="9" t="s">
        <v>3</v>
      </c>
      <c r="K228" s="8">
        <v>0</v>
      </c>
    </row>
    <row r="229" spans="1:11">
      <c r="A229" s="2" t="s">
        <v>834</v>
      </c>
      <c r="B229" s="2" t="s">
        <v>938</v>
      </c>
      <c r="C229" s="9">
        <v>10011277</v>
      </c>
      <c r="D229" s="2" t="s">
        <v>946</v>
      </c>
      <c r="E229" s="10">
        <v>6</v>
      </c>
      <c r="F229" s="9" t="s">
        <v>944</v>
      </c>
      <c r="G229" s="11">
        <v>46238</v>
      </c>
      <c r="H229" s="12">
        <v>26.1</v>
      </c>
      <c r="I229" s="12">
        <v>23.22</v>
      </c>
      <c r="J229" s="9" t="s">
        <v>3</v>
      </c>
      <c r="K229" s="8">
        <v>0</v>
      </c>
    </row>
    <row r="230" spans="1:11">
      <c r="A230" s="2" t="s">
        <v>834</v>
      </c>
      <c r="B230" s="2" t="s">
        <v>938</v>
      </c>
      <c r="C230" s="9">
        <v>10011425</v>
      </c>
      <c r="D230" s="2" t="s">
        <v>947</v>
      </c>
      <c r="E230" s="10">
        <v>48</v>
      </c>
      <c r="F230" s="9" t="s">
        <v>829</v>
      </c>
      <c r="G230" s="11">
        <v>46238</v>
      </c>
      <c r="H230" s="12">
        <v>219.36</v>
      </c>
      <c r="I230" s="12">
        <v>195.23</v>
      </c>
      <c r="J230" s="9" t="s">
        <v>3</v>
      </c>
      <c r="K230" s="8">
        <v>0</v>
      </c>
    </row>
    <row r="231" spans="1:11">
      <c r="A231" s="2" t="s">
        <v>834</v>
      </c>
      <c r="B231" s="2" t="s">
        <v>938</v>
      </c>
      <c r="C231" s="9">
        <v>10011426</v>
      </c>
      <c r="D231" s="2" t="s">
        <v>948</v>
      </c>
      <c r="E231" s="10">
        <v>48</v>
      </c>
      <c r="F231" s="9" t="s">
        <v>829</v>
      </c>
      <c r="G231" s="11">
        <v>46238</v>
      </c>
      <c r="H231" s="12">
        <v>219.36</v>
      </c>
      <c r="I231" s="12">
        <v>195.23</v>
      </c>
      <c r="J231" s="9" t="s">
        <v>3</v>
      </c>
      <c r="K231" s="8">
        <v>0</v>
      </c>
    </row>
    <row r="232" spans="1:11">
      <c r="A232" s="2" t="s">
        <v>949</v>
      </c>
      <c r="B232" s="2" t="s">
        <v>950</v>
      </c>
      <c r="C232" s="9">
        <v>10011429</v>
      </c>
      <c r="D232" s="2" t="s">
        <v>951</v>
      </c>
      <c r="E232" s="10">
        <v>12</v>
      </c>
      <c r="F232" s="9" t="s">
        <v>952</v>
      </c>
      <c r="G232" s="11">
        <v>46238</v>
      </c>
      <c r="H232" s="12">
        <v>76.180000000000007</v>
      </c>
      <c r="I232" s="12">
        <v>67.8</v>
      </c>
      <c r="J232" s="9" t="s">
        <v>3</v>
      </c>
      <c r="K232" s="8">
        <v>0</v>
      </c>
    </row>
    <row r="233" spans="1:11">
      <c r="A233" s="2" t="s">
        <v>949</v>
      </c>
      <c r="B233" s="2" t="s">
        <v>953</v>
      </c>
      <c r="C233" s="9">
        <v>10011447</v>
      </c>
      <c r="D233" s="2" t="s">
        <v>954</v>
      </c>
      <c r="E233" s="10">
        <v>6</v>
      </c>
      <c r="F233" s="9" t="s">
        <v>955</v>
      </c>
      <c r="G233" s="11">
        <v>46238</v>
      </c>
      <c r="H233" s="12">
        <v>41.93</v>
      </c>
      <c r="I233" s="12">
        <v>37.32</v>
      </c>
      <c r="J233" s="9" t="s">
        <v>3</v>
      </c>
      <c r="K233" s="8">
        <v>0</v>
      </c>
    </row>
    <row r="234" spans="1:11">
      <c r="A234" s="2" t="s">
        <v>949</v>
      </c>
      <c r="B234" s="2" t="s">
        <v>953</v>
      </c>
      <c r="C234" s="9">
        <v>10011448</v>
      </c>
      <c r="D234" s="2" t="s">
        <v>956</v>
      </c>
      <c r="E234" s="10">
        <v>6</v>
      </c>
      <c r="F234" s="9" t="s">
        <v>955</v>
      </c>
      <c r="G234" s="11">
        <v>46238</v>
      </c>
      <c r="H234" s="12">
        <v>41.93</v>
      </c>
      <c r="I234" s="12">
        <v>37.32</v>
      </c>
      <c r="J234" s="9" t="s">
        <v>3</v>
      </c>
      <c r="K234" s="8">
        <v>0</v>
      </c>
    </row>
    <row r="235" spans="1:11">
      <c r="A235" s="2" t="s">
        <v>949</v>
      </c>
      <c r="B235" s="2" t="s">
        <v>953</v>
      </c>
      <c r="C235" s="9">
        <v>10011449</v>
      </c>
      <c r="D235" s="2" t="s">
        <v>957</v>
      </c>
      <c r="E235" s="10">
        <v>6</v>
      </c>
      <c r="F235" s="9" t="s">
        <v>955</v>
      </c>
      <c r="G235" s="11">
        <v>46238</v>
      </c>
      <c r="H235" s="12">
        <v>41.93</v>
      </c>
      <c r="I235" s="12">
        <v>37.32</v>
      </c>
      <c r="J235" s="9" t="s">
        <v>3</v>
      </c>
      <c r="K235" s="8">
        <v>0</v>
      </c>
    </row>
    <row r="236" spans="1:11">
      <c r="A236" s="2" t="s">
        <v>949</v>
      </c>
      <c r="B236" s="2" t="s">
        <v>953</v>
      </c>
      <c r="C236" s="9">
        <v>10011450</v>
      </c>
      <c r="D236" s="2" t="s">
        <v>958</v>
      </c>
      <c r="E236" s="10">
        <v>6</v>
      </c>
      <c r="F236" s="9" t="s">
        <v>955</v>
      </c>
      <c r="G236" s="11">
        <v>46238</v>
      </c>
      <c r="H236" s="12">
        <v>41.93</v>
      </c>
      <c r="I236" s="12">
        <v>37.32</v>
      </c>
      <c r="J236" s="9" t="s">
        <v>3</v>
      </c>
      <c r="K236" s="8">
        <v>0</v>
      </c>
    </row>
    <row r="237" spans="1:11">
      <c r="A237" s="2" t="s">
        <v>949</v>
      </c>
      <c r="B237" s="2" t="s">
        <v>953</v>
      </c>
      <c r="C237" s="9">
        <v>10011451</v>
      </c>
      <c r="D237" s="2" t="s">
        <v>959</v>
      </c>
      <c r="E237" s="10">
        <v>6</v>
      </c>
      <c r="F237" s="9" t="s">
        <v>955</v>
      </c>
      <c r="G237" s="11">
        <v>46238</v>
      </c>
      <c r="H237" s="12">
        <v>41.93</v>
      </c>
      <c r="I237" s="12">
        <v>37.32</v>
      </c>
      <c r="J237" s="9" t="s">
        <v>3</v>
      </c>
      <c r="K237" s="8">
        <v>0</v>
      </c>
    </row>
    <row r="238" spans="1:11">
      <c r="A238" s="2" t="s">
        <v>949</v>
      </c>
      <c r="B238" s="2" t="s">
        <v>953</v>
      </c>
      <c r="C238" s="9">
        <v>10011453</v>
      </c>
      <c r="D238" s="2" t="s">
        <v>960</v>
      </c>
      <c r="E238" s="10">
        <v>6</v>
      </c>
      <c r="F238" s="9" t="s">
        <v>955</v>
      </c>
      <c r="G238" s="11">
        <v>46238</v>
      </c>
      <c r="H238" s="12">
        <v>41.93</v>
      </c>
      <c r="I238" s="12">
        <v>37.32</v>
      </c>
      <c r="J238" s="9" t="s">
        <v>3</v>
      </c>
      <c r="K238" s="8">
        <v>0</v>
      </c>
    </row>
    <row r="239" spans="1:11">
      <c r="A239" s="2" t="s">
        <v>949</v>
      </c>
      <c r="B239" s="2" t="s">
        <v>953</v>
      </c>
      <c r="C239" s="9">
        <v>10011454</v>
      </c>
      <c r="D239" s="2" t="s">
        <v>961</v>
      </c>
      <c r="E239" s="10">
        <v>6</v>
      </c>
      <c r="F239" s="9" t="s">
        <v>955</v>
      </c>
      <c r="G239" s="11">
        <v>46238</v>
      </c>
      <c r="H239" s="12">
        <v>41.93</v>
      </c>
      <c r="I239" s="12">
        <v>37.32</v>
      </c>
      <c r="J239" s="9" t="s">
        <v>3</v>
      </c>
      <c r="K239" s="8">
        <v>0</v>
      </c>
    </row>
    <row r="240" spans="1:11">
      <c r="A240" s="2" t="s">
        <v>949</v>
      </c>
      <c r="B240" s="2" t="s">
        <v>953</v>
      </c>
      <c r="C240" s="9">
        <v>10011455</v>
      </c>
      <c r="D240" s="2" t="s">
        <v>962</v>
      </c>
      <c r="E240" s="10">
        <v>6</v>
      </c>
      <c r="F240" s="9" t="s">
        <v>955</v>
      </c>
      <c r="G240" s="11">
        <v>46238</v>
      </c>
      <c r="H240" s="12">
        <v>41.93</v>
      </c>
      <c r="I240" s="12">
        <v>37.32</v>
      </c>
      <c r="J240" s="9" t="s">
        <v>3</v>
      </c>
      <c r="K240" s="8">
        <v>0</v>
      </c>
    </row>
    <row r="241" spans="1:11">
      <c r="A241" s="2" t="s">
        <v>949</v>
      </c>
      <c r="B241" s="2" t="s">
        <v>953</v>
      </c>
      <c r="C241" s="9">
        <v>10011456</v>
      </c>
      <c r="D241" s="2" t="s">
        <v>963</v>
      </c>
      <c r="E241" s="10">
        <v>6</v>
      </c>
      <c r="F241" s="9" t="s">
        <v>955</v>
      </c>
      <c r="G241" s="11">
        <v>46238</v>
      </c>
      <c r="H241" s="12">
        <v>41.93</v>
      </c>
      <c r="I241" s="12">
        <v>37.32</v>
      </c>
      <c r="J241" s="9" t="s">
        <v>3</v>
      </c>
      <c r="K241" s="8">
        <v>0</v>
      </c>
    </row>
    <row r="242" spans="1:11">
      <c r="A242" s="2" t="s">
        <v>834</v>
      </c>
      <c r="B242" s="2" t="s">
        <v>938</v>
      </c>
      <c r="C242" s="9">
        <v>10011457</v>
      </c>
      <c r="D242" s="2" t="s">
        <v>964</v>
      </c>
      <c r="E242" s="10">
        <v>48</v>
      </c>
      <c r="F242" s="9" t="s">
        <v>829</v>
      </c>
      <c r="G242" s="11">
        <v>46238</v>
      </c>
      <c r="H242" s="12">
        <v>219.36</v>
      </c>
      <c r="I242" s="12">
        <v>195.23</v>
      </c>
      <c r="J242" s="9" t="s">
        <v>3</v>
      </c>
      <c r="K242" s="8">
        <v>0</v>
      </c>
    </row>
    <row r="243" spans="1:11">
      <c r="A243" s="2" t="s">
        <v>834</v>
      </c>
      <c r="B243" s="2" t="s">
        <v>938</v>
      </c>
      <c r="C243" s="9">
        <v>10011458</v>
      </c>
      <c r="D243" s="2" t="s">
        <v>965</v>
      </c>
      <c r="E243" s="10">
        <v>9</v>
      </c>
      <c r="F243" s="9" t="s">
        <v>693</v>
      </c>
      <c r="G243" s="11">
        <v>46238</v>
      </c>
      <c r="H243" s="12">
        <v>42.93</v>
      </c>
      <c r="I243" s="12">
        <v>38.21</v>
      </c>
      <c r="J243" s="9" t="s">
        <v>3</v>
      </c>
      <c r="K243" s="8">
        <v>0</v>
      </c>
    </row>
    <row r="244" spans="1:11">
      <c r="A244" s="2" t="s">
        <v>746</v>
      </c>
      <c r="B244" s="2" t="s">
        <v>747</v>
      </c>
      <c r="C244" s="9">
        <v>10011515</v>
      </c>
      <c r="D244" s="2" t="s">
        <v>966</v>
      </c>
      <c r="E244" s="10">
        <v>6</v>
      </c>
      <c r="F244" s="9" t="s">
        <v>731</v>
      </c>
      <c r="G244" s="11">
        <v>46238</v>
      </c>
      <c r="H244" s="12">
        <v>40.96</v>
      </c>
      <c r="I244" s="12">
        <v>36.450000000000003</v>
      </c>
      <c r="J244" s="9" t="s">
        <v>3</v>
      </c>
      <c r="K244" s="8">
        <v>0</v>
      </c>
    </row>
    <row r="245" spans="1:11">
      <c r="A245" s="2" t="s">
        <v>842</v>
      </c>
      <c r="B245" s="2" t="s">
        <v>967</v>
      </c>
      <c r="C245" s="9">
        <v>10012535</v>
      </c>
      <c r="D245" s="2" t="s">
        <v>968</v>
      </c>
      <c r="E245" s="10">
        <v>12</v>
      </c>
      <c r="F245" s="9" t="s">
        <v>969</v>
      </c>
      <c r="G245" s="11">
        <v>46238</v>
      </c>
      <c r="H245" s="12">
        <v>52.79</v>
      </c>
      <c r="I245" s="12">
        <v>46.98</v>
      </c>
      <c r="J245" s="9" t="s">
        <v>3</v>
      </c>
      <c r="K245" s="8">
        <v>0</v>
      </c>
    </row>
    <row r="246" spans="1:11">
      <c r="A246" s="2" t="s">
        <v>842</v>
      </c>
      <c r="B246" s="2" t="s">
        <v>967</v>
      </c>
      <c r="C246" s="9">
        <v>10012536</v>
      </c>
      <c r="D246" s="2" t="s">
        <v>970</v>
      </c>
      <c r="E246" s="10">
        <v>12</v>
      </c>
      <c r="F246" s="9" t="s">
        <v>969</v>
      </c>
      <c r="G246" s="11">
        <v>46238</v>
      </c>
      <c r="H246" s="12">
        <v>52.79</v>
      </c>
      <c r="I246" s="12">
        <v>46.98</v>
      </c>
      <c r="J246" s="9" t="s">
        <v>3</v>
      </c>
      <c r="K246" s="8">
        <v>0</v>
      </c>
    </row>
    <row r="247" spans="1:11">
      <c r="A247" s="2" t="s">
        <v>842</v>
      </c>
      <c r="B247" s="2" t="s">
        <v>967</v>
      </c>
      <c r="C247" s="9">
        <v>10012537</v>
      </c>
      <c r="D247" s="2" t="s">
        <v>971</v>
      </c>
      <c r="E247" s="10">
        <v>12</v>
      </c>
      <c r="F247" s="9" t="s">
        <v>969</v>
      </c>
      <c r="G247" s="11">
        <v>46238</v>
      </c>
      <c r="H247" s="12">
        <v>52.79</v>
      </c>
      <c r="I247" s="12">
        <v>46.98</v>
      </c>
      <c r="J247" s="9" t="s">
        <v>3</v>
      </c>
      <c r="K247" s="8">
        <v>0</v>
      </c>
    </row>
    <row r="248" spans="1:11">
      <c r="A248" s="2" t="s">
        <v>842</v>
      </c>
      <c r="B248" s="2" t="s">
        <v>967</v>
      </c>
      <c r="C248" s="9">
        <v>10012538</v>
      </c>
      <c r="D248" s="2" t="s">
        <v>972</v>
      </c>
      <c r="E248" s="10">
        <v>12</v>
      </c>
      <c r="F248" s="9" t="s">
        <v>969</v>
      </c>
      <c r="G248" s="11">
        <v>46238</v>
      </c>
      <c r="H248" s="12">
        <v>52.79</v>
      </c>
      <c r="I248" s="12">
        <v>46.98</v>
      </c>
      <c r="J248" s="9" t="s">
        <v>3</v>
      </c>
      <c r="K248" s="8">
        <v>0</v>
      </c>
    </row>
    <row r="249" spans="1:11">
      <c r="A249" s="2" t="s">
        <v>687</v>
      </c>
      <c r="B249" s="2" t="s">
        <v>739</v>
      </c>
      <c r="C249" s="9">
        <v>10012650</v>
      </c>
      <c r="D249" s="2" t="s">
        <v>973</v>
      </c>
      <c r="E249" s="10">
        <v>6</v>
      </c>
      <c r="F249" s="9" t="s">
        <v>759</v>
      </c>
      <c r="G249" s="11">
        <v>46238</v>
      </c>
      <c r="H249" s="12">
        <v>52.86</v>
      </c>
      <c r="I249" s="12">
        <v>47.02</v>
      </c>
      <c r="J249" s="9" t="s">
        <v>3</v>
      </c>
      <c r="K249" s="8">
        <v>0</v>
      </c>
    </row>
    <row r="250" spans="1:11">
      <c r="A250" s="2" t="s">
        <v>842</v>
      </c>
      <c r="B250" s="2" t="s">
        <v>967</v>
      </c>
      <c r="C250" s="9">
        <v>10012713</v>
      </c>
      <c r="D250" s="2" t="s">
        <v>974</v>
      </c>
      <c r="E250" s="10">
        <v>64</v>
      </c>
      <c r="F250" s="9" t="s">
        <v>969</v>
      </c>
      <c r="G250" s="11">
        <v>46238</v>
      </c>
      <c r="H250" s="12">
        <v>281.60000000000002</v>
      </c>
      <c r="I250" s="12">
        <v>250.62</v>
      </c>
      <c r="J250" s="9" t="s">
        <v>3</v>
      </c>
      <c r="K250" s="8">
        <v>0</v>
      </c>
    </row>
    <row r="251" spans="1:11">
      <c r="A251" s="2" t="s">
        <v>687</v>
      </c>
      <c r="B251" s="2" t="s">
        <v>739</v>
      </c>
      <c r="C251" s="9">
        <v>10012720</v>
      </c>
      <c r="D251" s="2" t="s">
        <v>975</v>
      </c>
      <c r="E251" s="10">
        <v>6</v>
      </c>
      <c r="F251" s="9" t="s">
        <v>759</v>
      </c>
      <c r="G251" s="11">
        <v>46238</v>
      </c>
      <c r="H251" s="12">
        <v>101.64</v>
      </c>
      <c r="I251" s="12">
        <v>90.45</v>
      </c>
      <c r="J251" s="9" t="s">
        <v>3</v>
      </c>
      <c r="K251" s="8">
        <v>0</v>
      </c>
    </row>
    <row r="252" spans="1:11">
      <c r="A252" s="2" t="s">
        <v>687</v>
      </c>
      <c r="B252" s="2" t="s">
        <v>739</v>
      </c>
      <c r="C252" s="9">
        <v>10012746</v>
      </c>
      <c r="D252" s="2" t="s">
        <v>976</v>
      </c>
      <c r="E252" s="10">
        <v>12</v>
      </c>
      <c r="F252" s="9" t="s">
        <v>741</v>
      </c>
      <c r="G252" s="11">
        <v>46238</v>
      </c>
      <c r="H252" s="12">
        <v>151.32</v>
      </c>
      <c r="I252" s="12">
        <v>134.63999999999999</v>
      </c>
      <c r="J252" s="9" t="s">
        <v>3</v>
      </c>
      <c r="K252" s="8">
        <v>0</v>
      </c>
    </row>
    <row r="253" spans="1:11">
      <c r="A253" s="2" t="s">
        <v>906</v>
      </c>
      <c r="B253" s="2" t="s">
        <v>977</v>
      </c>
      <c r="C253" s="9">
        <v>10013039</v>
      </c>
      <c r="D253" s="2" t="s">
        <v>978</v>
      </c>
      <c r="E253" s="10">
        <v>2</v>
      </c>
      <c r="F253" s="9" t="s">
        <v>979</v>
      </c>
      <c r="G253" s="11">
        <v>46238</v>
      </c>
      <c r="H253" s="12">
        <v>42.86</v>
      </c>
      <c r="I253" s="12">
        <v>39.43</v>
      </c>
      <c r="J253" s="9" t="s">
        <v>3</v>
      </c>
      <c r="K253" s="8">
        <v>1</v>
      </c>
    </row>
    <row r="254" spans="1:11">
      <c r="A254" s="2" t="s">
        <v>906</v>
      </c>
      <c r="B254" s="2" t="s">
        <v>980</v>
      </c>
      <c r="C254" s="9">
        <v>10013052</v>
      </c>
      <c r="D254" s="2" t="s">
        <v>981</v>
      </c>
      <c r="E254" s="10">
        <v>12</v>
      </c>
      <c r="F254" s="9" t="s">
        <v>982</v>
      </c>
      <c r="G254" s="11">
        <v>46238</v>
      </c>
      <c r="H254" s="12">
        <v>88.08</v>
      </c>
      <c r="I254" s="12">
        <v>81</v>
      </c>
      <c r="J254" s="9" t="s">
        <v>3</v>
      </c>
      <c r="K254" s="8">
        <v>0</v>
      </c>
    </row>
    <row r="255" spans="1:11">
      <c r="A255" s="2" t="s">
        <v>906</v>
      </c>
      <c r="B255" s="2" t="s">
        <v>983</v>
      </c>
      <c r="C255" s="9">
        <v>10013054</v>
      </c>
      <c r="D255" s="2" t="s">
        <v>984</v>
      </c>
      <c r="E255" s="10">
        <v>12</v>
      </c>
      <c r="F255" s="9" t="s">
        <v>985</v>
      </c>
      <c r="G255" s="11">
        <v>46238</v>
      </c>
      <c r="H255" s="12">
        <v>82.66</v>
      </c>
      <c r="I255" s="12">
        <v>76.05</v>
      </c>
      <c r="J255" s="9" t="s">
        <v>3</v>
      </c>
      <c r="K255" s="8">
        <v>0</v>
      </c>
    </row>
    <row r="256" spans="1:11">
      <c r="A256" s="2" t="s">
        <v>906</v>
      </c>
      <c r="B256" s="2" t="s">
        <v>983</v>
      </c>
      <c r="C256" s="9">
        <v>10013056</v>
      </c>
      <c r="D256" s="2" t="s">
        <v>986</v>
      </c>
      <c r="E256" s="10">
        <v>12</v>
      </c>
      <c r="F256" s="9" t="s">
        <v>985</v>
      </c>
      <c r="G256" s="11">
        <v>46238</v>
      </c>
      <c r="H256" s="12">
        <v>88.55</v>
      </c>
      <c r="I256" s="12">
        <v>81.47</v>
      </c>
      <c r="J256" s="9" t="s">
        <v>3</v>
      </c>
      <c r="K256" s="8">
        <v>0</v>
      </c>
    </row>
    <row r="257" spans="1:11">
      <c r="A257" s="2" t="s">
        <v>906</v>
      </c>
      <c r="B257" s="2" t="s">
        <v>977</v>
      </c>
      <c r="C257" s="9">
        <v>10013065</v>
      </c>
      <c r="D257" s="2" t="s">
        <v>987</v>
      </c>
      <c r="E257" s="10">
        <v>2</v>
      </c>
      <c r="F257" s="9" t="s">
        <v>979</v>
      </c>
      <c r="G257" s="11">
        <v>46238</v>
      </c>
      <c r="H257" s="12">
        <v>39.35</v>
      </c>
      <c r="I257" s="12">
        <v>36.200000000000003</v>
      </c>
      <c r="J257" s="9" t="s">
        <v>3</v>
      </c>
      <c r="K257" s="8">
        <v>1</v>
      </c>
    </row>
    <row r="258" spans="1:11">
      <c r="A258" s="2" t="s">
        <v>906</v>
      </c>
      <c r="B258" s="2" t="s">
        <v>980</v>
      </c>
      <c r="C258" s="9">
        <v>10013105</v>
      </c>
      <c r="D258" s="2" t="s">
        <v>988</v>
      </c>
      <c r="E258" s="10">
        <v>2</v>
      </c>
      <c r="F258" s="9" t="s">
        <v>989</v>
      </c>
      <c r="G258" s="11">
        <v>46238</v>
      </c>
      <c r="H258" s="12">
        <v>43</v>
      </c>
      <c r="I258" s="12">
        <v>39.56</v>
      </c>
      <c r="J258" s="9" t="s">
        <v>3</v>
      </c>
      <c r="K258" s="8">
        <v>1</v>
      </c>
    </row>
    <row r="259" spans="1:11">
      <c r="A259" s="2" t="s">
        <v>906</v>
      </c>
      <c r="B259" s="2" t="s">
        <v>977</v>
      </c>
      <c r="C259" s="9">
        <v>10013120</v>
      </c>
      <c r="D259" s="2" t="s">
        <v>990</v>
      </c>
      <c r="E259" s="10">
        <v>2</v>
      </c>
      <c r="F259" s="9" t="s">
        <v>991</v>
      </c>
      <c r="G259" s="11">
        <v>46238</v>
      </c>
      <c r="H259" s="12">
        <v>42.86</v>
      </c>
      <c r="I259" s="12">
        <v>39.43</v>
      </c>
      <c r="J259" s="9" t="s">
        <v>3</v>
      </c>
      <c r="K259" s="8">
        <v>1</v>
      </c>
    </row>
    <row r="260" spans="1:11">
      <c r="A260" s="2" t="s">
        <v>906</v>
      </c>
      <c r="B260" s="2" t="s">
        <v>977</v>
      </c>
      <c r="C260" s="9">
        <v>10013122</v>
      </c>
      <c r="D260" s="2" t="s">
        <v>992</v>
      </c>
      <c r="E260" s="10">
        <v>2</v>
      </c>
      <c r="F260" s="9" t="s">
        <v>991</v>
      </c>
      <c r="G260" s="11">
        <v>46238</v>
      </c>
      <c r="H260" s="12">
        <v>42.86</v>
      </c>
      <c r="I260" s="12">
        <v>39.43</v>
      </c>
      <c r="J260" s="9" t="s">
        <v>3</v>
      </c>
      <c r="K260" s="8">
        <v>1</v>
      </c>
    </row>
    <row r="261" spans="1:11">
      <c r="A261" s="2" t="s">
        <v>906</v>
      </c>
      <c r="B261" s="2" t="s">
        <v>980</v>
      </c>
      <c r="C261" s="9">
        <v>10013124</v>
      </c>
      <c r="D261" s="2" t="s">
        <v>993</v>
      </c>
      <c r="E261" s="10">
        <v>12</v>
      </c>
      <c r="F261" s="9" t="s">
        <v>982</v>
      </c>
      <c r="G261" s="11">
        <v>46238</v>
      </c>
      <c r="H261" s="12">
        <v>95.04</v>
      </c>
      <c r="I261" s="12">
        <v>87.36</v>
      </c>
      <c r="J261" s="9" t="s">
        <v>3</v>
      </c>
      <c r="K261" s="8">
        <v>0</v>
      </c>
    </row>
    <row r="262" spans="1:11">
      <c r="A262" s="2" t="s">
        <v>906</v>
      </c>
      <c r="B262" s="2" t="s">
        <v>980</v>
      </c>
      <c r="C262" s="9">
        <v>10013128</v>
      </c>
      <c r="D262" s="2" t="s">
        <v>994</v>
      </c>
      <c r="E262" s="10">
        <v>8</v>
      </c>
      <c r="F262" s="9" t="s">
        <v>995</v>
      </c>
      <c r="G262" s="11">
        <v>46238</v>
      </c>
      <c r="H262" s="12">
        <v>60.8</v>
      </c>
      <c r="I262" s="12">
        <v>55.92</v>
      </c>
      <c r="J262" s="9" t="s">
        <v>3</v>
      </c>
      <c r="K262" s="8">
        <v>0</v>
      </c>
    </row>
    <row r="263" spans="1:11">
      <c r="A263" s="2" t="s">
        <v>906</v>
      </c>
      <c r="B263" s="2" t="s">
        <v>980</v>
      </c>
      <c r="C263" s="9">
        <v>10013140</v>
      </c>
      <c r="D263" s="2" t="s">
        <v>996</v>
      </c>
      <c r="E263" s="10">
        <v>2</v>
      </c>
      <c r="F263" s="9" t="s">
        <v>997</v>
      </c>
      <c r="G263" s="11">
        <v>46238</v>
      </c>
      <c r="H263" s="12">
        <v>43.74</v>
      </c>
      <c r="I263" s="12">
        <v>40.24</v>
      </c>
      <c r="J263" s="9" t="s">
        <v>3</v>
      </c>
      <c r="K263" s="8">
        <v>1</v>
      </c>
    </row>
    <row r="264" spans="1:11">
      <c r="A264" s="2" t="s">
        <v>906</v>
      </c>
      <c r="B264" s="2" t="s">
        <v>977</v>
      </c>
      <c r="C264" s="9">
        <v>10013144</v>
      </c>
      <c r="D264" s="2" t="s">
        <v>998</v>
      </c>
      <c r="E264" s="10">
        <v>2</v>
      </c>
      <c r="F264" s="9" t="s">
        <v>999</v>
      </c>
      <c r="G264" s="11">
        <v>46238</v>
      </c>
      <c r="H264" s="12">
        <v>39.5</v>
      </c>
      <c r="I264" s="12">
        <v>36.340000000000003</v>
      </c>
      <c r="J264" s="9" t="s">
        <v>3</v>
      </c>
      <c r="K264" s="8">
        <v>1</v>
      </c>
    </row>
    <row r="265" spans="1:11">
      <c r="A265" s="2" t="s">
        <v>906</v>
      </c>
      <c r="B265" s="2" t="s">
        <v>1000</v>
      </c>
      <c r="C265" s="9">
        <v>10013145</v>
      </c>
      <c r="D265" s="2" t="s">
        <v>1001</v>
      </c>
      <c r="E265" s="10">
        <v>12</v>
      </c>
      <c r="F265" s="9" t="s">
        <v>985</v>
      </c>
      <c r="G265" s="11">
        <v>46238</v>
      </c>
      <c r="H265" s="12">
        <v>84.03</v>
      </c>
      <c r="I265" s="12">
        <v>77.31</v>
      </c>
      <c r="J265" s="9" t="s">
        <v>3</v>
      </c>
      <c r="K265" s="8">
        <v>0</v>
      </c>
    </row>
    <row r="266" spans="1:11">
      <c r="A266" s="2" t="s">
        <v>906</v>
      </c>
      <c r="B266" s="2" t="s">
        <v>983</v>
      </c>
      <c r="C266" s="9">
        <v>10013634</v>
      </c>
      <c r="D266" s="2" t="s">
        <v>1002</v>
      </c>
      <c r="E266" s="10">
        <v>12</v>
      </c>
      <c r="F266" s="9" t="s">
        <v>985</v>
      </c>
      <c r="G266" s="11">
        <v>46238</v>
      </c>
      <c r="H266" s="12">
        <v>66.760000000000005</v>
      </c>
      <c r="I266" s="12">
        <v>61.42</v>
      </c>
      <c r="J266" s="9" t="s">
        <v>3</v>
      </c>
      <c r="K266" s="8">
        <v>0</v>
      </c>
    </row>
    <row r="267" spans="1:11">
      <c r="A267" s="2" t="s">
        <v>949</v>
      </c>
      <c r="B267" s="2" t="s">
        <v>1003</v>
      </c>
      <c r="C267" s="9">
        <v>10013677</v>
      </c>
      <c r="D267" s="2" t="s">
        <v>1004</v>
      </c>
      <c r="E267" s="10">
        <v>12</v>
      </c>
      <c r="F267" s="9" t="s">
        <v>955</v>
      </c>
      <c r="G267" s="11">
        <v>46238</v>
      </c>
      <c r="H267" s="12">
        <v>102.03</v>
      </c>
      <c r="I267" s="12">
        <v>90.81</v>
      </c>
      <c r="J267" s="9" t="s">
        <v>3</v>
      </c>
      <c r="K267" s="8">
        <v>0</v>
      </c>
    </row>
    <row r="268" spans="1:11">
      <c r="A268" s="2" t="s">
        <v>949</v>
      </c>
      <c r="B268" s="2" t="s">
        <v>1003</v>
      </c>
      <c r="C268" s="9">
        <v>10013678</v>
      </c>
      <c r="D268" s="2" t="s">
        <v>1005</v>
      </c>
      <c r="E268" s="10">
        <v>12</v>
      </c>
      <c r="F268" s="9" t="s">
        <v>955</v>
      </c>
      <c r="G268" s="11">
        <v>46238</v>
      </c>
      <c r="H268" s="12">
        <v>94.24</v>
      </c>
      <c r="I268" s="12">
        <v>83.87</v>
      </c>
      <c r="J268" s="9" t="s">
        <v>3</v>
      </c>
      <c r="K268" s="8">
        <v>0</v>
      </c>
    </row>
    <row r="269" spans="1:11">
      <c r="A269" s="2" t="s">
        <v>949</v>
      </c>
      <c r="B269" s="2" t="s">
        <v>1003</v>
      </c>
      <c r="C269" s="9">
        <v>10013681</v>
      </c>
      <c r="D269" s="2" t="s">
        <v>1006</v>
      </c>
      <c r="E269" s="10">
        <v>12</v>
      </c>
      <c r="F269" s="9" t="s">
        <v>955</v>
      </c>
      <c r="G269" s="11">
        <v>46238</v>
      </c>
      <c r="H269" s="12">
        <v>94.24</v>
      </c>
      <c r="I269" s="12">
        <v>83.87</v>
      </c>
      <c r="J269" s="9" t="s">
        <v>3</v>
      </c>
      <c r="K269" s="8">
        <v>0</v>
      </c>
    </row>
    <row r="270" spans="1:11">
      <c r="A270" s="2" t="s">
        <v>949</v>
      </c>
      <c r="B270" s="2" t="s">
        <v>1003</v>
      </c>
      <c r="C270" s="9">
        <v>10013684</v>
      </c>
      <c r="D270" s="2" t="s">
        <v>1007</v>
      </c>
      <c r="E270" s="10">
        <v>12</v>
      </c>
      <c r="F270" s="9" t="s">
        <v>955</v>
      </c>
      <c r="G270" s="11">
        <v>46238</v>
      </c>
      <c r="H270" s="12">
        <v>102.03</v>
      </c>
      <c r="I270" s="12">
        <v>90.81</v>
      </c>
      <c r="J270" s="9" t="s">
        <v>3</v>
      </c>
      <c r="K270" s="8">
        <v>0</v>
      </c>
    </row>
    <row r="271" spans="1:11">
      <c r="A271" s="2" t="s">
        <v>949</v>
      </c>
      <c r="B271" s="2" t="s">
        <v>1003</v>
      </c>
      <c r="C271" s="9">
        <v>10013685</v>
      </c>
      <c r="D271" s="2" t="s">
        <v>1008</v>
      </c>
      <c r="E271" s="10">
        <v>12</v>
      </c>
      <c r="F271" s="9" t="s">
        <v>955</v>
      </c>
      <c r="G271" s="11">
        <v>46238</v>
      </c>
      <c r="H271" s="12">
        <v>102.03</v>
      </c>
      <c r="I271" s="12">
        <v>90.81</v>
      </c>
      <c r="J271" s="9" t="s">
        <v>3</v>
      </c>
      <c r="K271" s="8">
        <v>0</v>
      </c>
    </row>
    <row r="272" spans="1:11">
      <c r="A272" s="2" t="s">
        <v>949</v>
      </c>
      <c r="B272" s="2" t="s">
        <v>1003</v>
      </c>
      <c r="C272" s="9">
        <v>10013687</v>
      </c>
      <c r="D272" s="2" t="s">
        <v>1009</v>
      </c>
      <c r="E272" s="10">
        <v>12</v>
      </c>
      <c r="F272" s="9" t="s">
        <v>955</v>
      </c>
      <c r="G272" s="11">
        <v>46238</v>
      </c>
      <c r="H272" s="12">
        <v>124</v>
      </c>
      <c r="I272" s="12">
        <v>110.36</v>
      </c>
      <c r="J272" s="9" t="s">
        <v>3</v>
      </c>
      <c r="K272" s="8">
        <v>0</v>
      </c>
    </row>
    <row r="273" spans="1:11">
      <c r="A273" s="2" t="s">
        <v>949</v>
      </c>
      <c r="B273" s="2" t="s">
        <v>1003</v>
      </c>
      <c r="C273" s="9">
        <v>10013688</v>
      </c>
      <c r="D273" s="2" t="s">
        <v>1010</v>
      </c>
      <c r="E273" s="10">
        <v>12</v>
      </c>
      <c r="F273" s="9" t="s">
        <v>955</v>
      </c>
      <c r="G273" s="11">
        <v>46238</v>
      </c>
      <c r="H273" s="12">
        <v>124</v>
      </c>
      <c r="I273" s="12">
        <v>110.36</v>
      </c>
      <c r="J273" s="9" t="s">
        <v>3</v>
      </c>
      <c r="K273" s="8">
        <v>0</v>
      </c>
    </row>
    <row r="274" spans="1:11">
      <c r="A274" s="2" t="s">
        <v>949</v>
      </c>
      <c r="B274" s="2" t="s">
        <v>1003</v>
      </c>
      <c r="C274" s="9">
        <v>10013689</v>
      </c>
      <c r="D274" s="2" t="s">
        <v>1011</v>
      </c>
      <c r="E274" s="10">
        <v>12</v>
      </c>
      <c r="F274" s="9" t="s">
        <v>955</v>
      </c>
      <c r="G274" s="11">
        <v>46238</v>
      </c>
      <c r="H274" s="12">
        <v>94.24</v>
      </c>
      <c r="I274" s="12">
        <v>83.87</v>
      </c>
      <c r="J274" s="9" t="s">
        <v>3</v>
      </c>
      <c r="K274" s="8">
        <v>0</v>
      </c>
    </row>
    <row r="275" spans="1:11">
      <c r="A275" s="2" t="s">
        <v>949</v>
      </c>
      <c r="B275" s="2" t="s">
        <v>1003</v>
      </c>
      <c r="C275" s="9">
        <v>10013690</v>
      </c>
      <c r="D275" s="2" t="s">
        <v>1012</v>
      </c>
      <c r="E275" s="10">
        <v>12</v>
      </c>
      <c r="F275" s="9" t="s">
        <v>955</v>
      </c>
      <c r="G275" s="11">
        <v>46238</v>
      </c>
      <c r="H275" s="12">
        <v>102.03</v>
      </c>
      <c r="I275" s="12">
        <v>90.81</v>
      </c>
      <c r="J275" s="9" t="s">
        <v>3</v>
      </c>
      <c r="K275" s="8">
        <v>0</v>
      </c>
    </row>
    <row r="276" spans="1:11">
      <c r="A276" s="2" t="s">
        <v>949</v>
      </c>
      <c r="B276" s="2" t="s">
        <v>1003</v>
      </c>
      <c r="C276" s="9">
        <v>10013693</v>
      </c>
      <c r="D276" s="2" t="s">
        <v>1013</v>
      </c>
      <c r="E276" s="10">
        <v>12</v>
      </c>
      <c r="F276" s="9" t="s">
        <v>955</v>
      </c>
      <c r="G276" s="11">
        <v>46238</v>
      </c>
      <c r="H276" s="12">
        <v>94.24</v>
      </c>
      <c r="I276" s="12">
        <v>83.87</v>
      </c>
      <c r="J276" s="9" t="s">
        <v>3</v>
      </c>
      <c r="K276" s="8">
        <v>0</v>
      </c>
    </row>
    <row r="277" spans="1:11">
      <c r="A277" s="2" t="s">
        <v>949</v>
      </c>
      <c r="B277" s="2" t="s">
        <v>950</v>
      </c>
      <c r="C277" s="9">
        <v>10013694</v>
      </c>
      <c r="D277" s="2" t="s">
        <v>1014</v>
      </c>
      <c r="E277" s="10">
        <v>6</v>
      </c>
      <c r="F277" s="9" t="s">
        <v>1015</v>
      </c>
      <c r="G277" s="11">
        <v>46238</v>
      </c>
      <c r="H277" s="12">
        <v>59.3</v>
      </c>
      <c r="I277" s="12">
        <v>52.78</v>
      </c>
      <c r="J277" s="9" t="s">
        <v>3</v>
      </c>
      <c r="K277" s="8">
        <v>0</v>
      </c>
    </row>
    <row r="278" spans="1:11">
      <c r="A278" s="2" t="s">
        <v>949</v>
      </c>
      <c r="B278" s="2" t="s">
        <v>950</v>
      </c>
      <c r="C278" s="9">
        <v>10013696</v>
      </c>
      <c r="D278" s="2" t="s">
        <v>1016</v>
      </c>
      <c r="E278" s="10">
        <v>6</v>
      </c>
      <c r="F278" s="9" t="s">
        <v>1015</v>
      </c>
      <c r="G278" s="11">
        <v>46238</v>
      </c>
      <c r="H278" s="12">
        <v>59.3</v>
      </c>
      <c r="I278" s="12">
        <v>52.78</v>
      </c>
      <c r="J278" s="9" t="s">
        <v>3</v>
      </c>
      <c r="K278" s="8">
        <v>0</v>
      </c>
    </row>
    <row r="279" spans="1:11">
      <c r="A279" s="2" t="s">
        <v>949</v>
      </c>
      <c r="B279" s="2" t="s">
        <v>950</v>
      </c>
      <c r="C279" s="9">
        <v>10013697</v>
      </c>
      <c r="D279" s="2" t="s">
        <v>1017</v>
      </c>
      <c r="E279" s="10">
        <v>6</v>
      </c>
      <c r="F279" s="9" t="s">
        <v>1015</v>
      </c>
      <c r="G279" s="11">
        <v>46238</v>
      </c>
      <c r="H279" s="12">
        <v>59.3</v>
      </c>
      <c r="I279" s="12">
        <v>52.78</v>
      </c>
      <c r="J279" s="9" t="s">
        <v>3</v>
      </c>
      <c r="K279" s="8">
        <v>0</v>
      </c>
    </row>
    <row r="280" spans="1:11">
      <c r="A280" s="2" t="s">
        <v>949</v>
      </c>
      <c r="B280" s="2" t="s">
        <v>950</v>
      </c>
      <c r="C280" s="9">
        <v>10013698</v>
      </c>
      <c r="D280" s="2" t="s">
        <v>1018</v>
      </c>
      <c r="E280" s="10">
        <v>6</v>
      </c>
      <c r="F280" s="9" t="s">
        <v>1015</v>
      </c>
      <c r="G280" s="11">
        <v>46238</v>
      </c>
      <c r="H280" s="12">
        <v>59.3</v>
      </c>
      <c r="I280" s="12">
        <v>52.78</v>
      </c>
      <c r="J280" s="9" t="s">
        <v>3</v>
      </c>
      <c r="K280" s="8">
        <v>0</v>
      </c>
    </row>
    <row r="281" spans="1:11">
      <c r="A281" s="2" t="s">
        <v>906</v>
      </c>
      <c r="B281" s="2" t="s">
        <v>1019</v>
      </c>
      <c r="C281" s="9">
        <v>10013700</v>
      </c>
      <c r="D281" s="2" t="s">
        <v>1020</v>
      </c>
      <c r="E281" s="10">
        <v>2</v>
      </c>
      <c r="F281" s="9" t="s">
        <v>989</v>
      </c>
      <c r="G281" s="11">
        <v>46238</v>
      </c>
      <c r="H281" s="12">
        <v>58.87</v>
      </c>
      <c r="I281" s="12">
        <v>54.16</v>
      </c>
      <c r="J281" s="9" t="s">
        <v>3</v>
      </c>
      <c r="K281" s="8">
        <v>1</v>
      </c>
    </row>
    <row r="282" spans="1:11">
      <c r="A282" s="2" t="s">
        <v>906</v>
      </c>
      <c r="B282" s="2" t="s">
        <v>1019</v>
      </c>
      <c r="C282" s="9">
        <v>10013701</v>
      </c>
      <c r="D282" s="2" t="s">
        <v>1021</v>
      </c>
      <c r="E282" s="10">
        <v>2</v>
      </c>
      <c r="F282" s="9" t="s">
        <v>989</v>
      </c>
      <c r="G282" s="11">
        <v>46238</v>
      </c>
      <c r="H282" s="12">
        <v>60.43</v>
      </c>
      <c r="I282" s="12">
        <v>55.6</v>
      </c>
      <c r="J282" s="9" t="s">
        <v>3</v>
      </c>
      <c r="K282" s="8">
        <v>1</v>
      </c>
    </row>
    <row r="283" spans="1:11">
      <c r="A283" s="2" t="s">
        <v>906</v>
      </c>
      <c r="B283" s="2" t="s">
        <v>1019</v>
      </c>
      <c r="C283" s="9">
        <v>10013706</v>
      </c>
      <c r="D283" s="2" t="s">
        <v>1022</v>
      </c>
      <c r="E283" s="10">
        <v>2</v>
      </c>
      <c r="F283" s="9" t="s">
        <v>1023</v>
      </c>
      <c r="G283" s="11">
        <v>46238</v>
      </c>
      <c r="H283" s="12">
        <v>48.91</v>
      </c>
      <c r="I283" s="12">
        <v>45</v>
      </c>
      <c r="J283" s="9" t="s">
        <v>3</v>
      </c>
      <c r="K283" s="8">
        <v>1</v>
      </c>
    </row>
    <row r="284" spans="1:11">
      <c r="A284" s="2" t="s">
        <v>906</v>
      </c>
      <c r="B284" s="2" t="s">
        <v>1019</v>
      </c>
      <c r="C284" s="9">
        <v>10013711</v>
      </c>
      <c r="D284" s="2" t="s">
        <v>1024</v>
      </c>
      <c r="E284" s="10">
        <v>6</v>
      </c>
      <c r="F284" s="9" t="s">
        <v>985</v>
      </c>
      <c r="G284" s="11">
        <v>46238</v>
      </c>
      <c r="H284" s="12">
        <v>79.569999999999993</v>
      </c>
      <c r="I284" s="12">
        <v>73.2</v>
      </c>
      <c r="J284" s="9" t="s">
        <v>3</v>
      </c>
      <c r="K284" s="8">
        <v>0</v>
      </c>
    </row>
    <row r="285" spans="1:11">
      <c r="A285" s="2" t="s">
        <v>906</v>
      </c>
      <c r="B285" s="2" t="s">
        <v>1019</v>
      </c>
      <c r="C285" s="9">
        <v>10013712</v>
      </c>
      <c r="D285" s="2" t="s">
        <v>1025</v>
      </c>
      <c r="E285" s="10">
        <v>6</v>
      </c>
      <c r="F285" s="9" t="s">
        <v>985</v>
      </c>
      <c r="G285" s="11">
        <v>46238</v>
      </c>
      <c r="H285" s="12">
        <v>87.27</v>
      </c>
      <c r="I285" s="12">
        <v>80.290000000000006</v>
      </c>
      <c r="J285" s="9" t="s">
        <v>3</v>
      </c>
      <c r="K285" s="8">
        <v>0</v>
      </c>
    </row>
    <row r="286" spans="1:11">
      <c r="A286" s="2" t="s">
        <v>906</v>
      </c>
      <c r="B286" s="2" t="s">
        <v>1019</v>
      </c>
      <c r="C286" s="9">
        <v>10013714</v>
      </c>
      <c r="D286" s="2" t="s">
        <v>1026</v>
      </c>
      <c r="E286" s="10">
        <v>6</v>
      </c>
      <c r="F286" s="9" t="s">
        <v>985</v>
      </c>
      <c r="G286" s="11">
        <v>46238</v>
      </c>
      <c r="H286" s="12">
        <v>59.48</v>
      </c>
      <c r="I286" s="12">
        <v>54.72</v>
      </c>
      <c r="J286" s="9" t="s">
        <v>3</v>
      </c>
      <c r="K286" s="8">
        <v>0</v>
      </c>
    </row>
    <row r="287" spans="1:11">
      <c r="A287" s="2" t="s">
        <v>906</v>
      </c>
      <c r="B287" s="2" t="s">
        <v>977</v>
      </c>
      <c r="C287" s="9">
        <v>10013721</v>
      </c>
      <c r="D287" s="2" t="s">
        <v>1027</v>
      </c>
      <c r="E287" s="10">
        <v>2</v>
      </c>
      <c r="F287" s="9" t="s">
        <v>997</v>
      </c>
      <c r="G287" s="11">
        <v>46238</v>
      </c>
      <c r="H287" s="12">
        <v>36.56</v>
      </c>
      <c r="I287" s="12">
        <v>33.64</v>
      </c>
      <c r="J287" s="9" t="s">
        <v>3</v>
      </c>
      <c r="K287" s="8">
        <v>1</v>
      </c>
    </row>
    <row r="288" spans="1:11">
      <c r="A288" s="2" t="s">
        <v>949</v>
      </c>
      <c r="B288" s="2" t="s">
        <v>950</v>
      </c>
      <c r="C288" s="9">
        <v>10013724</v>
      </c>
      <c r="D288" s="2" t="s">
        <v>1028</v>
      </c>
      <c r="E288" s="10">
        <v>6</v>
      </c>
      <c r="F288" s="9" t="s">
        <v>1015</v>
      </c>
      <c r="G288" s="11">
        <v>46238</v>
      </c>
      <c r="H288" s="12">
        <v>59.3</v>
      </c>
      <c r="I288" s="12">
        <v>52.78</v>
      </c>
      <c r="J288" s="9" t="s">
        <v>3</v>
      </c>
      <c r="K288" s="8">
        <v>0</v>
      </c>
    </row>
    <row r="289" spans="1:11">
      <c r="A289" s="2" t="s">
        <v>906</v>
      </c>
      <c r="B289" s="2" t="s">
        <v>1019</v>
      </c>
      <c r="C289" s="9">
        <v>10013730</v>
      </c>
      <c r="D289" s="2" t="s">
        <v>1029</v>
      </c>
      <c r="E289" s="10">
        <v>2</v>
      </c>
      <c r="F289" s="9" t="s">
        <v>989</v>
      </c>
      <c r="G289" s="11">
        <v>46238</v>
      </c>
      <c r="H289" s="12">
        <v>47.36</v>
      </c>
      <c r="I289" s="12">
        <v>43.57</v>
      </c>
      <c r="J289" s="9" t="s">
        <v>3</v>
      </c>
      <c r="K289" s="8">
        <v>1</v>
      </c>
    </row>
    <row r="290" spans="1:11">
      <c r="A290" s="2" t="s">
        <v>906</v>
      </c>
      <c r="B290" s="2" t="s">
        <v>1019</v>
      </c>
      <c r="C290" s="9">
        <v>10013731</v>
      </c>
      <c r="D290" s="2" t="s">
        <v>1030</v>
      </c>
      <c r="E290" s="10">
        <v>2</v>
      </c>
      <c r="F290" s="9" t="s">
        <v>989</v>
      </c>
      <c r="G290" s="11">
        <v>46238</v>
      </c>
      <c r="H290" s="12">
        <v>38.11</v>
      </c>
      <c r="I290" s="12">
        <v>35.06</v>
      </c>
      <c r="J290" s="9" t="s">
        <v>3</v>
      </c>
      <c r="K290" s="8">
        <v>1</v>
      </c>
    </row>
    <row r="291" spans="1:11">
      <c r="A291" s="2" t="s">
        <v>949</v>
      </c>
      <c r="B291" s="2" t="s">
        <v>950</v>
      </c>
      <c r="C291" s="9">
        <v>10013737</v>
      </c>
      <c r="D291" s="2" t="s">
        <v>1031</v>
      </c>
      <c r="E291" s="10">
        <v>6</v>
      </c>
      <c r="F291" s="9" t="s">
        <v>1015</v>
      </c>
      <c r="G291" s="11">
        <v>46238</v>
      </c>
      <c r="H291" s="12">
        <v>59.3</v>
      </c>
      <c r="I291" s="12">
        <v>52.78</v>
      </c>
      <c r="J291" s="9" t="s">
        <v>3</v>
      </c>
      <c r="K291" s="8">
        <v>0</v>
      </c>
    </row>
    <row r="292" spans="1:11">
      <c r="A292" s="2" t="s">
        <v>949</v>
      </c>
      <c r="B292" s="2" t="s">
        <v>1003</v>
      </c>
      <c r="C292" s="9">
        <v>10013738</v>
      </c>
      <c r="D292" s="2" t="s">
        <v>1032</v>
      </c>
      <c r="E292" s="10">
        <v>12</v>
      </c>
      <c r="F292" s="9" t="s">
        <v>955</v>
      </c>
      <c r="G292" s="11">
        <v>46238</v>
      </c>
      <c r="H292" s="12">
        <v>102.03</v>
      </c>
      <c r="I292" s="12">
        <v>90.81</v>
      </c>
      <c r="J292" s="9" t="s">
        <v>3</v>
      </c>
      <c r="K292" s="8">
        <v>0</v>
      </c>
    </row>
    <row r="293" spans="1:11">
      <c r="A293" s="2" t="s">
        <v>906</v>
      </c>
      <c r="B293" s="2" t="s">
        <v>1019</v>
      </c>
      <c r="C293" s="9">
        <v>10013742</v>
      </c>
      <c r="D293" s="2" t="s">
        <v>1033</v>
      </c>
      <c r="E293" s="10">
        <v>6</v>
      </c>
      <c r="F293" s="9" t="s">
        <v>982</v>
      </c>
      <c r="G293" s="11">
        <v>46238</v>
      </c>
      <c r="H293" s="12">
        <v>60.32</v>
      </c>
      <c r="I293" s="12">
        <v>55.49</v>
      </c>
      <c r="J293" s="9" t="s">
        <v>3</v>
      </c>
      <c r="K293" s="8">
        <v>0</v>
      </c>
    </row>
    <row r="294" spans="1:11">
      <c r="A294" s="2" t="s">
        <v>949</v>
      </c>
      <c r="B294" s="2" t="s">
        <v>950</v>
      </c>
      <c r="C294" s="9">
        <v>10013744</v>
      </c>
      <c r="D294" s="2" t="s">
        <v>1034</v>
      </c>
      <c r="E294" s="10">
        <v>6</v>
      </c>
      <c r="F294" s="9" t="s">
        <v>1015</v>
      </c>
      <c r="G294" s="11">
        <v>46238</v>
      </c>
      <c r="H294" s="12">
        <v>59.3</v>
      </c>
      <c r="I294" s="12">
        <v>52.78</v>
      </c>
      <c r="J294" s="9" t="s">
        <v>3</v>
      </c>
      <c r="K294" s="8">
        <v>0</v>
      </c>
    </row>
    <row r="295" spans="1:11">
      <c r="A295" s="2" t="s">
        <v>949</v>
      </c>
      <c r="B295" s="2" t="s">
        <v>950</v>
      </c>
      <c r="C295" s="9">
        <v>10013745</v>
      </c>
      <c r="D295" s="2" t="s">
        <v>1035</v>
      </c>
      <c r="E295" s="10">
        <v>6</v>
      </c>
      <c r="F295" s="9" t="s">
        <v>1015</v>
      </c>
      <c r="G295" s="11">
        <v>46238</v>
      </c>
      <c r="H295" s="12">
        <v>65.39</v>
      </c>
      <c r="I295" s="12">
        <v>58.2</v>
      </c>
      <c r="J295" s="9" t="s">
        <v>3</v>
      </c>
      <c r="K295" s="8">
        <v>0</v>
      </c>
    </row>
    <row r="296" spans="1:11">
      <c r="A296" s="2" t="s">
        <v>949</v>
      </c>
      <c r="B296" s="2" t="s">
        <v>950</v>
      </c>
      <c r="C296" s="9">
        <v>10013746</v>
      </c>
      <c r="D296" s="2" t="s">
        <v>1036</v>
      </c>
      <c r="E296" s="10">
        <v>6</v>
      </c>
      <c r="F296" s="9" t="s">
        <v>1015</v>
      </c>
      <c r="G296" s="11">
        <v>46238</v>
      </c>
      <c r="H296" s="12">
        <v>59.3</v>
      </c>
      <c r="I296" s="12">
        <v>52.78</v>
      </c>
      <c r="J296" s="9" t="s">
        <v>3</v>
      </c>
      <c r="K296" s="8">
        <v>0</v>
      </c>
    </row>
    <row r="297" spans="1:11">
      <c r="A297" s="2" t="s">
        <v>949</v>
      </c>
      <c r="B297" s="2" t="s">
        <v>953</v>
      </c>
      <c r="C297" s="9">
        <v>10013748</v>
      </c>
      <c r="D297" s="2" t="s">
        <v>1037</v>
      </c>
      <c r="E297" s="10">
        <v>6</v>
      </c>
      <c r="F297" s="9" t="s">
        <v>955</v>
      </c>
      <c r="G297" s="11">
        <v>46238</v>
      </c>
      <c r="H297" s="12">
        <v>41.93</v>
      </c>
      <c r="I297" s="12">
        <v>37.32</v>
      </c>
      <c r="J297" s="9" t="s">
        <v>3</v>
      </c>
      <c r="K297" s="8">
        <v>0</v>
      </c>
    </row>
    <row r="298" spans="1:11">
      <c r="A298" s="2" t="s">
        <v>906</v>
      </c>
      <c r="B298" s="2" t="s">
        <v>1019</v>
      </c>
      <c r="C298" s="9">
        <v>10013757</v>
      </c>
      <c r="D298" s="2" t="s">
        <v>1038</v>
      </c>
      <c r="E298" s="10">
        <v>2</v>
      </c>
      <c r="F298" s="9" t="s">
        <v>989</v>
      </c>
      <c r="G298" s="11">
        <v>46238</v>
      </c>
      <c r="H298" s="12">
        <v>57.98</v>
      </c>
      <c r="I298" s="12">
        <v>53.34</v>
      </c>
      <c r="J298" s="9" t="s">
        <v>3</v>
      </c>
      <c r="K298" s="8">
        <v>1</v>
      </c>
    </row>
    <row r="299" spans="1:11">
      <c r="A299" s="2" t="s">
        <v>906</v>
      </c>
      <c r="B299" s="2" t="s">
        <v>1019</v>
      </c>
      <c r="C299" s="9">
        <v>10013759</v>
      </c>
      <c r="D299" s="2" t="s">
        <v>1039</v>
      </c>
      <c r="E299" s="10">
        <v>2</v>
      </c>
      <c r="F299" s="9" t="s">
        <v>989</v>
      </c>
      <c r="G299" s="11">
        <v>46238</v>
      </c>
      <c r="H299" s="12">
        <v>48.58</v>
      </c>
      <c r="I299" s="12">
        <v>44.69</v>
      </c>
      <c r="J299" s="9" t="s">
        <v>3</v>
      </c>
      <c r="K299" s="8">
        <v>1</v>
      </c>
    </row>
    <row r="300" spans="1:11">
      <c r="A300" s="2" t="s">
        <v>906</v>
      </c>
      <c r="B300" s="2" t="s">
        <v>1019</v>
      </c>
      <c r="C300" s="9">
        <v>10013762</v>
      </c>
      <c r="D300" s="2" t="s">
        <v>1040</v>
      </c>
      <c r="E300" s="10">
        <v>2</v>
      </c>
      <c r="F300" s="9" t="s">
        <v>989</v>
      </c>
      <c r="G300" s="11">
        <v>46238</v>
      </c>
      <c r="H300" s="12">
        <v>55.98</v>
      </c>
      <c r="I300" s="12">
        <v>51.5</v>
      </c>
      <c r="J300" s="9" t="s">
        <v>3</v>
      </c>
      <c r="K300" s="8">
        <v>1</v>
      </c>
    </row>
    <row r="301" spans="1:11">
      <c r="A301" s="2" t="s">
        <v>906</v>
      </c>
      <c r="B301" s="2" t="s">
        <v>1019</v>
      </c>
      <c r="C301" s="9">
        <v>10013765</v>
      </c>
      <c r="D301" s="2" t="s">
        <v>1041</v>
      </c>
      <c r="E301" s="10">
        <v>12</v>
      </c>
      <c r="F301" s="9" t="s">
        <v>982</v>
      </c>
      <c r="G301" s="11">
        <v>46238</v>
      </c>
      <c r="H301" s="12">
        <v>73.55</v>
      </c>
      <c r="I301" s="12">
        <v>67.67</v>
      </c>
      <c r="J301" s="9" t="s">
        <v>3</v>
      </c>
      <c r="K301" s="8">
        <v>0</v>
      </c>
    </row>
    <row r="302" spans="1:11">
      <c r="A302" s="2" t="s">
        <v>906</v>
      </c>
      <c r="B302" s="2" t="s">
        <v>1019</v>
      </c>
      <c r="C302" s="9">
        <v>10013766</v>
      </c>
      <c r="D302" s="2" t="s">
        <v>1042</v>
      </c>
      <c r="E302" s="10">
        <v>12</v>
      </c>
      <c r="F302" s="9" t="s">
        <v>982</v>
      </c>
      <c r="G302" s="11">
        <v>46238</v>
      </c>
      <c r="H302" s="12">
        <v>77.209999999999994</v>
      </c>
      <c r="I302" s="12">
        <v>71.03</v>
      </c>
      <c r="J302" s="9" t="s">
        <v>3</v>
      </c>
      <c r="K302" s="8">
        <v>0</v>
      </c>
    </row>
    <row r="303" spans="1:11">
      <c r="A303" s="2" t="s">
        <v>906</v>
      </c>
      <c r="B303" s="2" t="s">
        <v>1019</v>
      </c>
      <c r="C303" s="9">
        <v>10013767</v>
      </c>
      <c r="D303" s="2" t="s">
        <v>1043</v>
      </c>
      <c r="E303" s="10">
        <v>12</v>
      </c>
      <c r="F303" s="9" t="s">
        <v>982</v>
      </c>
      <c r="G303" s="11">
        <v>46238</v>
      </c>
      <c r="H303" s="12">
        <v>74.16</v>
      </c>
      <c r="I303" s="12">
        <v>68.23</v>
      </c>
      <c r="J303" s="9" t="s">
        <v>3</v>
      </c>
      <c r="K303" s="8">
        <v>0</v>
      </c>
    </row>
    <row r="304" spans="1:11">
      <c r="A304" s="2" t="s">
        <v>906</v>
      </c>
      <c r="B304" s="2" t="s">
        <v>1019</v>
      </c>
      <c r="C304" s="9">
        <v>10013769</v>
      </c>
      <c r="D304" s="2" t="s">
        <v>1044</v>
      </c>
      <c r="E304" s="10">
        <v>16</v>
      </c>
      <c r="F304" s="9" t="s">
        <v>1045</v>
      </c>
      <c r="G304" s="11">
        <v>46238</v>
      </c>
      <c r="H304" s="12">
        <v>55.74</v>
      </c>
      <c r="I304" s="12">
        <v>51.28</v>
      </c>
      <c r="J304" s="9" t="s">
        <v>3</v>
      </c>
      <c r="K304" s="8">
        <v>0</v>
      </c>
    </row>
    <row r="305" spans="1:11">
      <c r="A305" s="2" t="s">
        <v>949</v>
      </c>
      <c r="B305" s="2" t="s">
        <v>950</v>
      </c>
      <c r="C305" s="9">
        <v>10013770</v>
      </c>
      <c r="D305" s="2" t="s">
        <v>1046</v>
      </c>
      <c r="E305" s="10">
        <v>6</v>
      </c>
      <c r="F305" s="9" t="s">
        <v>1015</v>
      </c>
      <c r="G305" s="11">
        <v>46238</v>
      </c>
      <c r="H305" s="12">
        <v>59.3</v>
      </c>
      <c r="I305" s="12">
        <v>52.78</v>
      </c>
      <c r="J305" s="9" t="s">
        <v>3</v>
      </c>
      <c r="K305" s="8">
        <v>0</v>
      </c>
    </row>
    <row r="306" spans="1:11">
      <c r="A306" s="2" t="s">
        <v>906</v>
      </c>
      <c r="B306" s="2" t="s">
        <v>1019</v>
      </c>
      <c r="C306" s="9">
        <v>10013772</v>
      </c>
      <c r="D306" s="2" t="s">
        <v>1047</v>
      </c>
      <c r="E306" s="10">
        <v>9</v>
      </c>
      <c r="F306" s="9" t="s">
        <v>982</v>
      </c>
      <c r="G306" s="11">
        <v>46238</v>
      </c>
      <c r="H306" s="12">
        <v>28.24</v>
      </c>
      <c r="I306" s="12">
        <v>25.13</v>
      </c>
      <c r="J306" s="9" t="s">
        <v>3</v>
      </c>
      <c r="K306" s="8">
        <v>0</v>
      </c>
    </row>
    <row r="307" spans="1:11">
      <c r="A307" s="2" t="s">
        <v>607</v>
      </c>
      <c r="B307" s="2" t="s">
        <v>1048</v>
      </c>
      <c r="C307" s="9">
        <v>10013784</v>
      </c>
      <c r="D307" s="2" t="s">
        <v>1049</v>
      </c>
      <c r="E307" s="10">
        <v>12</v>
      </c>
      <c r="F307" s="9" t="s">
        <v>1050</v>
      </c>
      <c r="G307" s="11">
        <v>46238</v>
      </c>
      <c r="H307" s="12">
        <v>24.72</v>
      </c>
      <c r="I307" s="12">
        <v>22</v>
      </c>
      <c r="J307" s="9" t="s">
        <v>3</v>
      </c>
      <c r="K307" s="8">
        <v>0</v>
      </c>
    </row>
    <row r="308" spans="1:11">
      <c r="A308" s="2" t="s">
        <v>607</v>
      </c>
      <c r="B308" s="2" t="s">
        <v>1048</v>
      </c>
      <c r="C308" s="9">
        <v>10013785</v>
      </c>
      <c r="D308" s="2" t="s">
        <v>1051</v>
      </c>
      <c r="E308" s="10">
        <v>12</v>
      </c>
      <c r="F308" s="9" t="s">
        <v>1050</v>
      </c>
      <c r="G308" s="11">
        <v>46238</v>
      </c>
      <c r="H308" s="12">
        <v>24.72</v>
      </c>
      <c r="I308" s="12">
        <v>22</v>
      </c>
      <c r="J308" s="9" t="s">
        <v>3</v>
      </c>
      <c r="K308" s="8">
        <v>0</v>
      </c>
    </row>
    <row r="309" spans="1:11">
      <c r="A309" s="2" t="s">
        <v>607</v>
      </c>
      <c r="B309" s="2" t="s">
        <v>1048</v>
      </c>
      <c r="C309" s="9">
        <v>10013786</v>
      </c>
      <c r="D309" s="2" t="s">
        <v>1052</v>
      </c>
      <c r="E309" s="10">
        <v>12</v>
      </c>
      <c r="F309" s="9" t="s">
        <v>1050</v>
      </c>
      <c r="G309" s="11">
        <v>46238</v>
      </c>
      <c r="H309" s="12">
        <v>24.72</v>
      </c>
      <c r="I309" s="12">
        <v>22</v>
      </c>
      <c r="J309" s="9" t="s">
        <v>3</v>
      </c>
      <c r="K309" s="8">
        <v>0</v>
      </c>
    </row>
    <row r="310" spans="1:11">
      <c r="A310" s="2" t="s">
        <v>906</v>
      </c>
      <c r="B310" s="2" t="s">
        <v>977</v>
      </c>
      <c r="C310" s="9">
        <v>10013975</v>
      </c>
      <c r="D310" s="2" t="s">
        <v>1053</v>
      </c>
      <c r="E310" s="10">
        <v>2</v>
      </c>
      <c r="F310" s="9" t="s">
        <v>991</v>
      </c>
      <c r="G310" s="11">
        <v>46238</v>
      </c>
      <c r="H310" s="12">
        <v>42.42</v>
      </c>
      <c r="I310" s="12">
        <v>39.03</v>
      </c>
      <c r="J310" s="9" t="s">
        <v>3</v>
      </c>
      <c r="K310" s="8">
        <v>1</v>
      </c>
    </row>
    <row r="311" spans="1:11">
      <c r="A311" s="2" t="s">
        <v>906</v>
      </c>
      <c r="B311" s="2" t="s">
        <v>977</v>
      </c>
      <c r="C311" s="9">
        <v>10013985</v>
      </c>
      <c r="D311" s="2" t="s">
        <v>1054</v>
      </c>
      <c r="E311" s="10">
        <v>1</v>
      </c>
      <c r="F311" s="9" t="s">
        <v>1055</v>
      </c>
      <c r="G311" s="11">
        <v>46238</v>
      </c>
      <c r="H311" s="12">
        <v>44</v>
      </c>
      <c r="I311" s="12">
        <v>40.479999999999997</v>
      </c>
      <c r="J311" s="9" t="s">
        <v>3</v>
      </c>
      <c r="K311" s="8">
        <v>1</v>
      </c>
    </row>
    <row r="312" spans="1:11">
      <c r="A312" s="2" t="s">
        <v>906</v>
      </c>
      <c r="B312" s="2" t="s">
        <v>977</v>
      </c>
      <c r="C312" s="9">
        <v>10013989</v>
      </c>
      <c r="D312" s="2" t="s">
        <v>1056</v>
      </c>
      <c r="E312" s="10">
        <v>2</v>
      </c>
      <c r="F312" s="9" t="s">
        <v>1023</v>
      </c>
      <c r="G312" s="11">
        <v>46238</v>
      </c>
      <c r="H312" s="12">
        <v>34.25</v>
      </c>
      <c r="I312" s="12">
        <v>31.51</v>
      </c>
      <c r="J312" s="9" t="s">
        <v>3</v>
      </c>
      <c r="K312" s="8">
        <v>1</v>
      </c>
    </row>
    <row r="313" spans="1:11">
      <c r="A313" s="2" t="s">
        <v>906</v>
      </c>
      <c r="B313" s="2" t="s">
        <v>977</v>
      </c>
      <c r="C313" s="9">
        <v>10014156</v>
      </c>
      <c r="D313" s="2" t="s">
        <v>1057</v>
      </c>
      <c r="E313" s="10">
        <v>2</v>
      </c>
      <c r="F313" s="9" t="s">
        <v>1023</v>
      </c>
      <c r="G313" s="11">
        <v>46238</v>
      </c>
      <c r="H313" s="12">
        <v>30.78</v>
      </c>
      <c r="I313" s="12">
        <v>28.32</v>
      </c>
      <c r="J313" s="9" t="s">
        <v>3</v>
      </c>
      <c r="K313" s="8">
        <v>1</v>
      </c>
    </row>
    <row r="314" spans="1:11">
      <c r="A314" s="2" t="s">
        <v>906</v>
      </c>
      <c r="B314" s="2" t="s">
        <v>977</v>
      </c>
      <c r="C314" s="9">
        <v>10014217</v>
      </c>
      <c r="D314" s="2" t="s">
        <v>1058</v>
      </c>
      <c r="E314" s="10">
        <v>2</v>
      </c>
      <c r="F314" s="9" t="s">
        <v>991</v>
      </c>
      <c r="G314" s="11">
        <v>46238</v>
      </c>
      <c r="H314" s="12">
        <v>43.27</v>
      </c>
      <c r="I314" s="12">
        <v>39.81</v>
      </c>
      <c r="J314" s="9" t="s">
        <v>3</v>
      </c>
      <c r="K314" s="8">
        <v>1</v>
      </c>
    </row>
    <row r="315" spans="1:11">
      <c r="A315" s="2" t="s">
        <v>906</v>
      </c>
      <c r="B315" s="2" t="s">
        <v>1019</v>
      </c>
      <c r="C315" s="9">
        <v>10014405</v>
      </c>
      <c r="D315" s="2" t="s">
        <v>1059</v>
      </c>
      <c r="E315" s="10">
        <v>12</v>
      </c>
      <c r="F315" s="9" t="s">
        <v>1060</v>
      </c>
      <c r="G315" s="11">
        <v>46238</v>
      </c>
      <c r="H315" s="12">
        <v>89.38</v>
      </c>
      <c r="I315" s="12">
        <v>82.28</v>
      </c>
      <c r="J315" s="9" t="s">
        <v>3</v>
      </c>
      <c r="K315" s="8">
        <v>0</v>
      </c>
    </row>
    <row r="316" spans="1:11">
      <c r="A316" s="2" t="s">
        <v>906</v>
      </c>
      <c r="B316" s="2" t="s">
        <v>1019</v>
      </c>
      <c r="C316" s="9">
        <v>10014406</v>
      </c>
      <c r="D316" s="2" t="s">
        <v>1061</v>
      </c>
      <c r="E316" s="10">
        <v>12</v>
      </c>
      <c r="F316" s="9" t="s">
        <v>1060</v>
      </c>
      <c r="G316" s="11">
        <v>46238</v>
      </c>
      <c r="H316" s="12">
        <v>92.73</v>
      </c>
      <c r="I316" s="12">
        <v>85.36</v>
      </c>
      <c r="J316" s="9" t="s">
        <v>3</v>
      </c>
      <c r="K316" s="8">
        <v>0</v>
      </c>
    </row>
    <row r="317" spans="1:11">
      <c r="A317" s="2" t="s">
        <v>906</v>
      </c>
      <c r="B317" s="2" t="s">
        <v>1019</v>
      </c>
      <c r="C317" s="9">
        <v>10014409</v>
      </c>
      <c r="D317" s="2" t="s">
        <v>1062</v>
      </c>
      <c r="E317" s="10">
        <v>16</v>
      </c>
      <c r="F317" s="9" t="s">
        <v>1045</v>
      </c>
      <c r="G317" s="11">
        <v>46238</v>
      </c>
      <c r="H317" s="12">
        <v>49.9</v>
      </c>
      <c r="I317" s="12">
        <v>45.91</v>
      </c>
      <c r="J317" s="9" t="s">
        <v>3</v>
      </c>
      <c r="K317" s="8">
        <v>0</v>
      </c>
    </row>
    <row r="318" spans="1:11">
      <c r="A318" s="2" t="s">
        <v>906</v>
      </c>
      <c r="B318" s="2" t="s">
        <v>983</v>
      </c>
      <c r="C318" s="9">
        <v>10014508</v>
      </c>
      <c r="D318" s="2" t="s">
        <v>1063</v>
      </c>
      <c r="E318" s="10">
        <v>8</v>
      </c>
      <c r="F318" s="9" t="s">
        <v>985</v>
      </c>
      <c r="G318" s="11">
        <v>46238</v>
      </c>
      <c r="H318" s="12">
        <v>68.08</v>
      </c>
      <c r="I318" s="12">
        <v>62.64</v>
      </c>
      <c r="J318" s="9" t="s">
        <v>3</v>
      </c>
      <c r="K318" s="8">
        <v>0</v>
      </c>
    </row>
    <row r="319" spans="1:11">
      <c r="A319" s="2" t="s">
        <v>906</v>
      </c>
      <c r="B319" s="2" t="s">
        <v>983</v>
      </c>
      <c r="C319" s="9">
        <v>10014509</v>
      </c>
      <c r="D319" s="2" t="s">
        <v>1064</v>
      </c>
      <c r="E319" s="10">
        <v>8</v>
      </c>
      <c r="F319" s="9" t="s">
        <v>985</v>
      </c>
      <c r="G319" s="11">
        <v>46238</v>
      </c>
      <c r="H319" s="12">
        <v>68.08</v>
      </c>
      <c r="I319" s="12">
        <v>62.64</v>
      </c>
      <c r="J319" s="9" t="s">
        <v>3</v>
      </c>
      <c r="K319" s="8">
        <v>0</v>
      </c>
    </row>
    <row r="320" spans="1:11">
      <c r="A320" s="2" t="s">
        <v>687</v>
      </c>
      <c r="B320" s="2" t="s">
        <v>729</v>
      </c>
      <c r="C320" s="9">
        <v>10015030</v>
      </c>
      <c r="D320" s="2" t="s">
        <v>1065</v>
      </c>
      <c r="E320" s="10">
        <v>12</v>
      </c>
      <c r="F320" s="9" t="s">
        <v>1066</v>
      </c>
      <c r="G320" s="11">
        <v>46238</v>
      </c>
      <c r="H320" s="12">
        <v>16.22</v>
      </c>
      <c r="I320" s="12">
        <v>14.44</v>
      </c>
      <c r="J320" s="9" t="s">
        <v>3</v>
      </c>
      <c r="K320" s="8">
        <v>0</v>
      </c>
    </row>
    <row r="321" spans="1:11">
      <c r="A321" s="2" t="s">
        <v>687</v>
      </c>
      <c r="B321" s="2" t="s">
        <v>729</v>
      </c>
      <c r="C321" s="9">
        <v>10015031</v>
      </c>
      <c r="D321" s="2" t="s">
        <v>1067</v>
      </c>
      <c r="E321" s="10">
        <v>12</v>
      </c>
      <c r="F321" s="9" t="s">
        <v>1068</v>
      </c>
      <c r="G321" s="11">
        <v>46238</v>
      </c>
      <c r="H321" s="12">
        <v>16.22</v>
      </c>
      <c r="I321" s="12">
        <v>14.44</v>
      </c>
      <c r="J321" s="9" t="s">
        <v>3</v>
      </c>
      <c r="K321" s="8">
        <v>0</v>
      </c>
    </row>
    <row r="322" spans="1:11">
      <c r="A322" s="2" t="s">
        <v>687</v>
      </c>
      <c r="B322" s="2" t="s">
        <v>729</v>
      </c>
      <c r="C322" s="9">
        <v>10015032</v>
      </c>
      <c r="D322" s="2" t="s">
        <v>1069</v>
      </c>
      <c r="E322" s="10">
        <v>12</v>
      </c>
      <c r="F322" s="9" t="s">
        <v>1066</v>
      </c>
      <c r="G322" s="11">
        <v>46238</v>
      </c>
      <c r="H322" s="12">
        <v>16.22</v>
      </c>
      <c r="I322" s="12">
        <v>14.44</v>
      </c>
      <c r="J322" s="9" t="s">
        <v>3</v>
      </c>
      <c r="K322" s="8">
        <v>0</v>
      </c>
    </row>
    <row r="323" spans="1:11">
      <c r="A323" s="2" t="s">
        <v>687</v>
      </c>
      <c r="B323" s="2" t="s">
        <v>729</v>
      </c>
      <c r="C323" s="9">
        <v>10015033</v>
      </c>
      <c r="D323" s="2" t="s">
        <v>1070</v>
      </c>
      <c r="E323" s="10">
        <v>12</v>
      </c>
      <c r="F323" s="9" t="s">
        <v>823</v>
      </c>
      <c r="G323" s="11">
        <v>46238</v>
      </c>
      <c r="H323" s="12">
        <v>16.22</v>
      </c>
      <c r="I323" s="12">
        <v>14.44</v>
      </c>
      <c r="J323" s="9" t="s">
        <v>3</v>
      </c>
      <c r="K323" s="8">
        <v>0</v>
      </c>
    </row>
    <row r="324" spans="1:11">
      <c r="A324" s="2" t="s">
        <v>687</v>
      </c>
      <c r="B324" s="2" t="s">
        <v>729</v>
      </c>
      <c r="C324" s="9">
        <v>10015066</v>
      </c>
      <c r="D324" s="2" t="s">
        <v>1071</v>
      </c>
      <c r="E324" s="10">
        <v>12</v>
      </c>
      <c r="F324" s="9" t="s">
        <v>731</v>
      </c>
      <c r="G324" s="11">
        <v>46238</v>
      </c>
      <c r="H324" s="12">
        <v>21.24</v>
      </c>
      <c r="I324" s="12">
        <v>18.899999999999999</v>
      </c>
      <c r="J324" s="9" t="s">
        <v>3</v>
      </c>
      <c r="K324" s="8">
        <v>0</v>
      </c>
    </row>
    <row r="325" spans="1:11">
      <c r="A325" s="2" t="s">
        <v>687</v>
      </c>
      <c r="B325" s="2" t="s">
        <v>729</v>
      </c>
      <c r="C325" s="9">
        <v>10015067</v>
      </c>
      <c r="D325" s="2" t="s">
        <v>1072</v>
      </c>
      <c r="E325" s="10">
        <v>12</v>
      </c>
      <c r="F325" s="9" t="s">
        <v>731</v>
      </c>
      <c r="G325" s="11">
        <v>46238</v>
      </c>
      <c r="H325" s="12">
        <v>21.24</v>
      </c>
      <c r="I325" s="12">
        <v>18.899999999999999</v>
      </c>
      <c r="J325" s="9" t="s">
        <v>3</v>
      </c>
      <c r="K325" s="8">
        <v>0</v>
      </c>
    </row>
    <row r="326" spans="1:11">
      <c r="A326" s="2" t="s">
        <v>687</v>
      </c>
      <c r="B326" s="2" t="s">
        <v>729</v>
      </c>
      <c r="C326" s="9">
        <v>10015068</v>
      </c>
      <c r="D326" s="2" t="s">
        <v>1073</v>
      </c>
      <c r="E326" s="10">
        <v>12</v>
      </c>
      <c r="F326" s="9" t="s">
        <v>731</v>
      </c>
      <c r="G326" s="11">
        <v>46238</v>
      </c>
      <c r="H326" s="12">
        <v>21.24</v>
      </c>
      <c r="I326" s="12">
        <v>18.899999999999999</v>
      </c>
      <c r="J326" s="9" t="s">
        <v>3</v>
      </c>
      <c r="K326" s="8">
        <v>0</v>
      </c>
    </row>
    <row r="327" spans="1:11">
      <c r="A327" s="2" t="s">
        <v>906</v>
      </c>
      <c r="B327" s="2" t="s">
        <v>983</v>
      </c>
      <c r="C327" s="9">
        <v>10015080</v>
      </c>
      <c r="D327" s="2" t="s">
        <v>1074</v>
      </c>
      <c r="E327" s="10">
        <v>10</v>
      </c>
      <c r="F327" s="9" t="s">
        <v>985</v>
      </c>
      <c r="G327" s="11">
        <v>46238</v>
      </c>
      <c r="H327" s="12">
        <v>66.599999999999994</v>
      </c>
      <c r="I327" s="12">
        <v>61.27</v>
      </c>
      <c r="J327" s="9" t="s">
        <v>3</v>
      </c>
      <c r="K327" s="8">
        <v>0</v>
      </c>
    </row>
    <row r="328" spans="1:11">
      <c r="A328" s="2" t="s">
        <v>687</v>
      </c>
      <c r="B328" s="2" t="s">
        <v>1075</v>
      </c>
      <c r="C328" s="9">
        <v>10015112</v>
      </c>
      <c r="D328" s="2" t="s">
        <v>1076</v>
      </c>
      <c r="E328" s="10">
        <v>8</v>
      </c>
      <c r="F328" s="9" t="s">
        <v>763</v>
      </c>
      <c r="G328" s="11">
        <v>46238</v>
      </c>
      <c r="H328" s="12">
        <v>59.34</v>
      </c>
      <c r="I328" s="12">
        <v>51.63</v>
      </c>
      <c r="J328" s="9" t="s">
        <v>3</v>
      </c>
      <c r="K328" s="8">
        <v>0</v>
      </c>
    </row>
    <row r="329" spans="1:11">
      <c r="A329" s="2" t="s">
        <v>842</v>
      </c>
      <c r="B329" s="2" t="s">
        <v>1077</v>
      </c>
      <c r="C329" s="9">
        <v>10015113</v>
      </c>
      <c r="D329" s="2" t="s">
        <v>1078</v>
      </c>
      <c r="E329" s="10">
        <v>3</v>
      </c>
      <c r="F329" s="9" t="s">
        <v>1079</v>
      </c>
      <c r="G329" s="11">
        <v>46238</v>
      </c>
      <c r="H329" s="12">
        <v>17.5</v>
      </c>
      <c r="I329" s="12">
        <v>16.62</v>
      </c>
      <c r="J329" s="9" t="s">
        <v>3</v>
      </c>
      <c r="K329" s="8">
        <v>1</v>
      </c>
    </row>
    <row r="330" spans="1:11">
      <c r="A330" s="2" t="s">
        <v>687</v>
      </c>
      <c r="B330" s="2" t="s">
        <v>1075</v>
      </c>
      <c r="C330" s="9">
        <v>10015118</v>
      </c>
      <c r="D330" s="2" t="s">
        <v>1080</v>
      </c>
      <c r="E330" s="10">
        <v>8</v>
      </c>
      <c r="F330" s="9" t="s">
        <v>811</v>
      </c>
      <c r="G330" s="11">
        <v>46238</v>
      </c>
      <c r="H330" s="12">
        <v>47.55</v>
      </c>
      <c r="I330" s="12">
        <v>41.37</v>
      </c>
      <c r="J330" s="9" t="s">
        <v>3</v>
      </c>
      <c r="K330" s="8">
        <v>0</v>
      </c>
    </row>
    <row r="331" spans="1:11">
      <c r="A331" s="2" t="s">
        <v>687</v>
      </c>
      <c r="B331" s="2" t="s">
        <v>1075</v>
      </c>
      <c r="C331" s="9">
        <v>10015120</v>
      </c>
      <c r="D331" s="2" t="s">
        <v>1081</v>
      </c>
      <c r="E331" s="10">
        <v>8</v>
      </c>
      <c r="F331" s="9" t="s">
        <v>1082</v>
      </c>
      <c r="G331" s="11">
        <v>46238</v>
      </c>
      <c r="H331" s="12">
        <v>145.04</v>
      </c>
      <c r="I331" s="12">
        <v>97.8</v>
      </c>
      <c r="J331" s="9" t="s">
        <v>3</v>
      </c>
      <c r="K331" s="8">
        <v>0</v>
      </c>
    </row>
    <row r="332" spans="1:11">
      <c r="A332" s="2" t="s">
        <v>687</v>
      </c>
      <c r="B332" s="2" t="s">
        <v>1075</v>
      </c>
      <c r="C332" s="9">
        <v>10015122</v>
      </c>
      <c r="D332" s="2" t="s">
        <v>1083</v>
      </c>
      <c r="E332" s="10">
        <v>8</v>
      </c>
      <c r="F332" s="9" t="s">
        <v>811</v>
      </c>
      <c r="G332" s="11">
        <v>46238</v>
      </c>
      <c r="H332" s="12">
        <v>47.55</v>
      </c>
      <c r="I332" s="12">
        <v>41.37</v>
      </c>
      <c r="J332" s="9" t="s">
        <v>3</v>
      </c>
      <c r="K332" s="8">
        <v>0</v>
      </c>
    </row>
    <row r="333" spans="1:11">
      <c r="A333" s="2" t="s">
        <v>687</v>
      </c>
      <c r="B333" s="2" t="s">
        <v>1075</v>
      </c>
      <c r="C333" s="9">
        <v>10015138</v>
      </c>
      <c r="D333" s="2" t="s">
        <v>1084</v>
      </c>
      <c r="E333" s="10">
        <v>8</v>
      </c>
      <c r="F333" s="9" t="s">
        <v>763</v>
      </c>
      <c r="G333" s="11">
        <v>46238</v>
      </c>
      <c r="H333" s="12">
        <v>59.34</v>
      </c>
      <c r="I333" s="12">
        <v>51.63</v>
      </c>
      <c r="J333" s="9" t="s">
        <v>3</v>
      </c>
      <c r="K333" s="8">
        <v>0</v>
      </c>
    </row>
    <row r="334" spans="1:11">
      <c r="A334" s="2" t="s">
        <v>687</v>
      </c>
      <c r="B334" s="2" t="s">
        <v>1075</v>
      </c>
      <c r="C334" s="9">
        <v>10015139</v>
      </c>
      <c r="D334" s="2" t="s">
        <v>1085</v>
      </c>
      <c r="E334" s="10">
        <v>8</v>
      </c>
      <c r="F334" s="9" t="s">
        <v>763</v>
      </c>
      <c r="G334" s="11">
        <v>46238</v>
      </c>
      <c r="H334" s="12">
        <v>59.34</v>
      </c>
      <c r="I334" s="12">
        <v>51.63</v>
      </c>
      <c r="J334" s="9" t="s">
        <v>3</v>
      </c>
      <c r="K334" s="8">
        <v>0</v>
      </c>
    </row>
    <row r="335" spans="1:11">
      <c r="A335" s="2" t="s">
        <v>687</v>
      </c>
      <c r="B335" s="2" t="s">
        <v>1075</v>
      </c>
      <c r="C335" s="9">
        <v>10015349</v>
      </c>
      <c r="D335" s="2" t="s">
        <v>1086</v>
      </c>
      <c r="E335" s="10">
        <v>8</v>
      </c>
      <c r="F335" s="9" t="s">
        <v>763</v>
      </c>
      <c r="G335" s="11">
        <v>46238</v>
      </c>
      <c r="H335" s="12">
        <v>59.34</v>
      </c>
      <c r="I335" s="12">
        <v>51.63</v>
      </c>
      <c r="J335" s="9" t="s">
        <v>3</v>
      </c>
      <c r="K335" s="8">
        <v>0</v>
      </c>
    </row>
    <row r="336" spans="1:11">
      <c r="A336" s="2" t="s">
        <v>687</v>
      </c>
      <c r="B336" s="2" t="s">
        <v>1075</v>
      </c>
      <c r="C336" s="9">
        <v>10015386</v>
      </c>
      <c r="D336" s="2" t="s">
        <v>1087</v>
      </c>
      <c r="E336" s="10">
        <v>8</v>
      </c>
      <c r="F336" s="9" t="s">
        <v>763</v>
      </c>
      <c r="G336" s="11">
        <v>46238</v>
      </c>
      <c r="H336" s="12">
        <v>59.34</v>
      </c>
      <c r="I336" s="12">
        <v>51.63</v>
      </c>
      <c r="J336" s="9" t="s">
        <v>3</v>
      </c>
      <c r="K336" s="8">
        <v>0</v>
      </c>
    </row>
    <row r="337" spans="1:11">
      <c r="A337" s="2" t="s">
        <v>687</v>
      </c>
      <c r="B337" s="2" t="s">
        <v>1075</v>
      </c>
      <c r="C337" s="9">
        <v>10015387</v>
      </c>
      <c r="D337" s="2" t="s">
        <v>1088</v>
      </c>
      <c r="E337" s="10">
        <v>8</v>
      </c>
      <c r="F337" s="9" t="s">
        <v>1089</v>
      </c>
      <c r="G337" s="11">
        <v>46238</v>
      </c>
      <c r="H337" s="12">
        <v>110.56</v>
      </c>
      <c r="I337" s="12">
        <v>96.24</v>
      </c>
      <c r="J337" s="9" t="s">
        <v>3</v>
      </c>
      <c r="K337" s="8">
        <v>0</v>
      </c>
    </row>
    <row r="338" spans="1:11">
      <c r="A338" s="2" t="s">
        <v>687</v>
      </c>
      <c r="B338" s="2" t="s">
        <v>1075</v>
      </c>
      <c r="C338" s="9">
        <v>10015388</v>
      </c>
      <c r="D338" s="2" t="s">
        <v>1090</v>
      </c>
      <c r="E338" s="10">
        <v>8</v>
      </c>
      <c r="F338" s="9" t="s">
        <v>763</v>
      </c>
      <c r="G338" s="11">
        <v>46238</v>
      </c>
      <c r="H338" s="12">
        <v>59.34</v>
      </c>
      <c r="I338" s="12">
        <v>51.63</v>
      </c>
      <c r="J338" s="9" t="s">
        <v>3</v>
      </c>
      <c r="K338" s="8">
        <v>0</v>
      </c>
    </row>
    <row r="339" spans="1:11">
      <c r="A339" s="2" t="s">
        <v>687</v>
      </c>
      <c r="B339" s="2" t="s">
        <v>1075</v>
      </c>
      <c r="C339" s="9">
        <v>10015389</v>
      </c>
      <c r="D339" s="2" t="s">
        <v>1091</v>
      </c>
      <c r="E339" s="10">
        <v>8</v>
      </c>
      <c r="F339" s="9" t="s">
        <v>763</v>
      </c>
      <c r="G339" s="11">
        <v>46238</v>
      </c>
      <c r="H339" s="12">
        <v>59.34</v>
      </c>
      <c r="I339" s="12">
        <v>51.63</v>
      </c>
      <c r="J339" s="9" t="s">
        <v>3</v>
      </c>
      <c r="K339" s="8">
        <v>0</v>
      </c>
    </row>
    <row r="340" spans="1:11">
      <c r="A340" s="2" t="s">
        <v>687</v>
      </c>
      <c r="B340" s="2" t="s">
        <v>1075</v>
      </c>
      <c r="C340" s="9">
        <v>10015390</v>
      </c>
      <c r="D340" s="2" t="s">
        <v>1092</v>
      </c>
      <c r="E340" s="10">
        <v>8</v>
      </c>
      <c r="F340" s="9" t="s">
        <v>763</v>
      </c>
      <c r="G340" s="11">
        <v>46238</v>
      </c>
      <c r="H340" s="12">
        <v>59.34</v>
      </c>
      <c r="I340" s="12">
        <v>51.63</v>
      </c>
      <c r="J340" s="9" t="s">
        <v>3</v>
      </c>
      <c r="K340" s="8">
        <v>0</v>
      </c>
    </row>
    <row r="341" spans="1:11">
      <c r="A341" s="2" t="s">
        <v>687</v>
      </c>
      <c r="B341" s="2" t="s">
        <v>1075</v>
      </c>
      <c r="C341" s="9">
        <v>10015391</v>
      </c>
      <c r="D341" s="2" t="s">
        <v>1093</v>
      </c>
      <c r="E341" s="10">
        <v>8</v>
      </c>
      <c r="F341" s="9" t="s">
        <v>763</v>
      </c>
      <c r="G341" s="11">
        <v>46238</v>
      </c>
      <c r="H341" s="12">
        <v>59.34</v>
      </c>
      <c r="I341" s="12">
        <v>51.63</v>
      </c>
      <c r="J341" s="9" t="s">
        <v>3</v>
      </c>
      <c r="K341" s="8">
        <v>0</v>
      </c>
    </row>
    <row r="342" spans="1:11">
      <c r="A342" s="2" t="s">
        <v>687</v>
      </c>
      <c r="B342" s="2" t="s">
        <v>1075</v>
      </c>
      <c r="C342" s="9">
        <v>10015392</v>
      </c>
      <c r="D342" s="2" t="s">
        <v>1094</v>
      </c>
      <c r="E342" s="10">
        <v>20</v>
      </c>
      <c r="F342" s="9" t="s">
        <v>1095</v>
      </c>
      <c r="G342" s="11">
        <v>46238</v>
      </c>
      <c r="H342" s="12">
        <v>177.34</v>
      </c>
      <c r="I342" s="12">
        <v>154.29</v>
      </c>
      <c r="J342" s="9" t="s">
        <v>3</v>
      </c>
      <c r="K342" s="8">
        <v>0</v>
      </c>
    </row>
    <row r="343" spans="1:11">
      <c r="A343" s="2" t="s">
        <v>687</v>
      </c>
      <c r="B343" s="2" t="s">
        <v>1075</v>
      </c>
      <c r="C343" s="9">
        <v>10015393</v>
      </c>
      <c r="D343" s="2" t="s">
        <v>1096</v>
      </c>
      <c r="E343" s="10">
        <v>20</v>
      </c>
      <c r="F343" s="9" t="s">
        <v>1095</v>
      </c>
      <c r="G343" s="11">
        <v>46238</v>
      </c>
      <c r="H343" s="12">
        <v>180</v>
      </c>
      <c r="I343" s="12">
        <v>156.6</v>
      </c>
      <c r="J343" s="9" t="s">
        <v>3</v>
      </c>
      <c r="K343" s="8">
        <v>0</v>
      </c>
    </row>
    <row r="344" spans="1:11">
      <c r="A344" s="2" t="s">
        <v>687</v>
      </c>
      <c r="B344" s="2" t="s">
        <v>1075</v>
      </c>
      <c r="C344" s="9">
        <v>10015394</v>
      </c>
      <c r="D344" s="2" t="s">
        <v>1097</v>
      </c>
      <c r="E344" s="10">
        <v>20</v>
      </c>
      <c r="F344" s="9" t="s">
        <v>1095</v>
      </c>
      <c r="G344" s="11">
        <v>46238</v>
      </c>
      <c r="H344" s="12">
        <v>177.34</v>
      </c>
      <c r="I344" s="12">
        <v>154.29</v>
      </c>
      <c r="J344" s="9" t="s">
        <v>3</v>
      </c>
      <c r="K344" s="8">
        <v>0</v>
      </c>
    </row>
    <row r="345" spans="1:11">
      <c r="A345" s="2" t="s">
        <v>687</v>
      </c>
      <c r="B345" s="2" t="s">
        <v>1075</v>
      </c>
      <c r="C345" s="9">
        <v>10015395</v>
      </c>
      <c r="D345" s="2" t="s">
        <v>1098</v>
      </c>
      <c r="E345" s="10">
        <v>20</v>
      </c>
      <c r="F345" s="9" t="s">
        <v>1095</v>
      </c>
      <c r="G345" s="11">
        <v>46238</v>
      </c>
      <c r="H345" s="12">
        <v>177.34</v>
      </c>
      <c r="I345" s="12">
        <v>154.29</v>
      </c>
      <c r="J345" s="9" t="s">
        <v>3</v>
      </c>
      <c r="K345" s="8">
        <v>0</v>
      </c>
    </row>
    <row r="346" spans="1:11">
      <c r="A346" s="2" t="s">
        <v>687</v>
      </c>
      <c r="B346" s="2" t="s">
        <v>1075</v>
      </c>
      <c r="C346" s="9">
        <v>10015396</v>
      </c>
      <c r="D346" s="2" t="s">
        <v>1099</v>
      </c>
      <c r="E346" s="10">
        <v>20</v>
      </c>
      <c r="F346" s="9" t="s">
        <v>763</v>
      </c>
      <c r="G346" s="11">
        <v>46238</v>
      </c>
      <c r="H346" s="12">
        <v>177.34</v>
      </c>
      <c r="I346" s="12">
        <v>154.29</v>
      </c>
      <c r="J346" s="9" t="s">
        <v>3</v>
      </c>
      <c r="K346" s="8">
        <v>0</v>
      </c>
    </row>
    <row r="347" spans="1:11">
      <c r="A347" s="2" t="s">
        <v>687</v>
      </c>
      <c r="B347" s="2" t="s">
        <v>1075</v>
      </c>
      <c r="C347" s="9">
        <v>10015397</v>
      </c>
      <c r="D347" s="2" t="s">
        <v>1100</v>
      </c>
      <c r="E347" s="10">
        <v>20</v>
      </c>
      <c r="F347" s="9" t="s">
        <v>763</v>
      </c>
      <c r="G347" s="11">
        <v>46238</v>
      </c>
      <c r="H347" s="12">
        <v>177.34</v>
      </c>
      <c r="I347" s="12">
        <v>154.29</v>
      </c>
      <c r="J347" s="9" t="s">
        <v>3</v>
      </c>
      <c r="K347" s="8">
        <v>0</v>
      </c>
    </row>
    <row r="348" spans="1:11">
      <c r="A348" s="2" t="s">
        <v>687</v>
      </c>
      <c r="B348" s="2" t="s">
        <v>1075</v>
      </c>
      <c r="C348" s="9">
        <v>10015412</v>
      </c>
      <c r="D348" s="2" t="s">
        <v>1101</v>
      </c>
      <c r="E348" s="10">
        <v>20</v>
      </c>
      <c r="F348" s="9" t="s">
        <v>763</v>
      </c>
      <c r="G348" s="11">
        <v>46238</v>
      </c>
      <c r="H348" s="12">
        <v>177.34</v>
      </c>
      <c r="I348" s="12">
        <v>154.29</v>
      </c>
      <c r="J348" s="9" t="s">
        <v>3</v>
      </c>
      <c r="K348" s="8">
        <v>0</v>
      </c>
    </row>
    <row r="349" spans="1:11">
      <c r="A349" s="2" t="s">
        <v>687</v>
      </c>
      <c r="B349" s="2" t="s">
        <v>1075</v>
      </c>
      <c r="C349" s="9">
        <v>10015413</v>
      </c>
      <c r="D349" s="2" t="s">
        <v>1102</v>
      </c>
      <c r="E349" s="10">
        <v>8</v>
      </c>
      <c r="F349" s="9" t="s">
        <v>1095</v>
      </c>
      <c r="G349" s="11">
        <v>46238</v>
      </c>
      <c r="H349" s="12">
        <v>59.34</v>
      </c>
      <c r="I349" s="12">
        <v>51.63</v>
      </c>
      <c r="J349" s="9" t="s">
        <v>3</v>
      </c>
      <c r="K349" s="8">
        <v>0</v>
      </c>
    </row>
    <row r="350" spans="1:11">
      <c r="A350" s="2" t="s">
        <v>687</v>
      </c>
      <c r="B350" s="2" t="s">
        <v>1075</v>
      </c>
      <c r="C350" s="9">
        <v>10015414</v>
      </c>
      <c r="D350" s="2" t="s">
        <v>1103</v>
      </c>
      <c r="E350" s="10">
        <v>8</v>
      </c>
      <c r="F350" s="9" t="s">
        <v>1095</v>
      </c>
      <c r="G350" s="11">
        <v>46238</v>
      </c>
      <c r="H350" s="12">
        <v>59.34</v>
      </c>
      <c r="I350" s="12">
        <v>51.63</v>
      </c>
      <c r="J350" s="9" t="s">
        <v>3</v>
      </c>
      <c r="K350" s="8">
        <v>0</v>
      </c>
    </row>
    <row r="351" spans="1:11">
      <c r="A351" s="2" t="s">
        <v>687</v>
      </c>
      <c r="B351" s="2" t="s">
        <v>1075</v>
      </c>
      <c r="C351" s="9">
        <v>10015415</v>
      </c>
      <c r="D351" s="2" t="s">
        <v>1104</v>
      </c>
      <c r="E351" s="10">
        <v>8</v>
      </c>
      <c r="F351" s="9" t="s">
        <v>1095</v>
      </c>
      <c r="G351" s="11">
        <v>46238</v>
      </c>
      <c r="H351" s="12">
        <v>59.34</v>
      </c>
      <c r="I351" s="12">
        <v>51.63</v>
      </c>
      <c r="J351" s="9" t="s">
        <v>3</v>
      </c>
      <c r="K351" s="8">
        <v>0</v>
      </c>
    </row>
    <row r="352" spans="1:11">
      <c r="A352" s="2" t="s">
        <v>687</v>
      </c>
      <c r="B352" s="2" t="s">
        <v>1075</v>
      </c>
      <c r="C352" s="9">
        <v>10015416</v>
      </c>
      <c r="D352" s="2" t="s">
        <v>1105</v>
      </c>
      <c r="E352" s="10">
        <v>8</v>
      </c>
      <c r="F352" s="9" t="s">
        <v>1095</v>
      </c>
      <c r="G352" s="11">
        <v>46238</v>
      </c>
      <c r="H352" s="12">
        <v>59.34</v>
      </c>
      <c r="I352" s="12">
        <v>51.63</v>
      </c>
      <c r="J352" s="9" t="s">
        <v>3</v>
      </c>
      <c r="K352" s="8">
        <v>0</v>
      </c>
    </row>
    <row r="353" spans="1:11">
      <c r="A353" s="2" t="s">
        <v>687</v>
      </c>
      <c r="B353" s="2" t="s">
        <v>1075</v>
      </c>
      <c r="C353" s="9">
        <v>10015417</v>
      </c>
      <c r="D353" s="2" t="s">
        <v>1106</v>
      </c>
      <c r="E353" s="10">
        <v>8</v>
      </c>
      <c r="F353" s="9" t="s">
        <v>763</v>
      </c>
      <c r="G353" s="11">
        <v>46238</v>
      </c>
      <c r="H353" s="12">
        <v>59.34</v>
      </c>
      <c r="I353" s="12">
        <v>51.63</v>
      </c>
      <c r="J353" s="9" t="s">
        <v>3</v>
      </c>
      <c r="K353" s="8">
        <v>0</v>
      </c>
    </row>
    <row r="354" spans="1:11">
      <c r="A354" s="2" t="s">
        <v>687</v>
      </c>
      <c r="B354" s="2" t="s">
        <v>1075</v>
      </c>
      <c r="C354" s="9">
        <v>10015418</v>
      </c>
      <c r="D354" s="2" t="s">
        <v>1107</v>
      </c>
      <c r="E354" s="10">
        <v>8</v>
      </c>
      <c r="F354" s="9" t="s">
        <v>763</v>
      </c>
      <c r="G354" s="11">
        <v>46238</v>
      </c>
      <c r="H354" s="12">
        <v>59.34</v>
      </c>
      <c r="I354" s="12">
        <v>51.63</v>
      </c>
      <c r="J354" s="9" t="s">
        <v>3</v>
      </c>
      <c r="K354" s="8">
        <v>0</v>
      </c>
    </row>
    <row r="355" spans="1:11">
      <c r="A355" s="2" t="s">
        <v>687</v>
      </c>
      <c r="B355" s="2" t="s">
        <v>1075</v>
      </c>
      <c r="C355" s="9">
        <v>10015419</v>
      </c>
      <c r="D355" s="2" t="s">
        <v>1108</v>
      </c>
      <c r="E355" s="10">
        <v>8</v>
      </c>
      <c r="F355" s="9" t="s">
        <v>763</v>
      </c>
      <c r="G355" s="11">
        <v>46238</v>
      </c>
      <c r="H355" s="12">
        <v>59.34</v>
      </c>
      <c r="I355" s="12">
        <v>51.63</v>
      </c>
      <c r="J355" s="9" t="s">
        <v>3</v>
      </c>
      <c r="K355" s="8">
        <v>0</v>
      </c>
    </row>
    <row r="356" spans="1:11">
      <c r="A356" s="2" t="s">
        <v>663</v>
      </c>
      <c r="B356" s="2" t="s">
        <v>726</v>
      </c>
      <c r="C356" s="9">
        <v>10015804</v>
      </c>
      <c r="D356" s="2" t="s">
        <v>1109</v>
      </c>
      <c r="E356" s="10">
        <v>6</v>
      </c>
      <c r="F356" s="9" t="s">
        <v>728</v>
      </c>
      <c r="G356" s="11">
        <v>46238</v>
      </c>
      <c r="H356" s="12">
        <v>29.55</v>
      </c>
      <c r="I356" s="12">
        <v>26.3</v>
      </c>
      <c r="J356" s="9" t="s">
        <v>3</v>
      </c>
      <c r="K356" s="8">
        <v>0</v>
      </c>
    </row>
    <row r="357" spans="1:11">
      <c r="A357" s="2" t="s">
        <v>663</v>
      </c>
      <c r="B357" s="2" t="s">
        <v>726</v>
      </c>
      <c r="C357" s="9">
        <v>10015805</v>
      </c>
      <c r="D357" s="2" t="s">
        <v>1110</v>
      </c>
      <c r="E357" s="10">
        <v>6</v>
      </c>
      <c r="F357" s="9" t="s">
        <v>728</v>
      </c>
      <c r="G357" s="11">
        <v>46238</v>
      </c>
      <c r="H357" s="12">
        <v>29.55</v>
      </c>
      <c r="I357" s="12">
        <v>26.3</v>
      </c>
      <c r="J357" s="9" t="s">
        <v>3</v>
      </c>
      <c r="K357" s="8">
        <v>0</v>
      </c>
    </row>
    <row r="358" spans="1:11">
      <c r="A358" s="2" t="s">
        <v>663</v>
      </c>
      <c r="B358" s="2" t="s">
        <v>726</v>
      </c>
      <c r="C358" s="9">
        <v>10015806</v>
      </c>
      <c r="D358" s="2" t="s">
        <v>1111</v>
      </c>
      <c r="E358" s="10">
        <v>8</v>
      </c>
      <c r="F358" s="9" t="s">
        <v>1112</v>
      </c>
      <c r="G358" s="11">
        <v>46238</v>
      </c>
      <c r="H358" s="12">
        <v>48.32</v>
      </c>
      <c r="I358" s="12">
        <v>42.04</v>
      </c>
      <c r="J358" s="9" t="s">
        <v>3</v>
      </c>
      <c r="K358" s="8">
        <v>0</v>
      </c>
    </row>
    <row r="359" spans="1:11">
      <c r="A359" s="2" t="s">
        <v>663</v>
      </c>
      <c r="B359" s="2" t="s">
        <v>726</v>
      </c>
      <c r="C359" s="9">
        <v>10015807</v>
      </c>
      <c r="D359" s="2" t="s">
        <v>1113</v>
      </c>
      <c r="E359" s="10">
        <v>8</v>
      </c>
      <c r="F359" s="9" t="s">
        <v>1114</v>
      </c>
      <c r="G359" s="11">
        <v>46238</v>
      </c>
      <c r="H359" s="12">
        <v>48.32</v>
      </c>
      <c r="I359" s="12">
        <v>42.04</v>
      </c>
      <c r="J359" s="9" t="s">
        <v>3</v>
      </c>
      <c r="K359" s="8">
        <v>0</v>
      </c>
    </row>
    <row r="360" spans="1:11">
      <c r="A360" s="2" t="s">
        <v>663</v>
      </c>
      <c r="B360" s="2" t="s">
        <v>726</v>
      </c>
      <c r="C360" s="9">
        <v>10015808</v>
      </c>
      <c r="D360" s="2" t="s">
        <v>1115</v>
      </c>
      <c r="E360" s="10">
        <v>8</v>
      </c>
      <c r="F360" s="9" t="s">
        <v>1114</v>
      </c>
      <c r="G360" s="11">
        <v>46238</v>
      </c>
      <c r="H360" s="12">
        <v>48.32</v>
      </c>
      <c r="I360" s="12">
        <v>42.04</v>
      </c>
      <c r="J360" s="9" t="s">
        <v>3</v>
      </c>
      <c r="K360" s="8">
        <v>0</v>
      </c>
    </row>
    <row r="361" spans="1:11">
      <c r="A361" s="2" t="s">
        <v>663</v>
      </c>
      <c r="B361" s="2" t="s">
        <v>726</v>
      </c>
      <c r="C361" s="9">
        <v>10015815</v>
      </c>
      <c r="D361" s="2" t="s">
        <v>1116</v>
      </c>
      <c r="E361" s="10">
        <v>6</v>
      </c>
      <c r="F361" s="9" t="s">
        <v>995</v>
      </c>
      <c r="G361" s="11">
        <v>46238</v>
      </c>
      <c r="H361" s="12">
        <v>23.6</v>
      </c>
      <c r="I361" s="12">
        <v>21</v>
      </c>
      <c r="J361" s="9" t="s">
        <v>3</v>
      </c>
      <c r="K361" s="8">
        <v>0</v>
      </c>
    </row>
    <row r="362" spans="1:11">
      <c r="A362" s="2" t="s">
        <v>906</v>
      </c>
      <c r="B362" s="2" t="s">
        <v>977</v>
      </c>
      <c r="C362" s="9">
        <v>10015928</v>
      </c>
      <c r="D362" s="2" t="s">
        <v>1117</v>
      </c>
      <c r="E362" s="10">
        <v>2</v>
      </c>
      <c r="F362" s="9" t="s">
        <v>991</v>
      </c>
      <c r="G362" s="11">
        <v>46238</v>
      </c>
      <c r="H362" s="12">
        <v>34.85</v>
      </c>
      <c r="I362" s="12">
        <v>32.06</v>
      </c>
      <c r="J362" s="9" t="s">
        <v>3</v>
      </c>
      <c r="K362" s="8">
        <v>1</v>
      </c>
    </row>
    <row r="363" spans="1:11">
      <c r="A363" s="2" t="s">
        <v>906</v>
      </c>
      <c r="B363" s="2" t="s">
        <v>977</v>
      </c>
      <c r="C363" s="9">
        <v>10015929</v>
      </c>
      <c r="D363" s="2" t="s">
        <v>1118</v>
      </c>
      <c r="E363" s="10">
        <v>2</v>
      </c>
      <c r="F363" s="9" t="s">
        <v>991</v>
      </c>
      <c r="G363" s="11">
        <v>46238</v>
      </c>
      <c r="H363" s="12">
        <v>34.85</v>
      </c>
      <c r="I363" s="12">
        <v>32.06</v>
      </c>
      <c r="J363" s="9" t="s">
        <v>3</v>
      </c>
      <c r="K363" s="8">
        <v>1</v>
      </c>
    </row>
    <row r="364" spans="1:11">
      <c r="A364" s="2" t="s">
        <v>906</v>
      </c>
      <c r="B364" s="2" t="s">
        <v>977</v>
      </c>
      <c r="C364" s="9">
        <v>10015930</v>
      </c>
      <c r="D364" s="2" t="s">
        <v>1119</v>
      </c>
      <c r="E364" s="10">
        <v>2</v>
      </c>
      <c r="F364" s="9" t="s">
        <v>991</v>
      </c>
      <c r="G364" s="11">
        <v>46238</v>
      </c>
      <c r="H364" s="12">
        <v>33.61</v>
      </c>
      <c r="I364" s="12">
        <v>30.92</v>
      </c>
      <c r="J364" s="9" t="s">
        <v>3</v>
      </c>
      <c r="K364" s="8">
        <v>1</v>
      </c>
    </row>
    <row r="365" spans="1:11">
      <c r="A365" s="2" t="s">
        <v>1120</v>
      </c>
      <c r="B365" s="2" t="s">
        <v>1121</v>
      </c>
      <c r="C365" s="9">
        <v>10016002</v>
      </c>
      <c r="D365" s="2" t="s">
        <v>1122</v>
      </c>
      <c r="E365" s="10">
        <v>1</v>
      </c>
      <c r="F365" s="9" t="s">
        <v>1123</v>
      </c>
      <c r="G365" s="11">
        <v>46238</v>
      </c>
      <c r="H365" s="12">
        <v>42.79</v>
      </c>
      <c r="I365" s="12">
        <v>41.88</v>
      </c>
      <c r="J365" s="9" t="s">
        <v>3</v>
      </c>
      <c r="K365" s="8">
        <v>0</v>
      </c>
    </row>
    <row r="366" spans="1:11">
      <c r="A366" s="2" t="s">
        <v>906</v>
      </c>
      <c r="B366" s="2" t="s">
        <v>1000</v>
      </c>
      <c r="C366" s="9">
        <v>10016008</v>
      </c>
      <c r="D366" s="2" t="s">
        <v>1124</v>
      </c>
      <c r="E366" s="10">
        <v>6</v>
      </c>
      <c r="F366" s="9" t="s">
        <v>969</v>
      </c>
      <c r="G366" s="11">
        <v>46238</v>
      </c>
      <c r="H366" s="12">
        <v>44.85</v>
      </c>
      <c r="I366" s="12">
        <v>41.26</v>
      </c>
      <c r="J366" s="9" t="s">
        <v>3</v>
      </c>
      <c r="K366" s="8">
        <v>0</v>
      </c>
    </row>
    <row r="367" spans="1:11">
      <c r="A367" s="2" t="s">
        <v>906</v>
      </c>
      <c r="B367" s="2" t="s">
        <v>1000</v>
      </c>
      <c r="C367" s="9">
        <v>10016021</v>
      </c>
      <c r="D367" s="2" t="s">
        <v>1125</v>
      </c>
      <c r="E367" s="10">
        <v>6</v>
      </c>
      <c r="F367" s="9" t="s">
        <v>697</v>
      </c>
      <c r="G367" s="11">
        <v>46238</v>
      </c>
      <c r="H367" s="12">
        <v>65.599999999999994</v>
      </c>
      <c r="I367" s="12">
        <v>60.35</v>
      </c>
      <c r="J367" s="9" t="s">
        <v>3</v>
      </c>
      <c r="K367" s="8">
        <v>0</v>
      </c>
    </row>
    <row r="368" spans="1:11">
      <c r="A368" s="2" t="s">
        <v>906</v>
      </c>
      <c r="B368" s="2" t="s">
        <v>983</v>
      </c>
      <c r="C368" s="9">
        <v>10016025</v>
      </c>
      <c r="D368" s="2" t="s">
        <v>1126</v>
      </c>
      <c r="E368" s="10">
        <v>12</v>
      </c>
      <c r="F368" s="9" t="s">
        <v>982</v>
      </c>
      <c r="G368" s="11">
        <v>46238</v>
      </c>
      <c r="H368" s="12">
        <v>74.989999999999995</v>
      </c>
      <c r="I368" s="12">
        <v>68.989999999999995</v>
      </c>
      <c r="J368" s="9" t="s">
        <v>3</v>
      </c>
      <c r="K368" s="8">
        <v>0</v>
      </c>
    </row>
    <row r="369" spans="1:11">
      <c r="A369" s="2" t="s">
        <v>906</v>
      </c>
      <c r="B369" s="2" t="s">
        <v>983</v>
      </c>
      <c r="C369" s="9">
        <v>10016044</v>
      </c>
      <c r="D369" s="2" t="s">
        <v>1127</v>
      </c>
      <c r="E369" s="10">
        <v>12</v>
      </c>
      <c r="F369" s="9" t="s">
        <v>982</v>
      </c>
      <c r="G369" s="11">
        <v>46238</v>
      </c>
      <c r="H369" s="12">
        <v>67.03</v>
      </c>
      <c r="I369" s="12">
        <v>61.67</v>
      </c>
      <c r="J369" s="9" t="s">
        <v>3</v>
      </c>
      <c r="K369" s="8">
        <v>0</v>
      </c>
    </row>
    <row r="370" spans="1:11">
      <c r="A370" s="2" t="s">
        <v>906</v>
      </c>
      <c r="B370" s="2" t="s">
        <v>977</v>
      </c>
      <c r="C370" s="9">
        <v>10016045</v>
      </c>
      <c r="D370" s="2" t="s">
        <v>1127</v>
      </c>
      <c r="E370" s="10">
        <v>2</v>
      </c>
      <c r="F370" s="9" t="s">
        <v>991</v>
      </c>
      <c r="G370" s="11">
        <v>46238</v>
      </c>
      <c r="H370" s="12">
        <v>35.6</v>
      </c>
      <c r="I370" s="12">
        <v>32.75</v>
      </c>
      <c r="J370" s="9" t="s">
        <v>3</v>
      </c>
      <c r="K370" s="8">
        <v>1</v>
      </c>
    </row>
    <row r="371" spans="1:11">
      <c r="A371" s="2" t="s">
        <v>1120</v>
      </c>
      <c r="B371" s="2" t="s">
        <v>1121</v>
      </c>
      <c r="C371" s="9">
        <v>10016061</v>
      </c>
      <c r="D371" s="2" t="s">
        <v>1128</v>
      </c>
      <c r="E371" s="10">
        <v>1</v>
      </c>
      <c r="F371" s="9" t="s">
        <v>1129</v>
      </c>
      <c r="G371" s="11">
        <v>46238</v>
      </c>
      <c r="H371" s="12">
        <v>72.349999999999994</v>
      </c>
      <c r="I371" s="12">
        <v>65.31</v>
      </c>
      <c r="J371" s="9" t="s">
        <v>3</v>
      </c>
      <c r="K371" s="8">
        <v>0</v>
      </c>
    </row>
    <row r="372" spans="1:11">
      <c r="A372" s="2" t="s">
        <v>906</v>
      </c>
      <c r="B372" s="2" t="s">
        <v>1130</v>
      </c>
      <c r="C372" s="9">
        <v>10016063</v>
      </c>
      <c r="D372" s="2" t="s">
        <v>1131</v>
      </c>
      <c r="E372" s="10">
        <v>2</v>
      </c>
      <c r="F372" s="9" t="s">
        <v>1132</v>
      </c>
      <c r="G372" s="11">
        <v>46238</v>
      </c>
      <c r="H372" s="12">
        <v>33.61</v>
      </c>
      <c r="I372" s="12">
        <v>30.92</v>
      </c>
      <c r="J372" s="9" t="s">
        <v>3</v>
      </c>
      <c r="K372" s="8">
        <v>1</v>
      </c>
    </row>
    <row r="373" spans="1:11">
      <c r="A373" s="2" t="s">
        <v>906</v>
      </c>
      <c r="B373" s="2" t="s">
        <v>1000</v>
      </c>
      <c r="C373" s="9">
        <v>10016075</v>
      </c>
      <c r="D373" s="2" t="s">
        <v>1133</v>
      </c>
      <c r="E373" s="10">
        <v>8</v>
      </c>
      <c r="F373" s="9" t="s">
        <v>1114</v>
      </c>
      <c r="G373" s="11">
        <v>46238</v>
      </c>
      <c r="H373" s="12">
        <v>84.99</v>
      </c>
      <c r="I373" s="12">
        <v>78.19</v>
      </c>
      <c r="J373" s="9" t="s">
        <v>3</v>
      </c>
      <c r="K373" s="8">
        <v>0</v>
      </c>
    </row>
    <row r="374" spans="1:11">
      <c r="A374" s="2" t="s">
        <v>906</v>
      </c>
      <c r="B374" s="2" t="s">
        <v>983</v>
      </c>
      <c r="C374" s="9">
        <v>10016080</v>
      </c>
      <c r="D374" s="2" t="s">
        <v>1134</v>
      </c>
      <c r="E374" s="10">
        <v>12</v>
      </c>
      <c r="F374" s="9" t="s">
        <v>982</v>
      </c>
      <c r="G374" s="11">
        <v>46238</v>
      </c>
      <c r="H374" s="12">
        <v>74.989999999999995</v>
      </c>
      <c r="I374" s="12">
        <v>68.989999999999995</v>
      </c>
      <c r="J374" s="9" t="s">
        <v>3</v>
      </c>
      <c r="K374" s="8">
        <v>0</v>
      </c>
    </row>
    <row r="375" spans="1:11">
      <c r="A375" s="2" t="s">
        <v>906</v>
      </c>
      <c r="B375" s="2" t="s">
        <v>977</v>
      </c>
      <c r="C375" s="9">
        <v>10016081</v>
      </c>
      <c r="D375" s="2" t="s">
        <v>1135</v>
      </c>
      <c r="E375" s="10">
        <v>2</v>
      </c>
      <c r="F375" s="9" t="s">
        <v>979</v>
      </c>
      <c r="G375" s="11">
        <v>46238</v>
      </c>
      <c r="H375" s="12">
        <v>46.47</v>
      </c>
      <c r="I375" s="12">
        <v>42.75</v>
      </c>
      <c r="J375" s="9" t="s">
        <v>3</v>
      </c>
      <c r="K375" s="8">
        <v>1</v>
      </c>
    </row>
    <row r="376" spans="1:11">
      <c r="A376" s="2" t="s">
        <v>906</v>
      </c>
      <c r="B376" s="2" t="s">
        <v>977</v>
      </c>
      <c r="C376" s="9">
        <v>10016082</v>
      </c>
      <c r="D376" s="2" t="s">
        <v>1136</v>
      </c>
      <c r="E376" s="10">
        <v>2</v>
      </c>
      <c r="F376" s="9" t="s">
        <v>979</v>
      </c>
      <c r="G376" s="11">
        <v>46238</v>
      </c>
      <c r="H376" s="12">
        <v>35.42</v>
      </c>
      <c r="I376" s="12">
        <v>32.6</v>
      </c>
      <c r="J376" s="9" t="s">
        <v>3</v>
      </c>
      <c r="K376" s="8">
        <v>1</v>
      </c>
    </row>
    <row r="377" spans="1:11">
      <c r="A377" s="2" t="s">
        <v>906</v>
      </c>
      <c r="B377" s="2" t="s">
        <v>977</v>
      </c>
      <c r="C377" s="9">
        <v>10016083</v>
      </c>
      <c r="D377" s="2" t="s">
        <v>1137</v>
      </c>
      <c r="E377" s="10">
        <v>2</v>
      </c>
      <c r="F377" s="9" t="s">
        <v>979</v>
      </c>
      <c r="G377" s="11">
        <v>46238</v>
      </c>
      <c r="H377" s="12">
        <v>35.42</v>
      </c>
      <c r="I377" s="12">
        <v>32.6</v>
      </c>
      <c r="J377" s="9" t="s">
        <v>3</v>
      </c>
      <c r="K377" s="8">
        <v>1</v>
      </c>
    </row>
    <row r="378" spans="1:11">
      <c r="A378" s="2" t="s">
        <v>906</v>
      </c>
      <c r="B378" s="2" t="s">
        <v>977</v>
      </c>
      <c r="C378" s="9">
        <v>10016084</v>
      </c>
      <c r="D378" s="2" t="s">
        <v>1138</v>
      </c>
      <c r="E378" s="10">
        <v>2</v>
      </c>
      <c r="F378" s="9" t="s">
        <v>1139</v>
      </c>
      <c r="G378" s="11">
        <v>46238</v>
      </c>
      <c r="H378" s="12">
        <v>37.700000000000003</v>
      </c>
      <c r="I378" s="12">
        <v>34.68</v>
      </c>
      <c r="J378" s="9" t="s">
        <v>3</v>
      </c>
      <c r="K378" s="8">
        <v>1</v>
      </c>
    </row>
    <row r="379" spans="1:11">
      <c r="A379" s="2" t="s">
        <v>906</v>
      </c>
      <c r="B379" s="2" t="s">
        <v>983</v>
      </c>
      <c r="C379" s="9">
        <v>10016085</v>
      </c>
      <c r="D379" s="2" t="s">
        <v>1140</v>
      </c>
      <c r="E379" s="10">
        <v>8</v>
      </c>
      <c r="F379" s="9" t="s">
        <v>985</v>
      </c>
      <c r="G379" s="11">
        <v>46238</v>
      </c>
      <c r="H379" s="12">
        <v>40.64</v>
      </c>
      <c r="I379" s="12">
        <v>37.44</v>
      </c>
      <c r="J379" s="9" t="s">
        <v>3</v>
      </c>
      <c r="K379" s="8">
        <v>0</v>
      </c>
    </row>
    <row r="380" spans="1:11">
      <c r="A380" s="2" t="s">
        <v>906</v>
      </c>
      <c r="B380" s="2" t="s">
        <v>1130</v>
      </c>
      <c r="C380" s="9">
        <v>10016086</v>
      </c>
      <c r="D380" s="2" t="s">
        <v>1141</v>
      </c>
      <c r="E380" s="10">
        <v>12</v>
      </c>
      <c r="F380" s="9" t="s">
        <v>985</v>
      </c>
      <c r="G380" s="11">
        <v>46238</v>
      </c>
      <c r="H380" s="12">
        <v>64.150000000000006</v>
      </c>
      <c r="I380" s="12">
        <v>59.02</v>
      </c>
      <c r="J380" s="9" t="s">
        <v>3</v>
      </c>
      <c r="K380" s="8">
        <v>0</v>
      </c>
    </row>
    <row r="381" spans="1:11">
      <c r="A381" s="2" t="s">
        <v>906</v>
      </c>
      <c r="B381" s="2" t="s">
        <v>983</v>
      </c>
      <c r="C381" s="9">
        <v>10016087</v>
      </c>
      <c r="D381" s="2" t="s">
        <v>1142</v>
      </c>
      <c r="E381" s="10">
        <v>8</v>
      </c>
      <c r="F381" s="9" t="s">
        <v>985</v>
      </c>
      <c r="G381" s="11">
        <v>46238</v>
      </c>
      <c r="H381" s="12">
        <v>40.64</v>
      </c>
      <c r="I381" s="12">
        <v>37.44</v>
      </c>
      <c r="J381" s="9" t="s">
        <v>3</v>
      </c>
      <c r="K381" s="8">
        <v>0</v>
      </c>
    </row>
    <row r="382" spans="1:11">
      <c r="A382" s="2" t="s">
        <v>906</v>
      </c>
      <c r="B382" s="2" t="s">
        <v>983</v>
      </c>
      <c r="C382" s="9">
        <v>10016088</v>
      </c>
      <c r="D382" s="2" t="s">
        <v>1143</v>
      </c>
      <c r="E382" s="10">
        <v>12</v>
      </c>
      <c r="F382" s="9" t="s">
        <v>985</v>
      </c>
      <c r="G382" s="11">
        <v>46238</v>
      </c>
      <c r="H382" s="12">
        <v>60.96</v>
      </c>
      <c r="I382" s="12">
        <v>56.16</v>
      </c>
      <c r="J382" s="9" t="s">
        <v>3</v>
      </c>
      <c r="K382" s="8">
        <v>0</v>
      </c>
    </row>
    <row r="383" spans="1:11">
      <c r="A383" s="2" t="s">
        <v>906</v>
      </c>
      <c r="B383" s="2" t="s">
        <v>1000</v>
      </c>
      <c r="C383" s="9">
        <v>10016098</v>
      </c>
      <c r="D383" s="2" t="s">
        <v>1144</v>
      </c>
      <c r="E383" s="10">
        <v>8</v>
      </c>
      <c r="F383" s="9" t="s">
        <v>995</v>
      </c>
      <c r="G383" s="11">
        <v>46238</v>
      </c>
      <c r="H383" s="12">
        <v>50.45</v>
      </c>
      <c r="I383" s="12">
        <v>46.41</v>
      </c>
      <c r="J383" s="9" t="s">
        <v>3</v>
      </c>
      <c r="K383" s="8">
        <v>0</v>
      </c>
    </row>
    <row r="384" spans="1:11">
      <c r="A384" s="2" t="s">
        <v>906</v>
      </c>
      <c r="B384" s="2" t="s">
        <v>1000</v>
      </c>
      <c r="C384" s="9">
        <v>10016099</v>
      </c>
      <c r="D384" s="2" t="s">
        <v>1145</v>
      </c>
      <c r="E384" s="10">
        <v>8</v>
      </c>
      <c r="F384" s="9" t="s">
        <v>995</v>
      </c>
      <c r="G384" s="11">
        <v>46238</v>
      </c>
      <c r="H384" s="12">
        <v>50.45</v>
      </c>
      <c r="I384" s="12">
        <v>46.41</v>
      </c>
      <c r="J384" s="9" t="s">
        <v>3</v>
      </c>
      <c r="K384" s="8">
        <v>0</v>
      </c>
    </row>
    <row r="385" spans="1:11">
      <c r="A385" s="2" t="s">
        <v>906</v>
      </c>
      <c r="B385" s="2" t="s">
        <v>1146</v>
      </c>
      <c r="C385" s="9">
        <v>10016104</v>
      </c>
      <c r="D385" s="2" t="s">
        <v>1147</v>
      </c>
      <c r="E385" s="10">
        <v>8</v>
      </c>
      <c r="F385" s="9" t="s">
        <v>738</v>
      </c>
      <c r="G385" s="11">
        <v>46238</v>
      </c>
      <c r="H385" s="12">
        <v>142.22</v>
      </c>
      <c r="I385" s="12">
        <v>135.07</v>
      </c>
      <c r="J385" s="9" t="s">
        <v>3</v>
      </c>
      <c r="K385" s="8">
        <v>0</v>
      </c>
    </row>
    <row r="386" spans="1:11">
      <c r="A386" s="2" t="s">
        <v>906</v>
      </c>
      <c r="B386" s="2" t="s">
        <v>1146</v>
      </c>
      <c r="C386" s="9">
        <v>10016105</v>
      </c>
      <c r="D386" s="2" t="s">
        <v>1148</v>
      </c>
      <c r="E386" s="10">
        <v>12</v>
      </c>
      <c r="F386" s="9" t="s">
        <v>917</v>
      </c>
      <c r="G386" s="11">
        <v>46238</v>
      </c>
      <c r="H386" s="12">
        <v>46.77</v>
      </c>
      <c r="I386" s="12">
        <v>44.48</v>
      </c>
      <c r="J386" s="9" t="s">
        <v>3</v>
      </c>
      <c r="K386" s="8">
        <v>0</v>
      </c>
    </row>
    <row r="387" spans="1:11">
      <c r="A387" s="2" t="s">
        <v>906</v>
      </c>
      <c r="B387" s="2" t="s">
        <v>1130</v>
      </c>
      <c r="C387" s="9">
        <v>10016107</v>
      </c>
      <c r="D387" s="2" t="s">
        <v>1131</v>
      </c>
      <c r="E387" s="10">
        <v>12</v>
      </c>
      <c r="F387" s="9" t="s">
        <v>985</v>
      </c>
      <c r="G387" s="11">
        <v>46238</v>
      </c>
      <c r="H387" s="12">
        <v>89.11</v>
      </c>
      <c r="I387" s="12">
        <v>81.98</v>
      </c>
      <c r="J387" s="9" t="s">
        <v>3</v>
      </c>
      <c r="K387" s="8">
        <v>0</v>
      </c>
    </row>
    <row r="388" spans="1:11">
      <c r="A388" s="2" t="s">
        <v>906</v>
      </c>
      <c r="B388" s="2" t="s">
        <v>1130</v>
      </c>
      <c r="C388" s="9">
        <v>10016108</v>
      </c>
      <c r="D388" s="2" t="s">
        <v>1149</v>
      </c>
      <c r="E388" s="10">
        <v>2</v>
      </c>
      <c r="F388" s="9" t="s">
        <v>1150</v>
      </c>
      <c r="G388" s="11">
        <v>46238</v>
      </c>
      <c r="H388" s="12">
        <v>33.61</v>
      </c>
      <c r="I388" s="12">
        <v>30.92</v>
      </c>
      <c r="J388" s="9" t="s">
        <v>3</v>
      </c>
      <c r="K388" s="8">
        <v>1</v>
      </c>
    </row>
    <row r="389" spans="1:11">
      <c r="A389" s="2" t="s">
        <v>906</v>
      </c>
      <c r="B389" s="2" t="s">
        <v>1000</v>
      </c>
      <c r="C389" s="9">
        <v>10016109</v>
      </c>
      <c r="D389" s="2" t="s">
        <v>1151</v>
      </c>
      <c r="E389" s="10">
        <v>12</v>
      </c>
      <c r="F389" s="9" t="s">
        <v>982</v>
      </c>
      <c r="G389" s="11">
        <v>46238</v>
      </c>
      <c r="H389" s="12">
        <v>73.62</v>
      </c>
      <c r="I389" s="12">
        <v>67.73</v>
      </c>
      <c r="J389" s="9" t="s">
        <v>3</v>
      </c>
      <c r="K389" s="8">
        <v>0</v>
      </c>
    </row>
    <row r="390" spans="1:11">
      <c r="A390" s="2" t="s">
        <v>906</v>
      </c>
      <c r="B390" s="2" t="s">
        <v>1000</v>
      </c>
      <c r="C390" s="9">
        <v>10016110</v>
      </c>
      <c r="D390" s="2" t="s">
        <v>1152</v>
      </c>
      <c r="E390" s="10">
        <v>12</v>
      </c>
      <c r="F390" s="9" t="s">
        <v>982</v>
      </c>
      <c r="G390" s="11">
        <v>46238</v>
      </c>
      <c r="H390" s="12">
        <v>73.62</v>
      </c>
      <c r="I390" s="12">
        <v>67.73</v>
      </c>
      <c r="J390" s="9" t="s">
        <v>3</v>
      </c>
      <c r="K390" s="8">
        <v>0</v>
      </c>
    </row>
    <row r="391" spans="1:11">
      <c r="A391" s="2" t="s">
        <v>906</v>
      </c>
      <c r="B391" s="2" t="s">
        <v>980</v>
      </c>
      <c r="C391" s="9">
        <v>10016114</v>
      </c>
      <c r="D391" s="2" t="s">
        <v>1153</v>
      </c>
      <c r="E391" s="10">
        <v>12</v>
      </c>
      <c r="F391" s="9" t="s">
        <v>1154</v>
      </c>
      <c r="G391" s="11">
        <v>46238</v>
      </c>
      <c r="H391" s="12">
        <v>48.84</v>
      </c>
      <c r="I391" s="12">
        <v>44.88</v>
      </c>
      <c r="J391" s="9" t="s">
        <v>3</v>
      </c>
      <c r="K391" s="8">
        <v>0</v>
      </c>
    </row>
    <row r="392" spans="1:11">
      <c r="A392" s="2" t="s">
        <v>906</v>
      </c>
      <c r="B392" s="2" t="s">
        <v>983</v>
      </c>
      <c r="C392" s="9">
        <v>10016115</v>
      </c>
      <c r="D392" s="2" t="s">
        <v>1155</v>
      </c>
      <c r="E392" s="10">
        <v>12</v>
      </c>
      <c r="F392" s="9" t="s">
        <v>985</v>
      </c>
      <c r="G392" s="11">
        <v>46238</v>
      </c>
      <c r="H392" s="12">
        <v>61.68</v>
      </c>
      <c r="I392" s="12">
        <v>56.75</v>
      </c>
      <c r="J392" s="9" t="s">
        <v>3</v>
      </c>
      <c r="K392" s="8">
        <v>0</v>
      </c>
    </row>
    <row r="393" spans="1:11">
      <c r="A393" s="2" t="s">
        <v>906</v>
      </c>
      <c r="B393" s="2" t="s">
        <v>983</v>
      </c>
      <c r="C393" s="9">
        <v>10016116</v>
      </c>
      <c r="D393" s="2" t="s">
        <v>1156</v>
      </c>
      <c r="E393" s="10">
        <v>12</v>
      </c>
      <c r="F393" s="9" t="s">
        <v>985</v>
      </c>
      <c r="G393" s="11">
        <v>46238</v>
      </c>
      <c r="H393" s="12">
        <v>64.02</v>
      </c>
      <c r="I393" s="12">
        <v>58.9</v>
      </c>
      <c r="J393" s="9" t="s">
        <v>3</v>
      </c>
      <c r="K393" s="8">
        <v>0</v>
      </c>
    </row>
    <row r="394" spans="1:11">
      <c r="A394" s="2" t="s">
        <v>906</v>
      </c>
      <c r="B394" s="2" t="s">
        <v>1146</v>
      </c>
      <c r="C394" s="9">
        <v>10016121</v>
      </c>
      <c r="D394" s="2" t="s">
        <v>1157</v>
      </c>
      <c r="E394" s="10">
        <v>4</v>
      </c>
      <c r="F394" s="9" t="s">
        <v>1158</v>
      </c>
      <c r="G394" s="11">
        <v>46238</v>
      </c>
      <c r="H394" s="12">
        <v>101.48</v>
      </c>
      <c r="I394" s="12">
        <v>93.36</v>
      </c>
      <c r="J394" s="9" t="s">
        <v>3</v>
      </c>
      <c r="K394" s="8">
        <v>0</v>
      </c>
    </row>
    <row r="395" spans="1:11">
      <c r="A395" s="2" t="s">
        <v>906</v>
      </c>
      <c r="B395" s="2" t="s">
        <v>977</v>
      </c>
      <c r="C395" s="9">
        <v>10016203</v>
      </c>
      <c r="D395" s="2" t="s">
        <v>1159</v>
      </c>
      <c r="E395" s="10">
        <v>2</v>
      </c>
      <c r="F395" s="9" t="s">
        <v>1023</v>
      </c>
      <c r="G395" s="11">
        <v>46238</v>
      </c>
      <c r="H395" s="12">
        <v>32.61</v>
      </c>
      <c r="I395" s="12">
        <v>30</v>
      </c>
      <c r="J395" s="9" t="s">
        <v>3</v>
      </c>
      <c r="K395" s="8">
        <v>1</v>
      </c>
    </row>
    <row r="396" spans="1:11">
      <c r="A396" s="2" t="s">
        <v>906</v>
      </c>
      <c r="B396" s="2" t="s">
        <v>983</v>
      </c>
      <c r="C396" s="9">
        <v>10016204</v>
      </c>
      <c r="D396" s="2" t="s">
        <v>1160</v>
      </c>
      <c r="E396" s="10">
        <v>12</v>
      </c>
      <c r="F396" s="9" t="s">
        <v>985</v>
      </c>
      <c r="G396" s="11">
        <v>46238</v>
      </c>
      <c r="H396" s="12">
        <v>88.01</v>
      </c>
      <c r="I396" s="12">
        <v>80.97</v>
      </c>
      <c r="J396" s="9" t="s">
        <v>3</v>
      </c>
      <c r="K396" s="8">
        <v>0</v>
      </c>
    </row>
    <row r="397" spans="1:11">
      <c r="A397" s="2" t="s">
        <v>721</v>
      </c>
      <c r="B397" s="2" t="s">
        <v>1161</v>
      </c>
      <c r="C397" s="9">
        <v>10016400</v>
      </c>
      <c r="D397" s="2" t="s">
        <v>1162</v>
      </c>
      <c r="E397" s="10">
        <v>12</v>
      </c>
      <c r="F397" s="9" t="s">
        <v>666</v>
      </c>
      <c r="G397" s="11">
        <v>46238</v>
      </c>
      <c r="H397" s="12">
        <v>41.13</v>
      </c>
      <c r="I397" s="12">
        <v>36.61</v>
      </c>
      <c r="J397" s="9" t="s">
        <v>3</v>
      </c>
      <c r="K397" s="8">
        <v>0</v>
      </c>
    </row>
    <row r="398" spans="1:11">
      <c r="A398" s="2" t="s">
        <v>721</v>
      </c>
      <c r="B398" s="2" t="s">
        <v>1161</v>
      </c>
      <c r="C398" s="9">
        <v>10016401</v>
      </c>
      <c r="D398" s="2" t="s">
        <v>1163</v>
      </c>
      <c r="E398" s="10">
        <v>12</v>
      </c>
      <c r="F398" s="9" t="s">
        <v>666</v>
      </c>
      <c r="G398" s="11">
        <v>46238</v>
      </c>
      <c r="H398" s="12">
        <v>41.13</v>
      </c>
      <c r="I398" s="12">
        <v>36.61</v>
      </c>
      <c r="J398" s="9" t="s">
        <v>3</v>
      </c>
      <c r="K398" s="8">
        <v>0</v>
      </c>
    </row>
    <row r="399" spans="1:11">
      <c r="A399" s="2" t="s">
        <v>721</v>
      </c>
      <c r="B399" s="2" t="s">
        <v>1161</v>
      </c>
      <c r="C399" s="9">
        <v>10016402</v>
      </c>
      <c r="D399" s="2" t="s">
        <v>1164</v>
      </c>
      <c r="E399" s="10">
        <v>12</v>
      </c>
      <c r="F399" s="9" t="s">
        <v>666</v>
      </c>
      <c r="G399" s="11">
        <v>46238</v>
      </c>
      <c r="H399" s="12">
        <v>41.13</v>
      </c>
      <c r="I399" s="12">
        <v>36.61</v>
      </c>
      <c r="J399" s="9" t="s">
        <v>3</v>
      </c>
      <c r="K399" s="8">
        <v>0</v>
      </c>
    </row>
    <row r="400" spans="1:11">
      <c r="A400" s="2" t="s">
        <v>721</v>
      </c>
      <c r="B400" s="2" t="s">
        <v>1161</v>
      </c>
      <c r="C400" s="9">
        <v>10016403</v>
      </c>
      <c r="D400" s="2" t="s">
        <v>1165</v>
      </c>
      <c r="E400" s="10">
        <v>12</v>
      </c>
      <c r="F400" s="9" t="s">
        <v>666</v>
      </c>
      <c r="G400" s="11">
        <v>46238</v>
      </c>
      <c r="H400" s="12">
        <v>41.13</v>
      </c>
      <c r="I400" s="12">
        <v>36.61</v>
      </c>
      <c r="J400" s="9" t="s">
        <v>3</v>
      </c>
      <c r="K400" s="8">
        <v>0</v>
      </c>
    </row>
    <row r="401" spans="1:11">
      <c r="A401" s="2" t="s">
        <v>721</v>
      </c>
      <c r="B401" s="2" t="s">
        <v>1161</v>
      </c>
      <c r="C401" s="9">
        <v>10016404</v>
      </c>
      <c r="D401" s="2" t="s">
        <v>1166</v>
      </c>
      <c r="E401" s="10">
        <v>12</v>
      </c>
      <c r="F401" s="9" t="s">
        <v>666</v>
      </c>
      <c r="G401" s="11">
        <v>46238</v>
      </c>
      <c r="H401" s="12">
        <v>41.13</v>
      </c>
      <c r="I401" s="12">
        <v>36.61</v>
      </c>
      <c r="J401" s="9" t="s">
        <v>3</v>
      </c>
      <c r="K401" s="8">
        <v>0</v>
      </c>
    </row>
    <row r="402" spans="1:11">
      <c r="A402" s="2" t="s">
        <v>721</v>
      </c>
      <c r="B402" s="2" t="s">
        <v>1161</v>
      </c>
      <c r="C402" s="9">
        <v>10016405</v>
      </c>
      <c r="D402" s="2" t="s">
        <v>1167</v>
      </c>
      <c r="E402" s="10">
        <v>12</v>
      </c>
      <c r="F402" s="9" t="s">
        <v>666</v>
      </c>
      <c r="G402" s="11">
        <v>46238</v>
      </c>
      <c r="H402" s="12">
        <v>41.13</v>
      </c>
      <c r="I402" s="12">
        <v>36.61</v>
      </c>
      <c r="J402" s="9" t="s">
        <v>3</v>
      </c>
      <c r="K402" s="8">
        <v>0</v>
      </c>
    </row>
    <row r="403" spans="1:11">
      <c r="A403" s="2" t="s">
        <v>721</v>
      </c>
      <c r="B403" s="2" t="s">
        <v>1161</v>
      </c>
      <c r="C403" s="9">
        <v>10016408</v>
      </c>
      <c r="D403" s="2" t="s">
        <v>1168</v>
      </c>
      <c r="E403" s="10">
        <v>12</v>
      </c>
      <c r="F403" s="9" t="s">
        <v>666</v>
      </c>
      <c r="G403" s="11">
        <v>46238</v>
      </c>
      <c r="H403" s="12">
        <v>41.13</v>
      </c>
      <c r="I403" s="12">
        <v>36.61</v>
      </c>
      <c r="J403" s="9" t="s">
        <v>3</v>
      </c>
      <c r="K403" s="8">
        <v>0</v>
      </c>
    </row>
    <row r="404" spans="1:11">
      <c r="A404" s="2" t="s">
        <v>906</v>
      </c>
      <c r="B404" s="2" t="s">
        <v>983</v>
      </c>
      <c r="C404" s="9">
        <v>10017000</v>
      </c>
      <c r="D404" s="2" t="s">
        <v>1169</v>
      </c>
      <c r="E404" s="10">
        <v>8</v>
      </c>
      <c r="F404" s="9" t="s">
        <v>982</v>
      </c>
      <c r="G404" s="11">
        <v>46238</v>
      </c>
      <c r="H404" s="12">
        <v>89.11</v>
      </c>
      <c r="I404" s="12">
        <v>81.98</v>
      </c>
      <c r="J404" s="9" t="s">
        <v>3</v>
      </c>
      <c r="K404" s="8">
        <v>0</v>
      </c>
    </row>
    <row r="405" spans="1:11">
      <c r="A405" s="2" t="s">
        <v>906</v>
      </c>
      <c r="B405" s="2" t="s">
        <v>983</v>
      </c>
      <c r="C405" s="9">
        <v>10017002</v>
      </c>
      <c r="D405" s="2" t="s">
        <v>1170</v>
      </c>
      <c r="E405" s="10">
        <v>12</v>
      </c>
      <c r="F405" s="9" t="s">
        <v>1171</v>
      </c>
      <c r="G405" s="11">
        <v>46238</v>
      </c>
      <c r="H405" s="12">
        <v>107.52</v>
      </c>
      <c r="I405" s="12">
        <v>103.92</v>
      </c>
      <c r="J405" s="9" t="s">
        <v>3</v>
      </c>
      <c r="K405" s="8">
        <v>0</v>
      </c>
    </row>
    <row r="406" spans="1:11">
      <c r="A406" s="2" t="s">
        <v>721</v>
      </c>
      <c r="B406" s="2" t="s">
        <v>1161</v>
      </c>
      <c r="C406" s="9">
        <v>10017020</v>
      </c>
      <c r="D406" s="2" t="s">
        <v>1172</v>
      </c>
      <c r="E406" s="10">
        <v>8</v>
      </c>
      <c r="F406" s="9" t="s">
        <v>1173</v>
      </c>
      <c r="G406" s="11">
        <v>46238</v>
      </c>
      <c r="H406" s="12">
        <v>51.58</v>
      </c>
      <c r="I406" s="12">
        <v>45.91</v>
      </c>
      <c r="J406" s="9" t="s">
        <v>3</v>
      </c>
      <c r="K406" s="8">
        <v>0</v>
      </c>
    </row>
    <row r="407" spans="1:11">
      <c r="A407" s="2" t="s">
        <v>1174</v>
      </c>
      <c r="B407" s="2" t="s">
        <v>1175</v>
      </c>
      <c r="C407" s="9">
        <v>10017022</v>
      </c>
      <c r="D407" s="2" t="s">
        <v>1176</v>
      </c>
      <c r="E407" s="10">
        <v>12</v>
      </c>
      <c r="F407" s="9" t="s">
        <v>917</v>
      </c>
      <c r="G407" s="11">
        <v>46238</v>
      </c>
      <c r="H407" s="12">
        <v>61.87</v>
      </c>
      <c r="I407" s="12">
        <v>55.06</v>
      </c>
      <c r="J407" s="9" t="s">
        <v>3</v>
      </c>
      <c r="K407" s="8">
        <v>0</v>
      </c>
    </row>
    <row r="408" spans="1:11">
      <c r="A408" s="2" t="s">
        <v>906</v>
      </c>
      <c r="B408" s="2" t="s">
        <v>977</v>
      </c>
      <c r="C408" s="9">
        <v>10017040</v>
      </c>
      <c r="D408" s="2" t="s">
        <v>1177</v>
      </c>
      <c r="E408" s="10">
        <v>2</v>
      </c>
      <c r="F408" s="9" t="s">
        <v>997</v>
      </c>
      <c r="G408" s="11">
        <v>46238</v>
      </c>
      <c r="H408" s="12">
        <v>31.84</v>
      </c>
      <c r="I408" s="12">
        <v>29.3</v>
      </c>
      <c r="J408" s="9" t="s">
        <v>3</v>
      </c>
      <c r="K408" s="8">
        <v>1</v>
      </c>
    </row>
    <row r="409" spans="1:11">
      <c r="A409" s="2" t="s">
        <v>906</v>
      </c>
      <c r="B409" s="2" t="s">
        <v>977</v>
      </c>
      <c r="C409" s="9">
        <v>10017041</v>
      </c>
      <c r="D409" s="2" t="s">
        <v>1178</v>
      </c>
      <c r="E409" s="10">
        <v>2</v>
      </c>
      <c r="F409" s="9" t="s">
        <v>997</v>
      </c>
      <c r="G409" s="11">
        <v>46238</v>
      </c>
      <c r="H409" s="12">
        <v>31.84</v>
      </c>
      <c r="I409" s="12">
        <v>29.3</v>
      </c>
      <c r="J409" s="9" t="s">
        <v>3</v>
      </c>
      <c r="K409" s="8">
        <v>1</v>
      </c>
    </row>
    <row r="410" spans="1:11">
      <c r="A410" s="2" t="s">
        <v>906</v>
      </c>
      <c r="B410" s="2" t="s">
        <v>983</v>
      </c>
      <c r="C410" s="9">
        <v>10017050</v>
      </c>
      <c r="D410" s="2" t="s">
        <v>1179</v>
      </c>
      <c r="E410" s="10">
        <v>12</v>
      </c>
      <c r="F410" s="9" t="s">
        <v>985</v>
      </c>
      <c r="G410" s="11">
        <v>46238</v>
      </c>
      <c r="H410" s="12">
        <v>88.01</v>
      </c>
      <c r="I410" s="12">
        <v>80.97</v>
      </c>
      <c r="J410" s="9" t="s">
        <v>3</v>
      </c>
      <c r="K410" s="8">
        <v>0</v>
      </c>
    </row>
    <row r="411" spans="1:11">
      <c r="A411" s="2" t="s">
        <v>906</v>
      </c>
      <c r="B411" s="2" t="s">
        <v>983</v>
      </c>
      <c r="C411" s="9">
        <v>10017054</v>
      </c>
      <c r="D411" s="2" t="s">
        <v>1180</v>
      </c>
      <c r="E411" s="10">
        <v>12</v>
      </c>
      <c r="F411" s="9" t="s">
        <v>982</v>
      </c>
      <c r="G411" s="11">
        <v>46238</v>
      </c>
      <c r="H411" s="12">
        <v>83.35</v>
      </c>
      <c r="I411" s="12">
        <v>76.680000000000007</v>
      </c>
      <c r="J411" s="9" t="s">
        <v>3</v>
      </c>
      <c r="K411" s="8">
        <v>0</v>
      </c>
    </row>
    <row r="412" spans="1:11">
      <c r="A412" s="2" t="s">
        <v>721</v>
      </c>
      <c r="B412" s="2" t="s">
        <v>1161</v>
      </c>
      <c r="C412" s="9">
        <v>10017114</v>
      </c>
      <c r="D412" s="2" t="s">
        <v>1181</v>
      </c>
      <c r="E412" s="10">
        <v>8</v>
      </c>
      <c r="F412" s="9" t="s">
        <v>1173</v>
      </c>
      <c r="G412" s="11">
        <v>46238</v>
      </c>
      <c r="H412" s="12">
        <v>51.58</v>
      </c>
      <c r="I412" s="12">
        <v>45.91</v>
      </c>
      <c r="J412" s="9" t="s">
        <v>3</v>
      </c>
      <c r="K412" s="8">
        <v>0</v>
      </c>
    </row>
    <row r="413" spans="1:11">
      <c r="A413" s="2" t="s">
        <v>906</v>
      </c>
      <c r="B413" s="2" t="s">
        <v>977</v>
      </c>
      <c r="C413" s="9">
        <v>10017119</v>
      </c>
      <c r="D413" s="2" t="s">
        <v>1182</v>
      </c>
      <c r="E413" s="10">
        <v>2</v>
      </c>
      <c r="F413" s="9" t="s">
        <v>991</v>
      </c>
      <c r="G413" s="11">
        <v>46238</v>
      </c>
      <c r="H413" s="12">
        <v>42.42</v>
      </c>
      <c r="I413" s="12">
        <v>39.03</v>
      </c>
      <c r="J413" s="9" t="s">
        <v>3</v>
      </c>
      <c r="K413" s="8">
        <v>1</v>
      </c>
    </row>
    <row r="414" spans="1:11">
      <c r="A414" s="2" t="s">
        <v>906</v>
      </c>
      <c r="B414" s="2" t="s">
        <v>1183</v>
      </c>
      <c r="C414" s="9">
        <v>10017131</v>
      </c>
      <c r="D414" s="2" t="s">
        <v>1184</v>
      </c>
      <c r="E414" s="10">
        <v>20</v>
      </c>
      <c r="F414" s="9" t="s">
        <v>1185</v>
      </c>
      <c r="G414" s="11">
        <v>46238</v>
      </c>
      <c r="H414" s="12">
        <v>259.33</v>
      </c>
      <c r="I414" s="12">
        <v>238.58</v>
      </c>
      <c r="J414" s="9" t="s">
        <v>3</v>
      </c>
      <c r="K414" s="8">
        <v>0</v>
      </c>
    </row>
    <row r="415" spans="1:11">
      <c r="A415" s="2" t="s">
        <v>906</v>
      </c>
      <c r="B415" s="2" t="s">
        <v>1000</v>
      </c>
      <c r="C415" s="9">
        <v>10017138</v>
      </c>
      <c r="D415" s="2" t="s">
        <v>1186</v>
      </c>
      <c r="E415" s="10">
        <v>8</v>
      </c>
      <c r="F415" s="9" t="s">
        <v>768</v>
      </c>
      <c r="G415" s="11">
        <v>46238</v>
      </c>
      <c r="H415" s="12">
        <v>163.22999999999999</v>
      </c>
      <c r="I415" s="12">
        <v>150.16999999999999</v>
      </c>
      <c r="J415" s="9" t="s">
        <v>3</v>
      </c>
      <c r="K415" s="8">
        <v>0</v>
      </c>
    </row>
    <row r="416" spans="1:11">
      <c r="A416" s="2" t="s">
        <v>906</v>
      </c>
      <c r="B416" s="2" t="s">
        <v>1000</v>
      </c>
      <c r="C416" s="9">
        <v>10017139</v>
      </c>
      <c r="D416" s="2" t="s">
        <v>1187</v>
      </c>
      <c r="E416" s="10">
        <v>2</v>
      </c>
      <c r="F416" s="9" t="s">
        <v>997</v>
      </c>
      <c r="G416" s="11">
        <v>46238</v>
      </c>
      <c r="H416" s="12">
        <v>38.5</v>
      </c>
      <c r="I416" s="12">
        <v>35.42</v>
      </c>
      <c r="J416" s="9" t="s">
        <v>3</v>
      </c>
      <c r="K416" s="8">
        <v>1</v>
      </c>
    </row>
    <row r="417" spans="1:11">
      <c r="A417" s="2" t="s">
        <v>906</v>
      </c>
      <c r="B417" s="2" t="s">
        <v>1000</v>
      </c>
      <c r="C417" s="9">
        <v>10017141</v>
      </c>
      <c r="D417" s="2" t="s">
        <v>1188</v>
      </c>
      <c r="E417" s="10">
        <v>9</v>
      </c>
      <c r="F417" s="9" t="s">
        <v>982</v>
      </c>
      <c r="G417" s="11">
        <v>46238</v>
      </c>
      <c r="H417" s="12">
        <v>89.48</v>
      </c>
      <c r="I417" s="12">
        <v>79.64</v>
      </c>
      <c r="J417" s="9" t="s">
        <v>3</v>
      </c>
      <c r="K417" s="8">
        <v>0</v>
      </c>
    </row>
    <row r="418" spans="1:11">
      <c r="A418" s="2" t="s">
        <v>906</v>
      </c>
      <c r="B418" s="2" t="s">
        <v>1000</v>
      </c>
      <c r="C418" s="9">
        <v>10017142</v>
      </c>
      <c r="D418" s="2" t="s">
        <v>1189</v>
      </c>
      <c r="E418" s="10">
        <v>6</v>
      </c>
      <c r="F418" s="9" t="s">
        <v>969</v>
      </c>
      <c r="G418" s="11">
        <v>46238</v>
      </c>
      <c r="H418" s="12">
        <v>44.85</v>
      </c>
      <c r="I418" s="12">
        <v>41.26</v>
      </c>
      <c r="J418" s="9" t="s">
        <v>3</v>
      </c>
      <c r="K418" s="8">
        <v>0</v>
      </c>
    </row>
    <row r="419" spans="1:11">
      <c r="A419" s="2" t="s">
        <v>906</v>
      </c>
      <c r="B419" s="2" t="s">
        <v>983</v>
      </c>
      <c r="C419" s="9">
        <v>10017169</v>
      </c>
      <c r="D419" s="2" t="s">
        <v>1190</v>
      </c>
      <c r="E419" s="10">
        <v>12</v>
      </c>
      <c r="F419" s="9" t="s">
        <v>985</v>
      </c>
      <c r="G419" s="11">
        <v>46238</v>
      </c>
      <c r="H419" s="12">
        <v>66.900000000000006</v>
      </c>
      <c r="I419" s="12">
        <v>61.55</v>
      </c>
      <c r="J419" s="9" t="s">
        <v>3</v>
      </c>
      <c r="K419" s="8">
        <v>0</v>
      </c>
    </row>
    <row r="420" spans="1:11">
      <c r="A420" s="2" t="s">
        <v>906</v>
      </c>
      <c r="B420" s="2" t="s">
        <v>983</v>
      </c>
      <c r="C420" s="9">
        <v>10017174</v>
      </c>
      <c r="D420" s="2" t="s">
        <v>1191</v>
      </c>
      <c r="E420" s="10">
        <v>12</v>
      </c>
      <c r="F420" s="9" t="s">
        <v>985</v>
      </c>
      <c r="G420" s="11">
        <v>46238</v>
      </c>
      <c r="H420" s="12">
        <v>66.900000000000006</v>
      </c>
      <c r="I420" s="12">
        <v>61.55</v>
      </c>
      <c r="J420" s="9" t="s">
        <v>3</v>
      </c>
      <c r="K420" s="8">
        <v>0</v>
      </c>
    </row>
    <row r="421" spans="1:11">
      <c r="A421" s="2" t="s">
        <v>906</v>
      </c>
      <c r="B421" s="2" t="s">
        <v>983</v>
      </c>
      <c r="C421" s="9">
        <v>10017175</v>
      </c>
      <c r="D421" s="2" t="s">
        <v>1192</v>
      </c>
      <c r="E421" s="10">
        <v>12</v>
      </c>
      <c r="F421" s="9" t="s">
        <v>985</v>
      </c>
      <c r="G421" s="11">
        <v>46238</v>
      </c>
      <c r="H421" s="12">
        <v>66.900000000000006</v>
      </c>
      <c r="I421" s="12">
        <v>61.55</v>
      </c>
      <c r="J421" s="9" t="s">
        <v>3</v>
      </c>
      <c r="K421" s="8">
        <v>0</v>
      </c>
    </row>
    <row r="422" spans="1:11">
      <c r="A422" s="2" t="s">
        <v>906</v>
      </c>
      <c r="B422" s="2" t="s">
        <v>983</v>
      </c>
      <c r="C422" s="9">
        <v>10017176</v>
      </c>
      <c r="D422" s="2" t="s">
        <v>1193</v>
      </c>
      <c r="E422" s="10">
        <v>12</v>
      </c>
      <c r="F422" s="9" t="s">
        <v>985</v>
      </c>
      <c r="G422" s="11">
        <v>46238</v>
      </c>
      <c r="H422" s="12">
        <v>66.900000000000006</v>
      </c>
      <c r="I422" s="12">
        <v>61.55</v>
      </c>
      <c r="J422" s="9" t="s">
        <v>3</v>
      </c>
      <c r="K422" s="8">
        <v>0</v>
      </c>
    </row>
    <row r="423" spans="1:11">
      <c r="A423" s="2" t="s">
        <v>906</v>
      </c>
      <c r="B423" s="2" t="s">
        <v>977</v>
      </c>
      <c r="C423" s="9">
        <v>10017179</v>
      </c>
      <c r="D423" s="2" t="s">
        <v>1194</v>
      </c>
      <c r="E423" s="10">
        <v>2</v>
      </c>
      <c r="F423" s="9" t="s">
        <v>991</v>
      </c>
      <c r="G423" s="11">
        <v>46238</v>
      </c>
      <c r="H423" s="12">
        <v>42.61</v>
      </c>
      <c r="I423" s="12">
        <v>39.200000000000003</v>
      </c>
      <c r="J423" s="9" t="s">
        <v>3</v>
      </c>
      <c r="K423" s="8">
        <v>1</v>
      </c>
    </row>
    <row r="424" spans="1:11">
      <c r="A424" s="2" t="s">
        <v>906</v>
      </c>
      <c r="B424" s="2" t="s">
        <v>977</v>
      </c>
      <c r="C424" s="9">
        <v>10017504</v>
      </c>
      <c r="D424" s="2" t="s">
        <v>1195</v>
      </c>
      <c r="E424" s="10">
        <v>2</v>
      </c>
      <c r="F424" s="9" t="s">
        <v>1196</v>
      </c>
      <c r="G424" s="11">
        <v>46238</v>
      </c>
      <c r="H424" s="12">
        <v>38.96</v>
      </c>
      <c r="I424" s="12">
        <v>35.86</v>
      </c>
      <c r="J424" s="9" t="s">
        <v>3</v>
      </c>
      <c r="K424" s="8">
        <v>1</v>
      </c>
    </row>
    <row r="425" spans="1:11">
      <c r="A425" s="2" t="s">
        <v>906</v>
      </c>
      <c r="B425" s="2" t="s">
        <v>983</v>
      </c>
      <c r="C425" s="9">
        <v>10017505</v>
      </c>
      <c r="D425" s="2" t="s">
        <v>1197</v>
      </c>
      <c r="E425" s="10">
        <v>8</v>
      </c>
      <c r="F425" s="9" t="s">
        <v>985</v>
      </c>
      <c r="G425" s="11">
        <v>46238</v>
      </c>
      <c r="H425" s="12">
        <v>70.239999999999995</v>
      </c>
      <c r="I425" s="12">
        <v>64.64</v>
      </c>
      <c r="J425" s="9" t="s">
        <v>3</v>
      </c>
      <c r="K425" s="8">
        <v>0</v>
      </c>
    </row>
    <row r="426" spans="1:11">
      <c r="A426" s="2" t="s">
        <v>906</v>
      </c>
      <c r="B426" s="2" t="s">
        <v>983</v>
      </c>
      <c r="C426" s="9">
        <v>10017506</v>
      </c>
      <c r="D426" s="2" t="s">
        <v>1198</v>
      </c>
      <c r="E426" s="10">
        <v>12</v>
      </c>
      <c r="F426" s="9" t="s">
        <v>982</v>
      </c>
      <c r="G426" s="11">
        <v>46238</v>
      </c>
      <c r="H426" s="12">
        <v>66.900000000000006</v>
      </c>
      <c r="I426" s="12">
        <v>61.55</v>
      </c>
      <c r="J426" s="9" t="s">
        <v>3</v>
      </c>
      <c r="K426" s="8">
        <v>0</v>
      </c>
    </row>
    <row r="427" spans="1:11">
      <c r="A427" s="2" t="s">
        <v>906</v>
      </c>
      <c r="B427" s="2" t="s">
        <v>983</v>
      </c>
      <c r="C427" s="9">
        <v>10017507</v>
      </c>
      <c r="D427" s="2" t="s">
        <v>1199</v>
      </c>
      <c r="E427" s="10">
        <v>12</v>
      </c>
      <c r="F427" s="9" t="s">
        <v>982</v>
      </c>
      <c r="G427" s="11">
        <v>46238</v>
      </c>
      <c r="H427" s="12">
        <v>66.900000000000006</v>
      </c>
      <c r="I427" s="12">
        <v>61.55</v>
      </c>
      <c r="J427" s="9" t="s">
        <v>3</v>
      </c>
      <c r="K427" s="8">
        <v>0</v>
      </c>
    </row>
    <row r="428" spans="1:11">
      <c r="A428" s="2" t="s">
        <v>906</v>
      </c>
      <c r="B428" s="2" t="s">
        <v>983</v>
      </c>
      <c r="C428" s="9">
        <v>10017508</v>
      </c>
      <c r="D428" s="2" t="s">
        <v>1200</v>
      </c>
      <c r="E428" s="10">
        <v>12</v>
      </c>
      <c r="F428" s="9" t="s">
        <v>982</v>
      </c>
      <c r="G428" s="11">
        <v>46238</v>
      </c>
      <c r="H428" s="12">
        <v>66.900000000000006</v>
      </c>
      <c r="I428" s="12">
        <v>61.55</v>
      </c>
      <c r="J428" s="9" t="s">
        <v>3</v>
      </c>
      <c r="K428" s="8">
        <v>0</v>
      </c>
    </row>
    <row r="429" spans="1:11">
      <c r="A429" s="2" t="s">
        <v>906</v>
      </c>
      <c r="B429" s="2" t="s">
        <v>983</v>
      </c>
      <c r="C429" s="9">
        <v>10017509</v>
      </c>
      <c r="D429" s="2" t="s">
        <v>1201</v>
      </c>
      <c r="E429" s="10">
        <v>8</v>
      </c>
      <c r="F429" s="9" t="s">
        <v>985</v>
      </c>
      <c r="G429" s="11">
        <v>46238</v>
      </c>
      <c r="H429" s="12">
        <v>68.08</v>
      </c>
      <c r="I429" s="12">
        <v>62.64</v>
      </c>
      <c r="J429" s="9" t="s">
        <v>3</v>
      </c>
      <c r="K429" s="8">
        <v>0</v>
      </c>
    </row>
    <row r="430" spans="1:11">
      <c r="A430" s="2" t="s">
        <v>687</v>
      </c>
      <c r="B430" s="2" t="s">
        <v>1202</v>
      </c>
      <c r="C430" s="9">
        <v>10017533</v>
      </c>
      <c r="D430" s="2" t="s">
        <v>1203</v>
      </c>
      <c r="E430" s="10">
        <v>6</v>
      </c>
      <c r="F430" s="9" t="s">
        <v>1204</v>
      </c>
      <c r="G430" s="11">
        <v>46238</v>
      </c>
      <c r="H430" s="12">
        <v>51.9</v>
      </c>
      <c r="I430" s="12">
        <v>46.2</v>
      </c>
      <c r="J430" s="9" t="s">
        <v>3</v>
      </c>
      <c r="K430" s="8">
        <v>0</v>
      </c>
    </row>
    <row r="431" spans="1:11">
      <c r="A431" s="2" t="s">
        <v>687</v>
      </c>
      <c r="B431" s="2" t="s">
        <v>1202</v>
      </c>
      <c r="C431" s="9">
        <v>10017534</v>
      </c>
      <c r="D431" s="2" t="s">
        <v>1205</v>
      </c>
      <c r="E431" s="10">
        <v>6</v>
      </c>
      <c r="F431" s="9" t="s">
        <v>1204</v>
      </c>
      <c r="G431" s="11">
        <v>46238</v>
      </c>
      <c r="H431" s="12">
        <v>51.9</v>
      </c>
      <c r="I431" s="12">
        <v>46.2</v>
      </c>
      <c r="J431" s="9" t="s">
        <v>3</v>
      </c>
      <c r="K431" s="8">
        <v>0</v>
      </c>
    </row>
    <row r="432" spans="1:11">
      <c r="A432" s="2" t="s">
        <v>687</v>
      </c>
      <c r="B432" s="2" t="s">
        <v>1202</v>
      </c>
      <c r="C432" s="9">
        <v>10017535</v>
      </c>
      <c r="D432" s="2" t="s">
        <v>1206</v>
      </c>
      <c r="E432" s="10">
        <v>6</v>
      </c>
      <c r="F432" s="9" t="s">
        <v>1204</v>
      </c>
      <c r="G432" s="11">
        <v>46238</v>
      </c>
      <c r="H432" s="12">
        <v>51.9</v>
      </c>
      <c r="I432" s="12">
        <v>46.2</v>
      </c>
      <c r="J432" s="9" t="s">
        <v>3</v>
      </c>
      <c r="K432" s="8">
        <v>0</v>
      </c>
    </row>
    <row r="433" spans="1:11">
      <c r="A433" s="2" t="s">
        <v>607</v>
      </c>
      <c r="B433" s="2" t="s">
        <v>1207</v>
      </c>
      <c r="C433" s="9">
        <v>10017600</v>
      </c>
      <c r="D433" s="2" t="s">
        <v>1208</v>
      </c>
      <c r="E433" s="10">
        <v>5</v>
      </c>
      <c r="F433" s="9" t="s">
        <v>1209</v>
      </c>
      <c r="G433" s="11">
        <v>46238</v>
      </c>
      <c r="H433" s="12">
        <v>23.6</v>
      </c>
      <c r="I433" s="12">
        <v>21</v>
      </c>
      <c r="J433" s="9" t="s">
        <v>3</v>
      </c>
      <c r="K433" s="8">
        <v>0</v>
      </c>
    </row>
    <row r="434" spans="1:11">
      <c r="A434" s="2" t="s">
        <v>607</v>
      </c>
      <c r="B434" s="2" t="s">
        <v>1207</v>
      </c>
      <c r="C434" s="9">
        <v>10017601</v>
      </c>
      <c r="D434" s="2" t="s">
        <v>1210</v>
      </c>
      <c r="E434" s="10">
        <v>5</v>
      </c>
      <c r="F434" s="9" t="s">
        <v>1209</v>
      </c>
      <c r="G434" s="11">
        <v>46238</v>
      </c>
      <c r="H434" s="12">
        <v>23.6</v>
      </c>
      <c r="I434" s="12">
        <v>21</v>
      </c>
      <c r="J434" s="9" t="s">
        <v>3</v>
      </c>
      <c r="K434" s="8">
        <v>0</v>
      </c>
    </row>
    <row r="435" spans="1:11">
      <c r="A435" s="2" t="s">
        <v>607</v>
      </c>
      <c r="B435" s="2" t="s">
        <v>1207</v>
      </c>
      <c r="C435" s="9">
        <v>10017602</v>
      </c>
      <c r="D435" s="2" t="s">
        <v>1211</v>
      </c>
      <c r="E435" s="10">
        <v>5</v>
      </c>
      <c r="F435" s="9" t="s">
        <v>1209</v>
      </c>
      <c r="G435" s="11">
        <v>46238</v>
      </c>
      <c r="H435" s="12">
        <v>23.6</v>
      </c>
      <c r="I435" s="12">
        <v>21</v>
      </c>
      <c r="J435" s="9" t="s">
        <v>3</v>
      </c>
      <c r="K435" s="8">
        <v>0</v>
      </c>
    </row>
    <row r="436" spans="1:11">
      <c r="A436" s="2" t="s">
        <v>607</v>
      </c>
      <c r="B436" s="2" t="s">
        <v>1207</v>
      </c>
      <c r="C436" s="9">
        <v>10017603</v>
      </c>
      <c r="D436" s="2" t="s">
        <v>1212</v>
      </c>
      <c r="E436" s="10">
        <v>5</v>
      </c>
      <c r="F436" s="9" t="s">
        <v>1213</v>
      </c>
      <c r="G436" s="11">
        <v>46238</v>
      </c>
      <c r="H436" s="12">
        <v>23.6</v>
      </c>
      <c r="I436" s="12">
        <v>21</v>
      </c>
      <c r="J436" s="9" t="s">
        <v>3</v>
      </c>
      <c r="K436" s="8">
        <v>0</v>
      </c>
    </row>
    <row r="437" spans="1:11">
      <c r="A437" s="2" t="s">
        <v>607</v>
      </c>
      <c r="B437" s="2" t="s">
        <v>1207</v>
      </c>
      <c r="C437" s="9">
        <v>10017604</v>
      </c>
      <c r="D437" s="2" t="s">
        <v>1214</v>
      </c>
      <c r="E437" s="10">
        <v>5</v>
      </c>
      <c r="F437" s="9" t="s">
        <v>1213</v>
      </c>
      <c r="G437" s="11">
        <v>46238</v>
      </c>
      <c r="H437" s="12">
        <v>23.6</v>
      </c>
      <c r="I437" s="12">
        <v>21</v>
      </c>
      <c r="J437" s="9" t="s">
        <v>3</v>
      </c>
      <c r="K437" s="8">
        <v>0</v>
      </c>
    </row>
    <row r="438" spans="1:11">
      <c r="A438" s="2" t="s">
        <v>607</v>
      </c>
      <c r="B438" s="2" t="s">
        <v>1207</v>
      </c>
      <c r="C438" s="9">
        <v>10017605</v>
      </c>
      <c r="D438" s="2" t="s">
        <v>1215</v>
      </c>
      <c r="E438" s="10">
        <v>5</v>
      </c>
      <c r="F438" s="9" t="s">
        <v>1213</v>
      </c>
      <c r="G438" s="11">
        <v>46238</v>
      </c>
      <c r="H438" s="12">
        <v>23.6</v>
      </c>
      <c r="I438" s="12">
        <v>21</v>
      </c>
      <c r="J438" s="9" t="s">
        <v>3</v>
      </c>
      <c r="K438" s="8">
        <v>0</v>
      </c>
    </row>
    <row r="439" spans="1:11">
      <c r="A439" s="2" t="s">
        <v>607</v>
      </c>
      <c r="B439" s="2" t="s">
        <v>1207</v>
      </c>
      <c r="C439" s="9">
        <v>10017606</v>
      </c>
      <c r="D439" s="2" t="s">
        <v>1216</v>
      </c>
      <c r="E439" s="10">
        <v>5</v>
      </c>
      <c r="F439" s="9" t="s">
        <v>1217</v>
      </c>
      <c r="G439" s="11">
        <v>46238</v>
      </c>
      <c r="H439" s="12">
        <v>23.6</v>
      </c>
      <c r="I439" s="12">
        <v>21</v>
      </c>
      <c r="J439" s="9" t="s">
        <v>3</v>
      </c>
      <c r="K439" s="8">
        <v>0</v>
      </c>
    </row>
    <row r="440" spans="1:11">
      <c r="A440" s="2" t="s">
        <v>607</v>
      </c>
      <c r="B440" s="2" t="s">
        <v>1207</v>
      </c>
      <c r="C440" s="9">
        <v>10017609</v>
      </c>
      <c r="D440" s="2" t="s">
        <v>1218</v>
      </c>
      <c r="E440" s="10">
        <v>5</v>
      </c>
      <c r="F440" s="9" t="s">
        <v>1219</v>
      </c>
      <c r="G440" s="11">
        <v>46238</v>
      </c>
      <c r="H440" s="12">
        <v>23.6</v>
      </c>
      <c r="I440" s="12">
        <v>21</v>
      </c>
      <c r="J440" s="9" t="s">
        <v>3</v>
      </c>
      <c r="K440" s="8">
        <v>0</v>
      </c>
    </row>
    <row r="441" spans="1:11">
      <c r="A441" s="2" t="s">
        <v>607</v>
      </c>
      <c r="B441" s="2" t="s">
        <v>1207</v>
      </c>
      <c r="C441" s="9">
        <v>10017610</v>
      </c>
      <c r="D441" s="2" t="s">
        <v>1220</v>
      </c>
      <c r="E441" s="10">
        <v>5</v>
      </c>
      <c r="F441" s="9" t="s">
        <v>1219</v>
      </c>
      <c r="G441" s="11">
        <v>46238</v>
      </c>
      <c r="H441" s="12">
        <v>23.6</v>
      </c>
      <c r="I441" s="12">
        <v>21</v>
      </c>
      <c r="J441" s="9" t="s">
        <v>3</v>
      </c>
      <c r="K441" s="8">
        <v>0</v>
      </c>
    </row>
    <row r="442" spans="1:11">
      <c r="A442" s="2" t="s">
        <v>607</v>
      </c>
      <c r="B442" s="2" t="s">
        <v>1207</v>
      </c>
      <c r="C442" s="9">
        <v>10017611</v>
      </c>
      <c r="D442" s="2" t="s">
        <v>1221</v>
      </c>
      <c r="E442" s="10">
        <v>5</v>
      </c>
      <c r="F442" s="9" t="s">
        <v>1219</v>
      </c>
      <c r="G442" s="11">
        <v>46238</v>
      </c>
      <c r="H442" s="12">
        <v>23.6</v>
      </c>
      <c r="I442" s="12">
        <v>21</v>
      </c>
      <c r="J442" s="9" t="s">
        <v>3</v>
      </c>
      <c r="K442" s="8">
        <v>0</v>
      </c>
    </row>
    <row r="443" spans="1:11">
      <c r="A443" s="2" t="s">
        <v>607</v>
      </c>
      <c r="B443" s="2" t="s">
        <v>1207</v>
      </c>
      <c r="C443" s="9">
        <v>10017612</v>
      </c>
      <c r="D443" s="2" t="s">
        <v>1222</v>
      </c>
      <c r="E443" s="10">
        <v>5</v>
      </c>
      <c r="F443" s="9" t="s">
        <v>1223</v>
      </c>
      <c r="G443" s="11">
        <v>46238</v>
      </c>
      <c r="H443" s="12">
        <v>23.6</v>
      </c>
      <c r="I443" s="12">
        <v>21</v>
      </c>
      <c r="J443" s="9" t="s">
        <v>3</v>
      </c>
      <c r="K443" s="8">
        <v>0</v>
      </c>
    </row>
    <row r="444" spans="1:11">
      <c r="A444" s="2" t="s">
        <v>607</v>
      </c>
      <c r="B444" s="2" t="s">
        <v>1207</v>
      </c>
      <c r="C444" s="9">
        <v>10017614</v>
      </c>
      <c r="D444" s="2" t="s">
        <v>1224</v>
      </c>
      <c r="E444" s="10">
        <v>5</v>
      </c>
      <c r="F444" s="9" t="s">
        <v>1219</v>
      </c>
      <c r="G444" s="11">
        <v>46238</v>
      </c>
      <c r="H444" s="12">
        <v>23.6</v>
      </c>
      <c r="I444" s="12">
        <v>21</v>
      </c>
      <c r="J444" s="9" t="s">
        <v>3</v>
      </c>
      <c r="K444" s="8">
        <v>0</v>
      </c>
    </row>
    <row r="445" spans="1:11">
      <c r="A445" s="2" t="s">
        <v>607</v>
      </c>
      <c r="B445" s="2" t="s">
        <v>1207</v>
      </c>
      <c r="C445" s="9">
        <v>10017616</v>
      </c>
      <c r="D445" s="2" t="s">
        <v>1225</v>
      </c>
      <c r="E445" s="10">
        <v>5</v>
      </c>
      <c r="F445" s="9" t="s">
        <v>1219</v>
      </c>
      <c r="G445" s="11">
        <v>46238</v>
      </c>
      <c r="H445" s="12">
        <v>23.6</v>
      </c>
      <c r="I445" s="12">
        <v>21</v>
      </c>
      <c r="J445" s="9" t="s">
        <v>3</v>
      </c>
      <c r="K445" s="8">
        <v>0</v>
      </c>
    </row>
    <row r="446" spans="1:11">
      <c r="A446" s="2" t="s">
        <v>607</v>
      </c>
      <c r="B446" s="2" t="s">
        <v>1207</v>
      </c>
      <c r="C446" s="9">
        <v>10017617</v>
      </c>
      <c r="D446" s="2" t="s">
        <v>1226</v>
      </c>
      <c r="E446" s="10">
        <v>5</v>
      </c>
      <c r="F446" s="9" t="s">
        <v>1219</v>
      </c>
      <c r="G446" s="11">
        <v>46238</v>
      </c>
      <c r="H446" s="12">
        <v>23.6</v>
      </c>
      <c r="I446" s="12">
        <v>21</v>
      </c>
      <c r="J446" s="9" t="s">
        <v>3</v>
      </c>
      <c r="K446" s="8">
        <v>0</v>
      </c>
    </row>
    <row r="447" spans="1:11">
      <c r="A447" s="2" t="s">
        <v>607</v>
      </c>
      <c r="B447" s="2" t="s">
        <v>1207</v>
      </c>
      <c r="C447" s="9">
        <v>10018014</v>
      </c>
      <c r="D447" s="2" t="s">
        <v>1227</v>
      </c>
      <c r="E447" s="10">
        <v>5</v>
      </c>
      <c r="F447" s="9" t="s">
        <v>650</v>
      </c>
      <c r="G447" s="11">
        <v>46238</v>
      </c>
      <c r="H447" s="12">
        <v>23.6</v>
      </c>
      <c r="I447" s="12">
        <v>21</v>
      </c>
      <c r="J447" s="9" t="s">
        <v>3</v>
      </c>
      <c r="K447" s="8">
        <v>0</v>
      </c>
    </row>
    <row r="448" spans="1:11">
      <c r="A448" s="2" t="s">
        <v>906</v>
      </c>
      <c r="B448" s="2" t="s">
        <v>977</v>
      </c>
      <c r="C448" s="9">
        <v>10018016</v>
      </c>
      <c r="D448" s="2" t="s">
        <v>1228</v>
      </c>
      <c r="E448" s="10">
        <v>2</v>
      </c>
      <c r="F448" s="9" t="s">
        <v>1229</v>
      </c>
      <c r="G448" s="11">
        <v>46238</v>
      </c>
      <c r="H448" s="12">
        <v>44.46</v>
      </c>
      <c r="I448" s="12">
        <v>40.9</v>
      </c>
      <c r="J448" s="9" t="s">
        <v>3</v>
      </c>
      <c r="K448" s="8">
        <v>1</v>
      </c>
    </row>
    <row r="449" spans="1:11">
      <c r="A449" s="2" t="s">
        <v>906</v>
      </c>
      <c r="B449" s="2" t="s">
        <v>977</v>
      </c>
      <c r="C449" s="9">
        <v>10018018</v>
      </c>
      <c r="D449" s="2" t="s">
        <v>1230</v>
      </c>
      <c r="E449" s="10">
        <v>2</v>
      </c>
      <c r="F449" s="9" t="s">
        <v>991</v>
      </c>
      <c r="G449" s="11">
        <v>46238</v>
      </c>
      <c r="H449" s="12">
        <v>42.42</v>
      </c>
      <c r="I449" s="12">
        <v>39.03</v>
      </c>
      <c r="J449" s="9" t="s">
        <v>3</v>
      </c>
      <c r="K449" s="8">
        <v>1</v>
      </c>
    </row>
    <row r="450" spans="1:11">
      <c r="A450" s="2" t="s">
        <v>906</v>
      </c>
      <c r="B450" s="2" t="s">
        <v>1130</v>
      </c>
      <c r="C450" s="9">
        <v>10018032</v>
      </c>
      <c r="D450" s="2" t="s">
        <v>1231</v>
      </c>
      <c r="E450" s="10">
        <v>1</v>
      </c>
      <c r="F450" s="9" t="s">
        <v>1232</v>
      </c>
      <c r="G450" s="11">
        <v>46238</v>
      </c>
      <c r="H450" s="12">
        <v>10.28</v>
      </c>
      <c r="I450" s="12">
        <v>9.4600000000000009</v>
      </c>
      <c r="J450" s="9" t="s">
        <v>3</v>
      </c>
      <c r="K450" s="8">
        <v>1</v>
      </c>
    </row>
    <row r="451" spans="1:11">
      <c r="A451" s="2" t="s">
        <v>607</v>
      </c>
      <c r="B451" s="2" t="s">
        <v>1207</v>
      </c>
      <c r="C451" s="9">
        <v>10018033</v>
      </c>
      <c r="D451" s="2" t="s">
        <v>1233</v>
      </c>
      <c r="E451" s="10">
        <v>5</v>
      </c>
      <c r="F451" s="9" t="s">
        <v>650</v>
      </c>
      <c r="G451" s="11">
        <v>46238</v>
      </c>
      <c r="H451" s="12">
        <v>23.6</v>
      </c>
      <c r="I451" s="12">
        <v>21</v>
      </c>
      <c r="J451" s="9" t="s">
        <v>3</v>
      </c>
      <c r="K451" s="8">
        <v>0</v>
      </c>
    </row>
    <row r="452" spans="1:11">
      <c r="A452" s="2" t="s">
        <v>607</v>
      </c>
      <c r="B452" s="2" t="s">
        <v>1207</v>
      </c>
      <c r="C452" s="9">
        <v>10018034</v>
      </c>
      <c r="D452" s="2" t="s">
        <v>1234</v>
      </c>
      <c r="E452" s="10">
        <v>5</v>
      </c>
      <c r="F452" s="9" t="s">
        <v>1235</v>
      </c>
      <c r="G452" s="11">
        <v>46238</v>
      </c>
      <c r="H452" s="12">
        <v>23.6</v>
      </c>
      <c r="I452" s="12">
        <v>21</v>
      </c>
      <c r="J452" s="9" t="s">
        <v>3</v>
      </c>
      <c r="K452" s="8">
        <v>0</v>
      </c>
    </row>
    <row r="453" spans="1:11">
      <c r="A453" s="2" t="s">
        <v>607</v>
      </c>
      <c r="B453" s="2" t="s">
        <v>1207</v>
      </c>
      <c r="C453" s="9">
        <v>10018035</v>
      </c>
      <c r="D453" s="2" t="s">
        <v>1236</v>
      </c>
      <c r="E453" s="10">
        <v>5</v>
      </c>
      <c r="F453" s="9" t="s">
        <v>1237</v>
      </c>
      <c r="G453" s="11">
        <v>46238</v>
      </c>
      <c r="H453" s="12">
        <v>23.6</v>
      </c>
      <c r="I453" s="12">
        <v>21</v>
      </c>
      <c r="J453" s="9" t="s">
        <v>3</v>
      </c>
      <c r="K453" s="8">
        <v>0</v>
      </c>
    </row>
    <row r="454" spans="1:11">
      <c r="A454" s="2" t="s">
        <v>607</v>
      </c>
      <c r="B454" s="2" t="s">
        <v>1207</v>
      </c>
      <c r="C454" s="9">
        <v>10018036</v>
      </c>
      <c r="D454" s="2" t="s">
        <v>1238</v>
      </c>
      <c r="E454" s="10">
        <v>5</v>
      </c>
      <c r="F454" s="9" t="s">
        <v>1237</v>
      </c>
      <c r="G454" s="11">
        <v>46238</v>
      </c>
      <c r="H454" s="12">
        <v>23.6</v>
      </c>
      <c r="I454" s="12">
        <v>21</v>
      </c>
      <c r="J454" s="9" t="s">
        <v>3</v>
      </c>
      <c r="K454" s="8">
        <v>0</v>
      </c>
    </row>
    <row r="455" spans="1:11">
      <c r="A455" s="2" t="s">
        <v>906</v>
      </c>
      <c r="B455" s="2" t="s">
        <v>1130</v>
      </c>
      <c r="C455" s="9">
        <v>10018050</v>
      </c>
      <c r="D455" s="2" t="s">
        <v>1239</v>
      </c>
      <c r="E455" s="10">
        <v>12</v>
      </c>
      <c r="F455" s="9" t="s">
        <v>985</v>
      </c>
      <c r="G455" s="11">
        <v>46238</v>
      </c>
      <c r="H455" s="12">
        <v>58.4</v>
      </c>
      <c r="I455" s="12">
        <v>53.73</v>
      </c>
      <c r="J455" s="9" t="s">
        <v>3</v>
      </c>
      <c r="K455" s="8">
        <v>0</v>
      </c>
    </row>
    <row r="456" spans="1:11">
      <c r="A456" s="2" t="s">
        <v>906</v>
      </c>
      <c r="B456" s="2" t="s">
        <v>1130</v>
      </c>
      <c r="C456" s="9">
        <v>10018051</v>
      </c>
      <c r="D456" s="2" t="s">
        <v>1240</v>
      </c>
      <c r="E456" s="10">
        <v>12</v>
      </c>
      <c r="F456" s="9" t="s">
        <v>985</v>
      </c>
      <c r="G456" s="11">
        <v>46238</v>
      </c>
      <c r="H456" s="12">
        <v>57.3</v>
      </c>
      <c r="I456" s="12">
        <v>52.72</v>
      </c>
      <c r="J456" s="9" t="s">
        <v>3</v>
      </c>
      <c r="K456" s="8">
        <v>0</v>
      </c>
    </row>
    <row r="457" spans="1:11">
      <c r="A457" s="2" t="s">
        <v>906</v>
      </c>
      <c r="B457" s="2" t="s">
        <v>1130</v>
      </c>
      <c r="C457" s="9">
        <v>10018052</v>
      </c>
      <c r="D457" s="2" t="s">
        <v>1241</v>
      </c>
      <c r="E457" s="10">
        <v>2</v>
      </c>
      <c r="F457" s="9" t="s">
        <v>1242</v>
      </c>
      <c r="G457" s="11">
        <v>46238</v>
      </c>
      <c r="H457" s="12">
        <v>24.01</v>
      </c>
      <c r="I457" s="12">
        <v>22.09</v>
      </c>
      <c r="J457" s="9" t="s">
        <v>3</v>
      </c>
      <c r="K457" s="8">
        <v>1</v>
      </c>
    </row>
    <row r="458" spans="1:11">
      <c r="A458" s="2" t="s">
        <v>906</v>
      </c>
      <c r="B458" s="2" t="s">
        <v>1130</v>
      </c>
      <c r="C458" s="9">
        <v>10018053</v>
      </c>
      <c r="D458" s="2" t="s">
        <v>1243</v>
      </c>
      <c r="E458" s="10">
        <v>2</v>
      </c>
      <c r="F458" s="9" t="s">
        <v>1242</v>
      </c>
      <c r="G458" s="11">
        <v>46238</v>
      </c>
      <c r="H458" s="12">
        <v>23.55</v>
      </c>
      <c r="I458" s="12">
        <v>21.67</v>
      </c>
      <c r="J458" s="9" t="s">
        <v>3</v>
      </c>
      <c r="K458" s="8">
        <v>1</v>
      </c>
    </row>
    <row r="459" spans="1:11">
      <c r="A459" s="2" t="s">
        <v>906</v>
      </c>
      <c r="B459" s="2" t="s">
        <v>1130</v>
      </c>
      <c r="C459" s="9">
        <v>10018054</v>
      </c>
      <c r="D459" s="2" t="s">
        <v>1244</v>
      </c>
      <c r="E459" s="10">
        <v>1</v>
      </c>
      <c r="F459" s="9" t="s">
        <v>1245</v>
      </c>
      <c r="G459" s="11">
        <v>46238</v>
      </c>
      <c r="H459" s="12">
        <v>73.87</v>
      </c>
      <c r="I459" s="12">
        <v>67.959999999999994</v>
      </c>
      <c r="J459" s="9" t="s">
        <v>3</v>
      </c>
      <c r="K459" s="8">
        <v>0</v>
      </c>
    </row>
    <row r="460" spans="1:11">
      <c r="A460" s="2" t="s">
        <v>1246</v>
      </c>
      <c r="B460" s="2" t="s">
        <v>1247</v>
      </c>
      <c r="C460" s="9">
        <v>10018541</v>
      </c>
      <c r="D460" s="2" t="s">
        <v>1248</v>
      </c>
      <c r="E460" s="10">
        <v>12</v>
      </c>
      <c r="F460" s="9" t="s">
        <v>1249</v>
      </c>
      <c r="G460" s="11">
        <v>46238</v>
      </c>
      <c r="H460" s="12">
        <v>50.88</v>
      </c>
      <c r="I460" s="12">
        <v>45.28</v>
      </c>
      <c r="J460" s="9" t="s">
        <v>3</v>
      </c>
      <c r="K460" s="8">
        <v>0</v>
      </c>
    </row>
    <row r="461" spans="1:11">
      <c r="A461" s="2" t="s">
        <v>1246</v>
      </c>
      <c r="B461" s="2" t="s">
        <v>1247</v>
      </c>
      <c r="C461" s="9">
        <v>10018542</v>
      </c>
      <c r="D461" s="2" t="s">
        <v>1250</v>
      </c>
      <c r="E461" s="10">
        <v>12</v>
      </c>
      <c r="F461" s="9" t="s">
        <v>1249</v>
      </c>
      <c r="G461" s="11">
        <v>46238</v>
      </c>
      <c r="H461" s="12">
        <v>50.88</v>
      </c>
      <c r="I461" s="12">
        <v>45.28</v>
      </c>
      <c r="J461" s="9" t="s">
        <v>3</v>
      </c>
      <c r="K461" s="8">
        <v>0</v>
      </c>
    </row>
    <row r="462" spans="1:11">
      <c r="A462" s="2" t="s">
        <v>1246</v>
      </c>
      <c r="B462" s="2" t="s">
        <v>1247</v>
      </c>
      <c r="C462" s="9">
        <v>10018543</v>
      </c>
      <c r="D462" s="2" t="s">
        <v>1251</v>
      </c>
      <c r="E462" s="10">
        <v>12</v>
      </c>
      <c r="F462" s="9" t="s">
        <v>1249</v>
      </c>
      <c r="G462" s="11">
        <v>46238</v>
      </c>
      <c r="H462" s="12">
        <v>50.88</v>
      </c>
      <c r="I462" s="12">
        <v>45.28</v>
      </c>
      <c r="J462" s="9" t="s">
        <v>3</v>
      </c>
      <c r="K462" s="8">
        <v>0</v>
      </c>
    </row>
    <row r="463" spans="1:11">
      <c r="A463" s="2" t="s">
        <v>1246</v>
      </c>
      <c r="B463" s="2" t="s">
        <v>1247</v>
      </c>
      <c r="C463" s="9">
        <v>10018544</v>
      </c>
      <c r="D463" s="2" t="s">
        <v>1252</v>
      </c>
      <c r="E463" s="10">
        <v>48</v>
      </c>
      <c r="F463" s="9" t="s">
        <v>829</v>
      </c>
      <c r="G463" s="11">
        <v>46238</v>
      </c>
      <c r="H463" s="12">
        <v>203.49</v>
      </c>
      <c r="I463" s="12">
        <v>181.11</v>
      </c>
      <c r="J463" s="9" t="s">
        <v>3</v>
      </c>
      <c r="K463" s="8">
        <v>0</v>
      </c>
    </row>
    <row r="464" spans="1:11">
      <c r="A464" s="2" t="s">
        <v>906</v>
      </c>
      <c r="B464" s="2" t="s">
        <v>977</v>
      </c>
      <c r="C464" s="9">
        <v>10018557</v>
      </c>
      <c r="D464" s="2" t="s">
        <v>1253</v>
      </c>
      <c r="E464" s="10">
        <v>2</v>
      </c>
      <c r="F464" s="9" t="s">
        <v>1229</v>
      </c>
      <c r="G464" s="11">
        <v>46238</v>
      </c>
      <c r="H464" s="12">
        <v>44.46</v>
      </c>
      <c r="I464" s="12">
        <v>40.9</v>
      </c>
      <c r="J464" s="9" t="s">
        <v>3</v>
      </c>
      <c r="K464" s="8">
        <v>1</v>
      </c>
    </row>
    <row r="465" spans="1:11">
      <c r="A465" s="2" t="s">
        <v>906</v>
      </c>
      <c r="B465" s="2" t="s">
        <v>977</v>
      </c>
      <c r="C465" s="9">
        <v>10018610</v>
      </c>
      <c r="D465" s="2" t="s">
        <v>1254</v>
      </c>
      <c r="E465" s="10">
        <v>2</v>
      </c>
      <c r="F465" s="9" t="s">
        <v>997</v>
      </c>
      <c r="G465" s="11">
        <v>46238</v>
      </c>
      <c r="H465" s="12">
        <v>36.56</v>
      </c>
      <c r="I465" s="12">
        <v>33.64</v>
      </c>
      <c r="J465" s="9" t="s">
        <v>3</v>
      </c>
      <c r="K465" s="8">
        <v>1</v>
      </c>
    </row>
    <row r="466" spans="1:11">
      <c r="A466" s="2" t="s">
        <v>1255</v>
      </c>
      <c r="B466" s="2" t="s">
        <v>1256</v>
      </c>
      <c r="C466" s="9">
        <v>10018612</v>
      </c>
      <c r="D466" s="2" t="s">
        <v>1257</v>
      </c>
      <c r="E466" s="10">
        <v>12</v>
      </c>
      <c r="F466" s="9" t="s">
        <v>728</v>
      </c>
      <c r="G466" s="11">
        <v>46238</v>
      </c>
      <c r="H466" s="12">
        <v>59.52</v>
      </c>
      <c r="I466" s="12">
        <v>52.97</v>
      </c>
      <c r="J466" s="9" t="s">
        <v>3</v>
      </c>
      <c r="K466" s="8">
        <v>0</v>
      </c>
    </row>
    <row r="467" spans="1:11">
      <c r="A467" s="2" t="s">
        <v>1255</v>
      </c>
      <c r="B467" s="2" t="s">
        <v>1256</v>
      </c>
      <c r="C467" s="9">
        <v>10018613</v>
      </c>
      <c r="D467" s="2" t="s">
        <v>1258</v>
      </c>
      <c r="E467" s="10">
        <v>12</v>
      </c>
      <c r="F467" s="9" t="s">
        <v>728</v>
      </c>
      <c r="G467" s="11">
        <v>46238</v>
      </c>
      <c r="H467" s="12">
        <v>59.52</v>
      </c>
      <c r="I467" s="12">
        <v>52.97</v>
      </c>
      <c r="J467" s="9" t="s">
        <v>3</v>
      </c>
      <c r="K467" s="8">
        <v>0</v>
      </c>
    </row>
    <row r="468" spans="1:11">
      <c r="A468" s="2" t="s">
        <v>1255</v>
      </c>
      <c r="B468" s="2" t="s">
        <v>1256</v>
      </c>
      <c r="C468" s="9">
        <v>10018614</v>
      </c>
      <c r="D468" s="2" t="s">
        <v>1259</v>
      </c>
      <c r="E468" s="10">
        <v>12</v>
      </c>
      <c r="F468" s="9" t="s">
        <v>728</v>
      </c>
      <c r="G468" s="11">
        <v>46238</v>
      </c>
      <c r="H468" s="12">
        <v>59.52</v>
      </c>
      <c r="I468" s="12">
        <v>52.97</v>
      </c>
      <c r="J468" s="9" t="s">
        <v>3</v>
      </c>
      <c r="K468" s="8">
        <v>0</v>
      </c>
    </row>
    <row r="469" spans="1:11">
      <c r="A469" s="2" t="s">
        <v>1246</v>
      </c>
      <c r="B469" s="2" t="s">
        <v>1247</v>
      </c>
      <c r="C469" s="9">
        <v>10018616</v>
      </c>
      <c r="D469" s="2" t="s">
        <v>1260</v>
      </c>
      <c r="E469" s="10">
        <v>12</v>
      </c>
      <c r="F469" s="9" t="s">
        <v>1249</v>
      </c>
      <c r="G469" s="11">
        <v>46238</v>
      </c>
      <c r="H469" s="12">
        <v>50.88</v>
      </c>
      <c r="I469" s="12">
        <v>45.28</v>
      </c>
      <c r="J469" s="9" t="s">
        <v>3</v>
      </c>
      <c r="K469" s="8">
        <v>0</v>
      </c>
    </row>
    <row r="470" spans="1:11">
      <c r="A470" s="2" t="s">
        <v>1255</v>
      </c>
      <c r="B470" s="2" t="s">
        <v>1261</v>
      </c>
      <c r="C470" s="9">
        <v>10018618</v>
      </c>
      <c r="D470" s="2" t="s">
        <v>1262</v>
      </c>
      <c r="E470" s="10">
        <v>12</v>
      </c>
      <c r="F470" s="9" t="s">
        <v>1263</v>
      </c>
      <c r="G470" s="11">
        <v>46238</v>
      </c>
      <c r="H470" s="12">
        <v>37.799999999999997</v>
      </c>
      <c r="I470" s="12">
        <v>33.6</v>
      </c>
      <c r="J470" s="9" t="s">
        <v>3</v>
      </c>
      <c r="K470" s="8">
        <v>0</v>
      </c>
    </row>
    <row r="471" spans="1:11">
      <c r="A471" s="2" t="s">
        <v>1255</v>
      </c>
      <c r="B471" s="2" t="s">
        <v>1261</v>
      </c>
      <c r="C471" s="9">
        <v>10018646</v>
      </c>
      <c r="D471" s="2" t="s">
        <v>1264</v>
      </c>
      <c r="E471" s="10">
        <v>12</v>
      </c>
      <c r="F471" s="9" t="s">
        <v>1263</v>
      </c>
      <c r="G471" s="11">
        <v>46238</v>
      </c>
      <c r="H471" s="12">
        <v>37.799999999999997</v>
      </c>
      <c r="I471" s="12">
        <v>33.6</v>
      </c>
      <c r="J471" s="9" t="s">
        <v>3</v>
      </c>
      <c r="K471" s="8">
        <v>0</v>
      </c>
    </row>
    <row r="472" spans="1:11">
      <c r="A472" s="2" t="s">
        <v>1255</v>
      </c>
      <c r="B472" s="2" t="s">
        <v>1261</v>
      </c>
      <c r="C472" s="9">
        <v>10018656</v>
      </c>
      <c r="D472" s="2" t="s">
        <v>1265</v>
      </c>
      <c r="E472" s="10">
        <v>12</v>
      </c>
      <c r="F472" s="9" t="s">
        <v>1263</v>
      </c>
      <c r="G472" s="11">
        <v>46238</v>
      </c>
      <c r="H472" s="12">
        <v>37.799999999999997</v>
      </c>
      <c r="I472" s="12">
        <v>33.6</v>
      </c>
      <c r="J472" s="9" t="s">
        <v>3</v>
      </c>
      <c r="K472" s="8">
        <v>0</v>
      </c>
    </row>
    <row r="473" spans="1:11">
      <c r="A473" s="2" t="s">
        <v>1255</v>
      </c>
      <c r="B473" s="2" t="s">
        <v>1261</v>
      </c>
      <c r="C473" s="9">
        <v>10018657</v>
      </c>
      <c r="D473" s="2" t="s">
        <v>1266</v>
      </c>
      <c r="E473" s="10">
        <v>12</v>
      </c>
      <c r="F473" s="9" t="s">
        <v>1263</v>
      </c>
      <c r="G473" s="11">
        <v>46238</v>
      </c>
      <c r="H473" s="12">
        <v>37.799999999999997</v>
      </c>
      <c r="I473" s="12">
        <v>33.6</v>
      </c>
      <c r="J473" s="9" t="s">
        <v>3</v>
      </c>
      <c r="K473" s="8">
        <v>0</v>
      </c>
    </row>
    <row r="474" spans="1:11">
      <c r="A474" s="2" t="s">
        <v>1255</v>
      </c>
      <c r="B474" s="2" t="s">
        <v>1261</v>
      </c>
      <c r="C474" s="9">
        <v>10018658</v>
      </c>
      <c r="D474" s="2" t="s">
        <v>1267</v>
      </c>
      <c r="E474" s="10">
        <v>12</v>
      </c>
      <c r="F474" s="9" t="s">
        <v>1263</v>
      </c>
      <c r="G474" s="11">
        <v>46238</v>
      </c>
      <c r="H474" s="12">
        <v>37.799999999999997</v>
      </c>
      <c r="I474" s="12">
        <v>33.6</v>
      </c>
      <c r="J474" s="9" t="s">
        <v>3</v>
      </c>
      <c r="K474" s="8">
        <v>0</v>
      </c>
    </row>
    <row r="475" spans="1:11">
      <c r="A475" s="2" t="s">
        <v>1255</v>
      </c>
      <c r="B475" s="2" t="s">
        <v>1261</v>
      </c>
      <c r="C475" s="9">
        <v>10018659</v>
      </c>
      <c r="D475" s="2" t="s">
        <v>1268</v>
      </c>
      <c r="E475" s="10">
        <v>12</v>
      </c>
      <c r="F475" s="9" t="s">
        <v>1263</v>
      </c>
      <c r="G475" s="11">
        <v>46238</v>
      </c>
      <c r="H475" s="12">
        <v>37.799999999999997</v>
      </c>
      <c r="I475" s="12">
        <v>33.6</v>
      </c>
      <c r="J475" s="9" t="s">
        <v>3</v>
      </c>
      <c r="K475" s="8">
        <v>0</v>
      </c>
    </row>
    <row r="476" spans="1:11">
      <c r="A476" s="2" t="s">
        <v>1255</v>
      </c>
      <c r="B476" s="2" t="s">
        <v>1261</v>
      </c>
      <c r="C476" s="9">
        <v>10018660</v>
      </c>
      <c r="D476" s="2" t="s">
        <v>1269</v>
      </c>
      <c r="E476" s="10">
        <v>15</v>
      </c>
      <c r="F476" s="9" t="s">
        <v>1263</v>
      </c>
      <c r="G476" s="11">
        <v>46238</v>
      </c>
      <c r="H476" s="12">
        <v>47.25</v>
      </c>
      <c r="I476" s="12">
        <v>42</v>
      </c>
      <c r="J476" s="9" t="s">
        <v>3</v>
      </c>
      <c r="K476" s="8">
        <v>0</v>
      </c>
    </row>
    <row r="477" spans="1:11">
      <c r="A477" s="2" t="s">
        <v>1255</v>
      </c>
      <c r="B477" s="2" t="s">
        <v>1261</v>
      </c>
      <c r="C477" s="9">
        <v>10018661</v>
      </c>
      <c r="D477" s="2" t="s">
        <v>1270</v>
      </c>
      <c r="E477" s="10">
        <v>12</v>
      </c>
      <c r="F477" s="9" t="s">
        <v>1263</v>
      </c>
      <c r="G477" s="11">
        <v>46238</v>
      </c>
      <c r="H477" s="12">
        <v>37.799999999999997</v>
      </c>
      <c r="I477" s="12">
        <v>33.6</v>
      </c>
      <c r="J477" s="9" t="s">
        <v>3</v>
      </c>
      <c r="K477" s="8">
        <v>0</v>
      </c>
    </row>
    <row r="478" spans="1:11">
      <c r="A478" s="2" t="s">
        <v>906</v>
      </c>
      <c r="B478" s="2" t="s">
        <v>983</v>
      </c>
      <c r="C478" s="9">
        <v>10018664</v>
      </c>
      <c r="D478" s="2" t="s">
        <v>1271</v>
      </c>
      <c r="E478" s="10">
        <v>6</v>
      </c>
      <c r="F478" s="9" t="s">
        <v>982</v>
      </c>
      <c r="G478" s="11">
        <v>46238</v>
      </c>
      <c r="H478" s="12">
        <v>39.409999999999997</v>
      </c>
      <c r="I478" s="12">
        <v>36.26</v>
      </c>
      <c r="J478" s="9" t="s">
        <v>3</v>
      </c>
      <c r="K478" s="8">
        <v>0</v>
      </c>
    </row>
    <row r="479" spans="1:11">
      <c r="A479" s="2" t="s">
        <v>906</v>
      </c>
      <c r="B479" s="2" t="s">
        <v>983</v>
      </c>
      <c r="C479" s="9">
        <v>10018665</v>
      </c>
      <c r="D479" s="2" t="s">
        <v>1272</v>
      </c>
      <c r="E479" s="10">
        <v>6</v>
      </c>
      <c r="F479" s="9" t="s">
        <v>982</v>
      </c>
      <c r="G479" s="11">
        <v>46238</v>
      </c>
      <c r="H479" s="12">
        <v>39.409999999999997</v>
      </c>
      <c r="I479" s="12">
        <v>36.26</v>
      </c>
      <c r="J479" s="9" t="s">
        <v>3</v>
      </c>
      <c r="K479" s="8">
        <v>0</v>
      </c>
    </row>
    <row r="480" spans="1:11">
      <c r="A480" s="2" t="s">
        <v>906</v>
      </c>
      <c r="B480" s="2" t="s">
        <v>983</v>
      </c>
      <c r="C480" s="9">
        <v>10018666</v>
      </c>
      <c r="D480" s="2" t="s">
        <v>1273</v>
      </c>
      <c r="E480" s="10">
        <v>6</v>
      </c>
      <c r="F480" s="9" t="s">
        <v>982</v>
      </c>
      <c r="G480" s="11">
        <v>46238</v>
      </c>
      <c r="H480" s="12">
        <v>39.409999999999997</v>
      </c>
      <c r="I480" s="12">
        <v>36.26</v>
      </c>
      <c r="J480" s="9" t="s">
        <v>3</v>
      </c>
      <c r="K480" s="8">
        <v>0</v>
      </c>
    </row>
    <row r="481" spans="1:11">
      <c r="A481" s="2" t="s">
        <v>906</v>
      </c>
      <c r="B481" s="2" t="s">
        <v>983</v>
      </c>
      <c r="C481" s="9">
        <v>10018667</v>
      </c>
      <c r="D481" s="2" t="s">
        <v>1274</v>
      </c>
      <c r="E481" s="10">
        <v>6</v>
      </c>
      <c r="F481" s="9" t="s">
        <v>982</v>
      </c>
      <c r="G481" s="11">
        <v>46238</v>
      </c>
      <c r="H481" s="12">
        <v>39.409999999999997</v>
      </c>
      <c r="I481" s="12">
        <v>36.26</v>
      </c>
      <c r="J481" s="9" t="s">
        <v>3</v>
      </c>
      <c r="K481" s="8">
        <v>0</v>
      </c>
    </row>
    <row r="482" spans="1:11">
      <c r="A482" s="2" t="s">
        <v>906</v>
      </c>
      <c r="B482" s="2" t="s">
        <v>983</v>
      </c>
      <c r="C482" s="9">
        <v>10018668</v>
      </c>
      <c r="D482" s="2" t="s">
        <v>1275</v>
      </c>
      <c r="E482" s="10">
        <v>6</v>
      </c>
      <c r="F482" s="9" t="s">
        <v>982</v>
      </c>
      <c r="G482" s="11">
        <v>46238</v>
      </c>
      <c r="H482" s="12">
        <v>39.409999999999997</v>
      </c>
      <c r="I482" s="12">
        <v>36.26</v>
      </c>
      <c r="J482" s="9" t="s">
        <v>3</v>
      </c>
      <c r="K482" s="8">
        <v>0</v>
      </c>
    </row>
    <row r="483" spans="1:11">
      <c r="A483" s="2" t="s">
        <v>906</v>
      </c>
      <c r="B483" s="2" t="s">
        <v>983</v>
      </c>
      <c r="C483" s="9">
        <v>10018669</v>
      </c>
      <c r="D483" s="2" t="s">
        <v>1276</v>
      </c>
      <c r="E483" s="10">
        <v>9</v>
      </c>
      <c r="F483" s="9" t="s">
        <v>982</v>
      </c>
      <c r="G483" s="11">
        <v>46238</v>
      </c>
      <c r="H483" s="12">
        <v>86.57</v>
      </c>
      <c r="I483" s="12">
        <v>79.64</v>
      </c>
      <c r="J483" s="9" t="s">
        <v>3</v>
      </c>
      <c r="K483" s="8">
        <v>0</v>
      </c>
    </row>
    <row r="484" spans="1:11">
      <c r="A484" s="2" t="s">
        <v>906</v>
      </c>
      <c r="B484" s="2" t="s">
        <v>983</v>
      </c>
      <c r="C484" s="9">
        <v>10018670</v>
      </c>
      <c r="D484" s="2" t="s">
        <v>1277</v>
      </c>
      <c r="E484" s="10">
        <v>9</v>
      </c>
      <c r="F484" s="9" t="s">
        <v>982</v>
      </c>
      <c r="G484" s="11">
        <v>46238</v>
      </c>
      <c r="H484" s="12">
        <v>86.57</v>
      </c>
      <c r="I484" s="12">
        <v>79.64</v>
      </c>
      <c r="J484" s="9" t="s">
        <v>3</v>
      </c>
      <c r="K484" s="8">
        <v>0</v>
      </c>
    </row>
    <row r="485" spans="1:11">
      <c r="A485" s="2" t="s">
        <v>1255</v>
      </c>
      <c r="B485" s="2" t="s">
        <v>1261</v>
      </c>
      <c r="C485" s="9">
        <v>10018671</v>
      </c>
      <c r="D485" s="2" t="s">
        <v>1278</v>
      </c>
      <c r="E485" s="10">
        <v>216</v>
      </c>
      <c r="F485" s="9" t="s">
        <v>1279</v>
      </c>
      <c r="G485" s="11">
        <v>46238</v>
      </c>
      <c r="H485" s="12">
        <v>680.4</v>
      </c>
      <c r="I485" s="12">
        <v>604.79999999999995</v>
      </c>
      <c r="J485" s="9" t="s">
        <v>3</v>
      </c>
      <c r="K485" s="8">
        <v>0</v>
      </c>
    </row>
    <row r="486" spans="1:11">
      <c r="A486" s="2" t="s">
        <v>906</v>
      </c>
      <c r="B486" s="2" t="s">
        <v>983</v>
      </c>
      <c r="C486" s="9">
        <v>10018674</v>
      </c>
      <c r="D486" s="2" t="s">
        <v>1280</v>
      </c>
      <c r="E486" s="10">
        <v>1</v>
      </c>
      <c r="F486" s="9" t="s">
        <v>1281</v>
      </c>
      <c r="G486" s="11">
        <v>46238</v>
      </c>
      <c r="H486" s="12">
        <v>157.85</v>
      </c>
      <c r="I486" s="12">
        <v>140.49</v>
      </c>
      <c r="J486" s="9" t="s">
        <v>3</v>
      </c>
      <c r="K486" s="8">
        <v>0</v>
      </c>
    </row>
    <row r="487" spans="1:11">
      <c r="A487" s="2" t="s">
        <v>906</v>
      </c>
      <c r="B487" s="2" t="s">
        <v>983</v>
      </c>
      <c r="C487" s="9">
        <v>10018675</v>
      </c>
      <c r="D487" s="2" t="s">
        <v>1282</v>
      </c>
      <c r="E487" s="10">
        <v>12</v>
      </c>
      <c r="F487" s="9" t="s">
        <v>1283</v>
      </c>
      <c r="G487" s="11">
        <v>46238</v>
      </c>
      <c r="H487" s="12">
        <v>15.43</v>
      </c>
      <c r="I487" s="12">
        <v>13.73</v>
      </c>
      <c r="J487" s="9" t="s">
        <v>3</v>
      </c>
      <c r="K487" s="8">
        <v>0</v>
      </c>
    </row>
    <row r="488" spans="1:11">
      <c r="A488" s="2" t="s">
        <v>1255</v>
      </c>
      <c r="B488" s="2" t="s">
        <v>1261</v>
      </c>
      <c r="C488" s="9">
        <v>10018676</v>
      </c>
      <c r="D488" s="2" t="s">
        <v>1284</v>
      </c>
      <c r="E488" s="10">
        <v>60</v>
      </c>
      <c r="F488" s="9" t="s">
        <v>829</v>
      </c>
      <c r="G488" s="11">
        <v>46238</v>
      </c>
      <c r="H488" s="12">
        <v>189</v>
      </c>
      <c r="I488" s="12">
        <v>168</v>
      </c>
      <c r="J488" s="9" t="s">
        <v>3</v>
      </c>
      <c r="K488" s="8">
        <v>0</v>
      </c>
    </row>
    <row r="489" spans="1:11">
      <c r="A489" s="2" t="s">
        <v>1255</v>
      </c>
      <c r="B489" s="2" t="s">
        <v>1261</v>
      </c>
      <c r="C489" s="9">
        <v>10018677</v>
      </c>
      <c r="D489" s="2" t="s">
        <v>1285</v>
      </c>
      <c r="E489" s="10">
        <v>12</v>
      </c>
      <c r="F489" s="9" t="s">
        <v>763</v>
      </c>
      <c r="G489" s="11">
        <v>46238</v>
      </c>
      <c r="H489" s="12">
        <v>54.48</v>
      </c>
      <c r="I489" s="12">
        <v>48.48</v>
      </c>
      <c r="J489" s="9" t="s">
        <v>3</v>
      </c>
      <c r="K489" s="8">
        <v>0</v>
      </c>
    </row>
    <row r="490" spans="1:11">
      <c r="A490" s="2" t="s">
        <v>1255</v>
      </c>
      <c r="B490" s="2" t="s">
        <v>1261</v>
      </c>
      <c r="C490" s="9">
        <v>10018678</v>
      </c>
      <c r="D490" s="2" t="s">
        <v>1286</v>
      </c>
      <c r="E490" s="10">
        <v>12</v>
      </c>
      <c r="F490" s="9" t="s">
        <v>763</v>
      </c>
      <c r="G490" s="11">
        <v>46238</v>
      </c>
      <c r="H490" s="12">
        <v>54.48</v>
      </c>
      <c r="I490" s="12">
        <v>48.48</v>
      </c>
      <c r="J490" s="9" t="s">
        <v>3</v>
      </c>
      <c r="K490" s="8">
        <v>0</v>
      </c>
    </row>
    <row r="491" spans="1:11">
      <c r="A491" s="2" t="s">
        <v>906</v>
      </c>
      <c r="B491" s="2" t="s">
        <v>983</v>
      </c>
      <c r="C491" s="9">
        <v>10018858</v>
      </c>
      <c r="D491" s="2" t="s">
        <v>1287</v>
      </c>
      <c r="E491" s="10">
        <v>8</v>
      </c>
      <c r="F491" s="9" t="s">
        <v>985</v>
      </c>
      <c r="G491" s="11">
        <v>46238</v>
      </c>
      <c r="H491" s="12">
        <v>81.52</v>
      </c>
      <c r="I491" s="12">
        <v>75</v>
      </c>
      <c r="J491" s="9" t="s">
        <v>3</v>
      </c>
      <c r="K491" s="8">
        <v>0</v>
      </c>
    </row>
    <row r="492" spans="1:11">
      <c r="A492" s="2" t="s">
        <v>906</v>
      </c>
      <c r="B492" s="2" t="s">
        <v>1288</v>
      </c>
      <c r="C492" s="9">
        <v>10018980</v>
      </c>
      <c r="D492" s="2" t="s">
        <v>1289</v>
      </c>
      <c r="E492" s="10">
        <v>12</v>
      </c>
      <c r="F492" s="9" t="s">
        <v>969</v>
      </c>
      <c r="G492" s="11">
        <v>46238</v>
      </c>
      <c r="H492" s="12">
        <v>83.87</v>
      </c>
      <c r="I492" s="12">
        <v>79.83</v>
      </c>
      <c r="J492" s="9" t="s">
        <v>3</v>
      </c>
      <c r="K492" s="8">
        <v>0</v>
      </c>
    </row>
    <row r="493" spans="1:11">
      <c r="A493" s="2" t="s">
        <v>906</v>
      </c>
      <c r="B493" s="2" t="s">
        <v>1288</v>
      </c>
      <c r="C493" s="9">
        <v>10019094</v>
      </c>
      <c r="D493" s="2" t="s">
        <v>1290</v>
      </c>
      <c r="E493" s="10">
        <v>12</v>
      </c>
      <c r="F493" s="9" t="s">
        <v>969</v>
      </c>
      <c r="G493" s="11">
        <v>46238</v>
      </c>
      <c r="H493" s="12">
        <v>88.42</v>
      </c>
      <c r="I493" s="12">
        <v>81.349999999999994</v>
      </c>
      <c r="J493" s="9" t="s">
        <v>3</v>
      </c>
      <c r="K493" s="8">
        <v>0</v>
      </c>
    </row>
    <row r="494" spans="1:11">
      <c r="A494" s="2" t="s">
        <v>906</v>
      </c>
      <c r="B494" s="2" t="s">
        <v>1288</v>
      </c>
      <c r="C494" s="9">
        <v>10019095</v>
      </c>
      <c r="D494" s="2" t="s">
        <v>1291</v>
      </c>
      <c r="E494" s="10">
        <v>12</v>
      </c>
      <c r="F494" s="9" t="s">
        <v>969</v>
      </c>
      <c r="G494" s="11">
        <v>46238</v>
      </c>
      <c r="H494" s="12">
        <v>88.42</v>
      </c>
      <c r="I494" s="12">
        <v>81.349999999999994</v>
      </c>
      <c r="J494" s="9" t="s">
        <v>3</v>
      </c>
      <c r="K494" s="8">
        <v>0</v>
      </c>
    </row>
    <row r="495" spans="1:11">
      <c r="A495" s="2" t="s">
        <v>906</v>
      </c>
      <c r="B495" s="2" t="s">
        <v>1288</v>
      </c>
      <c r="C495" s="9">
        <v>10019099</v>
      </c>
      <c r="D495" s="2" t="s">
        <v>1292</v>
      </c>
      <c r="E495" s="10">
        <v>12</v>
      </c>
      <c r="F495" s="9" t="s">
        <v>969</v>
      </c>
      <c r="G495" s="11">
        <v>46238</v>
      </c>
      <c r="H495" s="12">
        <v>77.56</v>
      </c>
      <c r="I495" s="12">
        <v>73.91</v>
      </c>
      <c r="J495" s="9" t="s">
        <v>3</v>
      </c>
      <c r="K495" s="8">
        <v>0</v>
      </c>
    </row>
    <row r="496" spans="1:11">
      <c r="A496" s="2" t="s">
        <v>906</v>
      </c>
      <c r="B496" s="2" t="s">
        <v>983</v>
      </c>
      <c r="C496" s="9">
        <v>10019101</v>
      </c>
      <c r="D496" s="2" t="s">
        <v>1293</v>
      </c>
      <c r="E496" s="10">
        <v>12</v>
      </c>
      <c r="F496" s="9" t="s">
        <v>917</v>
      </c>
      <c r="G496" s="11">
        <v>46238</v>
      </c>
      <c r="H496" s="12">
        <v>78.41</v>
      </c>
      <c r="I496" s="12">
        <v>72.14</v>
      </c>
      <c r="J496" s="9" t="s">
        <v>3</v>
      </c>
      <c r="K496" s="8">
        <v>0</v>
      </c>
    </row>
    <row r="497" spans="1:11">
      <c r="A497" s="2" t="s">
        <v>906</v>
      </c>
      <c r="B497" s="2" t="s">
        <v>1288</v>
      </c>
      <c r="C497" s="9">
        <v>10019103</v>
      </c>
      <c r="D497" s="2" t="s">
        <v>1294</v>
      </c>
      <c r="E497" s="10">
        <v>2</v>
      </c>
      <c r="F497" s="9" t="s">
        <v>991</v>
      </c>
      <c r="G497" s="11">
        <v>46238</v>
      </c>
      <c r="H497" s="12">
        <v>67.05</v>
      </c>
      <c r="I497" s="12">
        <v>61.69</v>
      </c>
      <c r="J497" s="9" t="s">
        <v>3</v>
      </c>
      <c r="K497" s="8">
        <v>0</v>
      </c>
    </row>
    <row r="498" spans="1:11">
      <c r="A498" s="2" t="s">
        <v>906</v>
      </c>
      <c r="B498" s="2" t="s">
        <v>1288</v>
      </c>
      <c r="C498" s="9">
        <v>10019104</v>
      </c>
      <c r="D498" s="2" t="s">
        <v>1295</v>
      </c>
      <c r="E498" s="10">
        <v>12</v>
      </c>
      <c r="F498" s="9" t="s">
        <v>969</v>
      </c>
      <c r="G498" s="11">
        <v>46238</v>
      </c>
      <c r="H498" s="12">
        <v>88.42</v>
      </c>
      <c r="I498" s="12">
        <v>81.349999999999994</v>
      </c>
      <c r="J498" s="9" t="s">
        <v>3</v>
      </c>
      <c r="K498" s="8">
        <v>0</v>
      </c>
    </row>
    <row r="499" spans="1:11">
      <c r="A499" s="2" t="s">
        <v>906</v>
      </c>
      <c r="B499" s="2" t="s">
        <v>1288</v>
      </c>
      <c r="C499" s="9">
        <v>10019105</v>
      </c>
      <c r="D499" s="2" t="s">
        <v>1296</v>
      </c>
      <c r="E499" s="10">
        <v>12</v>
      </c>
      <c r="F499" s="9" t="s">
        <v>969</v>
      </c>
      <c r="G499" s="11">
        <v>46238</v>
      </c>
      <c r="H499" s="12">
        <v>88.42</v>
      </c>
      <c r="I499" s="12">
        <v>81.349999999999994</v>
      </c>
      <c r="J499" s="9" t="s">
        <v>3</v>
      </c>
      <c r="K499" s="8">
        <v>0</v>
      </c>
    </row>
    <row r="500" spans="1:11">
      <c r="A500" s="2" t="s">
        <v>906</v>
      </c>
      <c r="B500" s="2" t="s">
        <v>1288</v>
      </c>
      <c r="C500" s="9">
        <v>10019106</v>
      </c>
      <c r="D500" s="2" t="s">
        <v>1297</v>
      </c>
      <c r="E500" s="10">
        <v>12</v>
      </c>
      <c r="F500" s="9" t="s">
        <v>969</v>
      </c>
      <c r="G500" s="11">
        <v>46238</v>
      </c>
      <c r="H500" s="12">
        <v>88.42</v>
      </c>
      <c r="I500" s="12">
        <v>81.349999999999994</v>
      </c>
      <c r="J500" s="9" t="s">
        <v>3</v>
      </c>
      <c r="K500" s="8">
        <v>0</v>
      </c>
    </row>
    <row r="501" spans="1:11">
      <c r="A501" s="2" t="s">
        <v>906</v>
      </c>
      <c r="B501" s="2" t="s">
        <v>1288</v>
      </c>
      <c r="C501" s="9">
        <v>10019107</v>
      </c>
      <c r="D501" s="2" t="s">
        <v>1298</v>
      </c>
      <c r="E501" s="10">
        <v>12</v>
      </c>
      <c r="F501" s="9" t="s">
        <v>969</v>
      </c>
      <c r="G501" s="11">
        <v>46238</v>
      </c>
      <c r="H501" s="12">
        <v>88.42</v>
      </c>
      <c r="I501" s="12">
        <v>81.349999999999994</v>
      </c>
      <c r="J501" s="9" t="s">
        <v>3</v>
      </c>
      <c r="K501" s="8">
        <v>0</v>
      </c>
    </row>
    <row r="502" spans="1:11">
      <c r="A502" s="2" t="s">
        <v>906</v>
      </c>
      <c r="B502" s="2" t="s">
        <v>1288</v>
      </c>
      <c r="C502" s="9">
        <v>10019108</v>
      </c>
      <c r="D502" s="2" t="s">
        <v>1299</v>
      </c>
      <c r="E502" s="10">
        <v>24</v>
      </c>
      <c r="F502" s="9" t="s">
        <v>731</v>
      </c>
      <c r="G502" s="11">
        <v>46238</v>
      </c>
      <c r="H502" s="12">
        <v>48.53</v>
      </c>
      <c r="I502" s="12">
        <v>44.65</v>
      </c>
      <c r="J502" s="9" t="s">
        <v>3</v>
      </c>
      <c r="K502" s="8">
        <v>0</v>
      </c>
    </row>
    <row r="503" spans="1:11">
      <c r="A503" s="2" t="s">
        <v>721</v>
      </c>
      <c r="B503" s="2" t="s">
        <v>1300</v>
      </c>
      <c r="C503" s="9">
        <v>10019130</v>
      </c>
      <c r="D503" s="2" t="s">
        <v>1301</v>
      </c>
      <c r="E503" s="10">
        <v>12</v>
      </c>
      <c r="F503" s="9" t="s">
        <v>1015</v>
      </c>
      <c r="G503" s="11">
        <v>46238</v>
      </c>
      <c r="H503" s="12">
        <v>16.11</v>
      </c>
      <c r="I503" s="12">
        <v>14.34</v>
      </c>
      <c r="J503" s="9" t="s">
        <v>3</v>
      </c>
      <c r="K503" s="8">
        <v>0</v>
      </c>
    </row>
    <row r="504" spans="1:11">
      <c r="A504" s="2" t="s">
        <v>721</v>
      </c>
      <c r="B504" s="2" t="s">
        <v>1300</v>
      </c>
      <c r="C504" s="9">
        <v>10019131</v>
      </c>
      <c r="D504" s="2" t="s">
        <v>1302</v>
      </c>
      <c r="E504" s="10">
        <v>12</v>
      </c>
      <c r="F504" s="9" t="s">
        <v>1015</v>
      </c>
      <c r="G504" s="11">
        <v>46238</v>
      </c>
      <c r="H504" s="12">
        <v>16.11</v>
      </c>
      <c r="I504" s="12">
        <v>14.34</v>
      </c>
      <c r="J504" s="9" t="s">
        <v>3</v>
      </c>
      <c r="K504" s="8">
        <v>0</v>
      </c>
    </row>
    <row r="505" spans="1:11">
      <c r="A505" s="2" t="s">
        <v>721</v>
      </c>
      <c r="B505" s="2" t="s">
        <v>1300</v>
      </c>
      <c r="C505" s="9">
        <v>10019132</v>
      </c>
      <c r="D505" s="2" t="s">
        <v>1303</v>
      </c>
      <c r="E505" s="10">
        <v>4</v>
      </c>
      <c r="F505" s="9" t="s">
        <v>1015</v>
      </c>
      <c r="G505" s="11">
        <v>46238</v>
      </c>
      <c r="H505" s="12">
        <v>21.04</v>
      </c>
      <c r="I505" s="12">
        <v>18.73</v>
      </c>
      <c r="J505" s="9" t="s">
        <v>3</v>
      </c>
      <c r="K505" s="8">
        <v>0</v>
      </c>
    </row>
    <row r="506" spans="1:11">
      <c r="A506" s="2" t="s">
        <v>721</v>
      </c>
      <c r="B506" s="2" t="s">
        <v>1300</v>
      </c>
      <c r="C506" s="9">
        <v>10019133</v>
      </c>
      <c r="D506" s="2" t="s">
        <v>1304</v>
      </c>
      <c r="E506" s="10">
        <v>24</v>
      </c>
      <c r="F506" s="9" t="s">
        <v>622</v>
      </c>
      <c r="G506" s="11">
        <v>46238</v>
      </c>
      <c r="H506" s="12">
        <v>21.04</v>
      </c>
      <c r="I506" s="12">
        <v>18.690000000000001</v>
      </c>
      <c r="J506" s="9" t="s">
        <v>3</v>
      </c>
      <c r="K506" s="8">
        <v>0</v>
      </c>
    </row>
    <row r="507" spans="1:11">
      <c r="A507" s="2" t="s">
        <v>721</v>
      </c>
      <c r="B507" s="2" t="s">
        <v>1300</v>
      </c>
      <c r="C507" s="9">
        <v>10019134</v>
      </c>
      <c r="D507" s="2" t="s">
        <v>1305</v>
      </c>
      <c r="E507" s="10">
        <v>12</v>
      </c>
      <c r="F507" s="9" t="s">
        <v>1306</v>
      </c>
      <c r="G507" s="11">
        <v>46238</v>
      </c>
      <c r="H507" s="12">
        <v>26.26</v>
      </c>
      <c r="I507" s="12">
        <v>23.37</v>
      </c>
      <c r="J507" s="9" t="s">
        <v>3</v>
      </c>
      <c r="K507" s="8">
        <v>0</v>
      </c>
    </row>
    <row r="508" spans="1:11">
      <c r="A508" s="2" t="s">
        <v>721</v>
      </c>
      <c r="B508" s="2" t="s">
        <v>1300</v>
      </c>
      <c r="C508" s="9">
        <v>10019135</v>
      </c>
      <c r="D508" s="2" t="s">
        <v>1307</v>
      </c>
      <c r="E508" s="10">
        <v>6</v>
      </c>
      <c r="F508" s="9" t="s">
        <v>625</v>
      </c>
      <c r="G508" s="11">
        <v>46238</v>
      </c>
      <c r="H508" s="12">
        <v>12.8</v>
      </c>
      <c r="I508" s="12">
        <v>11.39</v>
      </c>
      <c r="J508" s="9" t="s">
        <v>3</v>
      </c>
      <c r="K508" s="8">
        <v>0</v>
      </c>
    </row>
    <row r="509" spans="1:11">
      <c r="A509" s="2" t="s">
        <v>721</v>
      </c>
      <c r="B509" s="2" t="s">
        <v>1300</v>
      </c>
      <c r="C509" s="9">
        <v>10019136</v>
      </c>
      <c r="D509" s="2" t="s">
        <v>1308</v>
      </c>
      <c r="E509" s="10">
        <v>6</v>
      </c>
      <c r="F509" s="9" t="s">
        <v>625</v>
      </c>
      <c r="G509" s="11">
        <v>46238</v>
      </c>
      <c r="H509" s="12">
        <v>12.8</v>
      </c>
      <c r="I509" s="12">
        <v>11.39</v>
      </c>
      <c r="J509" s="9" t="s">
        <v>3</v>
      </c>
      <c r="K509" s="8">
        <v>0</v>
      </c>
    </row>
    <row r="510" spans="1:11">
      <c r="A510" s="2" t="s">
        <v>721</v>
      </c>
      <c r="B510" s="2" t="s">
        <v>1300</v>
      </c>
      <c r="C510" s="9">
        <v>10019137</v>
      </c>
      <c r="D510" s="2" t="s">
        <v>1309</v>
      </c>
      <c r="E510" s="10">
        <v>4</v>
      </c>
      <c r="F510" s="9" t="s">
        <v>1015</v>
      </c>
      <c r="G510" s="11">
        <v>46238</v>
      </c>
      <c r="H510" s="12">
        <v>21.04</v>
      </c>
      <c r="I510" s="12">
        <v>18.73</v>
      </c>
      <c r="J510" s="9" t="s">
        <v>3</v>
      </c>
      <c r="K510" s="8">
        <v>0</v>
      </c>
    </row>
    <row r="511" spans="1:11">
      <c r="A511" s="2" t="s">
        <v>721</v>
      </c>
      <c r="B511" s="2" t="s">
        <v>1300</v>
      </c>
      <c r="C511" s="9">
        <v>10019138</v>
      </c>
      <c r="D511" s="2" t="s">
        <v>1310</v>
      </c>
      <c r="E511" s="10">
        <v>24</v>
      </c>
      <c r="F511" s="9" t="s">
        <v>1015</v>
      </c>
      <c r="G511" s="11">
        <v>46238</v>
      </c>
      <c r="H511" s="12">
        <v>20.93</v>
      </c>
      <c r="I511" s="12">
        <v>18.63</v>
      </c>
      <c r="J511" s="9" t="s">
        <v>3</v>
      </c>
      <c r="K511" s="8">
        <v>0</v>
      </c>
    </row>
    <row r="512" spans="1:11">
      <c r="A512" s="2" t="s">
        <v>721</v>
      </c>
      <c r="B512" s="2" t="s">
        <v>1300</v>
      </c>
      <c r="C512" s="9">
        <v>10019139</v>
      </c>
      <c r="D512" s="2" t="s">
        <v>1311</v>
      </c>
      <c r="E512" s="10">
        <v>12</v>
      </c>
      <c r="F512" s="9" t="s">
        <v>1306</v>
      </c>
      <c r="G512" s="11">
        <v>46238</v>
      </c>
      <c r="H512" s="12">
        <v>26.26</v>
      </c>
      <c r="I512" s="12">
        <v>23.37</v>
      </c>
      <c r="J512" s="9" t="s">
        <v>3</v>
      </c>
      <c r="K512" s="8">
        <v>0</v>
      </c>
    </row>
    <row r="513" spans="1:11">
      <c r="A513" s="2" t="s">
        <v>721</v>
      </c>
      <c r="B513" s="2" t="s">
        <v>1300</v>
      </c>
      <c r="C513" s="9">
        <v>10019140</v>
      </c>
      <c r="D513" s="2" t="s">
        <v>1312</v>
      </c>
      <c r="E513" s="10">
        <v>24</v>
      </c>
      <c r="F513" s="9" t="s">
        <v>622</v>
      </c>
      <c r="G513" s="11">
        <v>46238</v>
      </c>
      <c r="H513" s="12">
        <v>27.96</v>
      </c>
      <c r="I513" s="12">
        <v>24.88</v>
      </c>
      <c r="J513" s="9" t="s">
        <v>3</v>
      </c>
      <c r="K513" s="8">
        <v>0</v>
      </c>
    </row>
    <row r="514" spans="1:11">
      <c r="A514" s="2" t="s">
        <v>721</v>
      </c>
      <c r="B514" s="2" t="s">
        <v>1300</v>
      </c>
      <c r="C514" s="9">
        <v>10019143</v>
      </c>
      <c r="D514" s="2" t="s">
        <v>1313</v>
      </c>
      <c r="E514" s="10">
        <v>24</v>
      </c>
      <c r="F514" s="9" t="s">
        <v>622</v>
      </c>
      <c r="G514" s="11">
        <v>46238</v>
      </c>
      <c r="H514" s="12">
        <v>27.96</v>
      </c>
      <c r="I514" s="12">
        <v>24.88</v>
      </c>
      <c r="J514" s="9" t="s">
        <v>3</v>
      </c>
      <c r="K514" s="8">
        <v>0</v>
      </c>
    </row>
    <row r="515" spans="1:11">
      <c r="A515" s="2" t="s">
        <v>721</v>
      </c>
      <c r="B515" s="2" t="s">
        <v>1300</v>
      </c>
      <c r="C515" s="9">
        <v>10019144</v>
      </c>
      <c r="D515" s="2" t="s">
        <v>1314</v>
      </c>
      <c r="E515" s="10">
        <v>24</v>
      </c>
      <c r="F515" s="9" t="s">
        <v>1315</v>
      </c>
      <c r="G515" s="11">
        <v>46238</v>
      </c>
      <c r="H515" s="12">
        <v>26.26</v>
      </c>
      <c r="I515" s="12">
        <v>23.37</v>
      </c>
      <c r="J515" s="9" t="s">
        <v>3</v>
      </c>
      <c r="K515" s="8">
        <v>0</v>
      </c>
    </row>
    <row r="516" spans="1:11">
      <c r="A516" s="2" t="s">
        <v>721</v>
      </c>
      <c r="B516" s="2" t="s">
        <v>1300</v>
      </c>
      <c r="C516" s="9">
        <v>10019145</v>
      </c>
      <c r="D516" s="2" t="s">
        <v>1316</v>
      </c>
      <c r="E516" s="10">
        <v>24</v>
      </c>
      <c r="F516" s="9" t="s">
        <v>1315</v>
      </c>
      <c r="G516" s="11">
        <v>46238</v>
      </c>
      <c r="H516" s="12">
        <v>26.26</v>
      </c>
      <c r="I516" s="12">
        <v>23.37</v>
      </c>
      <c r="J516" s="9" t="s">
        <v>3</v>
      </c>
      <c r="K516" s="8">
        <v>0</v>
      </c>
    </row>
    <row r="517" spans="1:11">
      <c r="A517" s="2" t="s">
        <v>721</v>
      </c>
      <c r="B517" s="2" t="s">
        <v>1300</v>
      </c>
      <c r="C517" s="9">
        <v>10019146</v>
      </c>
      <c r="D517" s="2" t="s">
        <v>1317</v>
      </c>
      <c r="E517" s="10">
        <v>6</v>
      </c>
      <c r="F517" s="9" t="s">
        <v>622</v>
      </c>
      <c r="G517" s="11">
        <v>46238</v>
      </c>
      <c r="H517" s="12">
        <v>27.93</v>
      </c>
      <c r="I517" s="12">
        <v>24.86</v>
      </c>
      <c r="J517" s="9" t="s">
        <v>3</v>
      </c>
      <c r="K517" s="8">
        <v>0</v>
      </c>
    </row>
    <row r="518" spans="1:11">
      <c r="A518" s="2" t="s">
        <v>721</v>
      </c>
      <c r="B518" s="2" t="s">
        <v>1300</v>
      </c>
      <c r="C518" s="9">
        <v>10019147</v>
      </c>
      <c r="D518" s="2" t="s">
        <v>1318</v>
      </c>
      <c r="E518" s="10">
        <v>6</v>
      </c>
      <c r="F518" s="9" t="s">
        <v>622</v>
      </c>
      <c r="G518" s="11">
        <v>46238</v>
      </c>
      <c r="H518" s="12">
        <v>27.93</v>
      </c>
      <c r="I518" s="12">
        <v>24.86</v>
      </c>
      <c r="J518" s="9" t="s">
        <v>3</v>
      </c>
      <c r="K518" s="8">
        <v>0</v>
      </c>
    </row>
    <row r="519" spans="1:11">
      <c r="A519" s="2" t="s">
        <v>1319</v>
      </c>
      <c r="B519" s="2" t="s">
        <v>1320</v>
      </c>
      <c r="C519" s="9">
        <v>10019600</v>
      </c>
      <c r="D519" s="2" t="s">
        <v>1321</v>
      </c>
      <c r="E519" s="10">
        <v>1</v>
      </c>
      <c r="F519" s="9" t="s">
        <v>837</v>
      </c>
      <c r="G519" s="11">
        <v>46238</v>
      </c>
      <c r="H519" s="12">
        <v>21.55</v>
      </c>
      <c r="I519" s="12">
        <v>21.55</v>
      </c>
      <c r="J519" s="9" t="s">
        <v>3</v>
      </c>
      <c r="K519" s="8">
        <v>1</v>
      </c>
    </row>
    <row r="520" spans="1:11">
      <c r="A520" s="2" t="s">
        <v>1319</v>
      </c>
      <c r="B520" s="2" t="s">
        <v>1320</v>
      </c>
      <c r="C520" s="9">
        <v>10019602</v>
      </c>
      <c r="D520" s="2" t="s">
        <v>1322</v>
      </c>
      <c r="E520" s="10">
        <v>12</v>
      </c>
      <c r="F520" s="9" t="s">
        <v>1323</v>
      </c>
      <c r="G520" s="11">
        <v>46238</v>
      </c>
      <c r="H520" s="12">
        <v>72.12</v>
      </c>
      <c r="I520" s="12">
        <v>72.12</v>
      </c>
      <c r="J520" s="9" t="s">
        <v>3</v>
      </c>
      <c r="K520" s="8">
        <v>0</v>
      </c>
    </row>
    <row r="521" spans="1:11">
      <c r="A521" s="2" t="s">
        <v>1319</v>
      </c>
      <c r="B521" s="2" t="s">
        <v>1320</v>
      </c>
      <c r="C521" s="9">
        <v>10019604</v>
      </c>
      <c r="D521" s="2" t="s">
        <v>1324</v>
      </c>
      <c r="E521" s="10">
        <v>6</v>
      </c>
      <c r="F521" s="9" t="s">
        <v>1171</v>
      </c>
      <c r="G521" s="11">
        <v>46238</v>
      </c>
      <c r="H521" s="12">
        <v>39.840000000000003</v>
      </c>
      <c r="I521" s="12">
        <v>39.840000000000003</v>
      </c>
      <c r="J521" s="9" t="s">
        <v>3</v>
      </c>
      <c r="K521" s="8">
        <v>0</v>
      </c>
    </row>
    <row r="522" spans="1:11">
      <c r="A522" s="2" t="s">
        <v>1319</v>
      </c>
      <c r="B522" s="2" t="s">
        <v>1320</v>
      </c>
      <c r="C522" s="9">
        <v>10019605</v>
      </c>
      <c r="D522" s="2" t="s">
        <v>1325</v>
      </c>
      <c r="E522" s="10">
        <v>12</v>
      </c>
      <c r="F522" s="9" t="s">
        <v>1112</v>
      </c>
      <c r="G522" s="11">
        <v>46238</v>
      </c>
      <c r="H522" s="12">
        <v>71.760000000000005</v>
      </c>
      <c r="I522" s="12">
        <v>71.760000000000005</v>
      </c>
      <c r="J522" s="9" t="s">
        <v>3</v>
      </c>
      <c r="K522" s="8">
        <v>0</v>
      </c>
    </row>
    <row r="523" spans="1:11">
      <c r="A523" s="2" t="s">
        <v>1319</v>
      </c>
      <c r="B523" s="2" t="s">
        <v>1320</v>
      </c>
      <c r="C523" s="9">
        <v>10019606</v>
      </c>
      <c r="D523" s="2" t="s">
        <v>1326</v>
      </c>
      <c r="E523" s="10">
        <v>12</v>
      </c>
      <c r="F523" s="9" t="s">
        <v>1112</v>
      </c>
      <c r="G523" s="11">
        <v>46238</v>
      </c>
      <c r="H523" s="12">
        <v>71.760000000000005</v>
      </c>
      <c r="I523" s="12">
        <v>71.760000000000005</v>
      </c>
      <c r="J523" s="9" t="s">
        <v>3</v>
      </c>
      <c r="K523" s="8">
        <v>0</v>
      </c>
    </row>
    <row r="524" spans="1:11">
      <c r="A524" s="2" t="s">
        <v>1319</v>
      </c>
      <c r="B524" s="2" t="s">
        <v>1320</v>
      </c>
      <c r="C524" s="9">
        <v>10019609</v>
      </c>
      <c r="D524" s="2" t="s">
        <v>1327</v>
      </c>
      <c r="E524" s="10">
        <v>12</v>
      </c>
      <c r="F524" s="9" t="s">
        <v>969</v>
      </c>
      <c r="G524" s="11">
        <v>46238</v>
      </c>
      <c r="H524" s="12">
        <v>55.44</v>
      </c>
      <c r="I524" s="12">
        <v>55.44</v>
      </c>
      <c r="J524" s="9" t="s">
        <v>3</v>
      </c>
      <c r="K524" s="8">
        <v>0</v>
      </c>
    </row>
    <row r="525" spans="1:11">
      <c r="A525" s="2" t="s">
        <v>1319</v>
      </c>
      <c r="B525" s="2" t="s">
        <v>1320</v>
      </c>
      <c r="C525" s="9">
        <v>10019610</v>
      </c>
      <c r="D525" s="2" t="s">
        <v>1328</v>
      </c>
      <c r="E525" s="10">
        <v>12</v>
      </c>
      <c r="F525" s="9" t="s">
        <v>969</v>
      </c>
      <c r="G525" s="11">
        <v>46238</v>
      </c>
      <c r="H525" s="12">
        <v>51.12</v>
      </c>
      <c r="I525" s="12">
        <v>51.12</v>
      </c>
      <c r="J525" s="9" t="s">
        <v>3</v>
      </c>
      <c r="K525" s="8">
        <v>0</v>
      </c>
    </row>
    <row r="526" spans="1:11">
      <c r="A526" s="2" t="s">
        <v>1319</v>
      </c>
      <c r="B526" s="2" t="s">
        <v>1320</v>
      </c>
      <c r="C526" s="9">
        <v>10019611</v>
      </c>
      <c r="D526" s="2" t="s">
        <v>1329</v>
      </c>
      <c r="E526" s="10">
        <v>12</v>
      </c>
      <c r="F526" s="9" t="s">
        <v>969</v>
      </c>
      <c r="G526" s="11">
        <v>46238</v>
      </c>
      <c r="H526" s="12">
        <v>51.12</v>
      </c>
      <c r="I526" s="12">
        <v>51.12</v>
      </c>
      <c r="J526" s="9" t="s">
        <v>3</v>
      </c>
      <c r="K526" s="8">
        <v>0</v>
      </c>
    </row>
    <row r="527" spans="1:11">
      <c r="A527" s="2" t="s">
        <v>1319</v>
      </c>
      <c r="B527" s="2" t="s">
        <v>1320</v>
      </c>
      <c r="C527" s="9">
        <v>10019612</v>
      </c>
      <c r="D527" s="2" t="s">
        <v>1330</v>
      </c>
      <c r="E527" s="10">
        <v>12</v>
      </c>
      <c r="F527" s="9" t="s">
        <v>969</v>
      </c>
      <c r="G527" s="11">
        <v>46238</v>
      </c>
      <c r="H527" s="12">
        <v>51.12</v>
      </c>
      <c r="I527" s="12">
        <v>51.12</v>
      </c>
      <c r="J527" s="9" t="s">
        <v>3</v>
      </c>
      <c r="K527" s="8">
        <v>0</v>
      </c>
    </row>
    <row r="528" spans="1:11">
      <c r="A528" s="2" t="s">
        <v>1319</v>
      </c>
      <c r="B528" s="2" t="s">
        <v>1320</v>
      </c>
      <c r="C528" s="9">
        <v>10019613</v>
      </c>
      <c r="D528" s="2" t="s">
        <v>1331</v>
      </c>
      <c r="E528" s="10">
        <v>16</v>
      </c>
      <c r="F528" s="9" t="s">
        <v>866</v>
      </c>
      <c r="G528" s="11">
        <v>46238</v>
      </c>
      <c r="H528" s="12">
        <v>72.959999999999994</v>
      </c>
      <c r="I528" s="12">
        <v>72.959999999999994</v>
      </c>
      <c r="J528" s="9" t="s">
        <v>3</v>
      </c>
      <c r="K528" s="8">
        <v>0</v>
      </c>
    </row>
    <row r="529" spans="1:11">
      <c r="A529" s="2" t="s">
        <v>1319</v>
      </c>
      <c r="B529" s="2" t="s">
        <v>1320</v>
      </c>
      <c r="C529" s="9">
        <v>10019614</v>
      </c>
      <c r="D529" s="2" t="s">
        <v>1332</v>
      </c>
      <c r="E529" s="10">
        <v>12</v>
      </c>
      <c r="F529" s="9" t="s">
        <v>969</v>
      </c>
      <c r="G529" s="11">
        <v>46238</v>
      </c>
      <c r="H529" s="12">
        <v>51.12</v>
      </c>
      <c r="I529" s="12">
        <v>51.12</v>
      </c>
      <c r="J529" s="9" t="s">
        <v>3</v>
      </c>
      <c r="K529" s="8">
        <v>0</v>
      </c>
    </row>
    <row r="530" spans="1:11">
      <c r="A530" s="2" t="s">
        <v>1319</v>
      </c>
      <c r="B530" s="2" t="s">
        <v>1320</v>
      </c>
      <c r="C530" s="9">
        <v>10019615</v>
      </c>
      <c r="D530" s="2" t="s">
        <v>1333</v>
      </c>
      <c r="E530" s="10">
        <v>12</v>
      </c>
      <c r="F530" s="9" t="s">
        <v>985</v>
      </c>
      <c r="G530" s="11">
        <v>46238</v>
      </c>
      <c r="H530" s="12">
        <v>54</v>
      </c>
      <c r="I530" s="12">
        <v>54</v>
      </c>
      <c r="J530" s="9" t="s">
        <v>3</v>
      </c>
      <c r="K530" s="8">
        <v>0</v>
      </c>
    </row>
    <row r="531" spans="1:11">
      <c r="A531" s="2" t="s">
        <v>1319</v>
      </c>
      <c r="B531" s="2" t="s">
        <v>1320</v>
      </c>
      <c r="C531" s="9">
        <v>10019617</v>
      </c>
      <c r="D531" s="2" t="s">
        <v>1334</v>
      </c>
      <c r="E531" s="10">
        <v>12</v>
      </c>
      <c r="F531" s="9" t="s">
        <v>985</v>
      </c>
      <c r="G531" s="11">
        <v>46238</v>
      </c>
      <c r="H531" s="12">
        <v>54</v>
      </c>
      <c r="I531" s="12">
        <v>54</v>
      </c>
      <c r="J531" s="9" t="s">
        <v>3</v>
      </c>
      <c r="K531" s="8">
        <v>0</v>
      </c>
    </row>
    <row r="532" spans="1:11">
      <c r="A532" s="2" t="s">
        <v>1319</v>
      </c>
      <c r="B532" s="2" t="s">
        <v>1320</v>
      </c>
      <c r="C532" s="9">
        <v>10019618</v>
      </c>
      <c r="D532" s="2" t="s">
        <v>1335</v>
      </c>
      <c r="E532" s="10">
        <v>1</v>
      </c>
      <c r="F532" s="9" t="s">
        <v>1079</v>
      </c>
      <c r="G532" s="11">
        <v>46238</v>
      </c>
      <c r="H532" s="12">
        <v>35.06</v>
      </c>
      <c r="I532" s="12">
        <v>35.06</v>
      </c>
      <c r="J532" s="9" t="s">
        <v>3</v>
      </c>
      <c r="K532" s="8">
        <v>1</v>
      </c>
    </row>
    <row r="533" spans="1:11">
      <c r="A533" s="2" t="s">
        <v>1319</v>
      </c>
      <c r="B533" s="2" t="s">
        <v>1320</v>
      </c>
      <c r="C533" s="9">
        <v>10019620</v>
      </c>
      <c r="D533" s="2" t="s">
        <v>1336</v>
      </c>
      <c r="E533" s="10">
        <v>1</v>
      </c>
      <c r="F533" s="9" t="s">
        <v>1232</v>
      </c>
      <c r="G533" s="11">
        <v>46238</v>
      </c>
      <c r="H533" s="12">
        <v>14.65</v>
      </c>
      <c r="I533" s="12">
        <v>14.65</v>
      </c>
      <c r="J533" s="9" t="s">
        <v>3</v>
      </c>
      <c r="K533" s="8">
        <v>1</v>
      </c>
    </row>
    <row r="534" spans="1:11">
      <c r="A534" s="2" t="s">
        <v>1319</v>
      </c>
      <c r="B534" s="2" t="s">
        <v>1320</v>
      </c>
      <c r="C534" s="9">
        <v>10019622</v>
      </c>
      <c r="D534" s="2" t="s">
        <v>1337</v>
      </c>
      <c r="E534" s="10">
        <v>1</v>
      </c>
      <c r="F534" s="9" t="s">
        <v>997</v>
      </c>
      <c r="G534" s="11">
        <v>46238</v>
      </c>
      <c r="H534" s="12">
        <v>14.08</v>
      </c>
      <c r="I534" s="12">
        <v>14.08</v>
      </c>
      <c r="J534" s="9" t="s">
        <v>3</v>
      </c>
      <c r="K534" s="8">
        <v>1</v>
      </c>
    </row>
    <row r="535" spans="1:11">
      <c r="A535" s="2" t="s">
        <v>1319</v>
      </c>
      <c r="B535" s="2" t="s">
        <v>1320</v>
      </c>
      <c r="C535" s="9">
        <v>10019623</v>
      </c>
      <c r="D535" s="2" t="s">
        <v>1338</v>
      </c>
      <c r="E535" s="10">
        <v>1</v>
      </c>
      <c r="F535" s="9" t="s">
        <v>979</v>
      </c>
      <c r="G535" s="11">
        <v>46238</v>
      </c>
      <c r="H535" s="12">
        <v>13.55</v>
      </c>
      <c r="I535" s="12">
        <v>13.55</v>
      </c>
      <c r="J535" s="9" t="s">
        <v>3</v>
      </c>
      <c r="K535" s="8">
        <v>1</v>
      </c>
    </row>
    <row r="536" spans="1:11">
      <c r="A536" s="2" t="s">
        <v>1319</v>
      </c>
      <c r="B536" s="2" t="s">
        <v>1320</v>
      </c>
      <c r="C536" s="9">
        <v>10019625</v>
      </c>
      <c r="D536" s="2" t="s">
        <v>1339</v>
      </c>
      <c r="E536" s="10">
        <v>1</v>
      </c>
      <c r="F536" s="9" t="s">
        <v>1232</v>
      </c>
      <c r="G536" s="11">
        <v>46238</v>
      </c>
      <c r="H536" s="12">
        <v>22.31</v>
      </c>
      <c r="I536" s="12">
        <v>22.31</v>
      </c>
      <c r="J536" s="9" t="s">
        <v>3</v>
      </c>
      <c r="K536" s="8">
        <v>1</v>
      </c>
    </row>
    <row r="537" spans="1:11">
      <c r="A537" s="2" t="s">
        <v>1319</v>
      </c>
      <c r="B537" s="2" t="s">
        <v>1320</v>
      </c>
      <c r="C537" s="9">
        <v>10019626</v>
      </c>
      <c r="D537" s="2" t="s">
        <v>1340</v>
      </c>
      <c r="E537" s="10">
        <v>2</v>
      </c>
      <c r="F537" s="9" t="s">
        <v>997</v>
      </c>
      <c r="G537" s="11">
        <v>46238</v>
      </c>
      <c r="H537" s="12">
        <v>24.48</v>
      </c>
      <c r="I537" s="12">
        <v>24.48</v>
      </c>
      <c r="J537" s="9" t="s">
        <v>3</v>
      </c>
      <c r="K537" s="8">
        <v>1</v>
      </c>
    </row>
    <row r="538" spans="1:11">
      <c r="A538" s="2" t="s">
        <v>1319</v>
      </c>
      <c r="B538" s="2" t="s">
        <v>1320</v>
      </c>
      <c r="C538" s="9">
        <v>10019628</v>
      </c>
      <c r="D538" s="2" t="s">
        <v>1341</v>
      </c>
      <c r="E538" s="10">
        <v>1</v>
      </c>
      <c r="F538" s="9" t="s">
        <v>837</v>
      </c>
      <c r="G538" s="11">
        <v>46238</v>
      </c>
      <c r="H538" s="12">
        <v>21.55</v>
      </c>
      <c r="I538" s="12">
        <v>21.55</v>
      </c>
      <c r="J538" s="9" t="s">
        <v>3</v>
      </c>
      <c r="K538" s="8">
        <v>1</v>
      </c>
    </row>
    <row r="539" spans="1:11">
      <c r="A539" s="2" t="s">
        <v>1319</v>
      </c>
      <c r="B539" s="2" t="s">
        <v>1320</v>
      </c>
      <c r="C539" s="9">
        <v>10019629</v>
      </c>
      <c r="D539" s="2" t="s">
        <v>1342</v>
      </c>
      <c r="E539" s="10">
        <v>1</v>
      </c>
      <c r="F539" s="9" t="s">
        <v>837</v>
      </c>
      <c r="G539" s="11">
        <v>46238</v>
      </c>
      <c r="H539" s="12">
        <v>21.55</v>
      </c>
      <c r="I539" s="12">
        <v>21.55</v>
      </c>
      <c r="J539" s="9" t="s">
        <v>3</v>
      </c>
      <c r="K539" s="8">
        <v>1</v>
      </c>
    </row>
    <row r="540" spans="1:11">
      <c r="A540" s="2" t="s">
        <v>1319</v>
      </c>
      <c r="B540" s="2" t="s">
        <v>1320</v>
      </c>
      <c r="C540" s="9">
        <v>10019630</v>
      </c>
      <c r="D540" s="2" t="s">
        <v>1343</v>
      </c>
      <c r="E540" s="10">
        <v>1</v>
      </c>
      <c r="F540" s="9" t="s">
        <v>837</v>
      </c>
      <c r="G540" s="11">
        <v>46238</v>
      </c>
      <c r="H540" s="12">
        <v>21.55</v>
      </c>
      <c r="I540" s="12">
        <v>21.55</v>
      </c>
      <c r="J540" s="9" t="s">
        <v>3</v>
      </c>
      <c r="K540" s="8">
        <v>1</v>
      </c>
    </row>
    <row r="541" spans="1:11">
      <c r="A541" s="2" t="s">
        <v>1319</v>
      </c>
      <c r="B541" s="2" t="s">
        <v>1320</v>
      </c>
      <c r="C541" s="9">
        <v>10019632</v>
      </c>
      <c r="D541" s="2" t="s">
        <v>1344</v>
      </c>
      <c r="E541" s="10">
        <v>1</v>
      </c>
      <c r="F541" s="9" t="s">
        <v>837</v>
      </c>
      <c r="G541" s="11">
        <v>46238</v>
      </c>
      <c r="H541" s="12">
        <v>21.55</v>
      </c>
      <c r="I541" s="12">
        <v>21.55</v>
      </c>
      <c r="J541" s="9" t="s">
        <v>3</v>
      </c>
      <c r="K541" s="8">
        <v>1</v>
      </c>
    </row>
    <row r="542" spans="1:11">
      <c r="A542" s="2" t="s">
        <v>1319</v>
      </c>
      <c r="B542" s="2" t="s">
        <v>1320</v>
      </c>
      <c r="C542" s="9">
        <v>10019633</v>
      </c>
      <c r="D542" s="2" t="s">
        <v>1345</v>
      </c>
      <c r="E542" s="10">
        <v>12</v>
      </c>
      <c r="F542" s="9" t="s">
        <v>866</v>
      </c>
      <c r="G542" s="11">
        <v>46238</v>
      </c>
      <c r="H542" s="12">
        <v>101.04</v>
      </c>
      <c r="I542" s="12">
        <v>101.04</v>
      </c>
      <c r="J542" s="9" t="s">
        <v>3</v>
      </c>
      <c r="K542" s="8">
        <v>0</v>
      </c>
    </row>
    <row r="543" spans="1:11">
      <c r="A543" s="2" t="s">
        <v>1319</v>
      </c>
      <c r="B543" s="2" t="s">
        <v>1320</v>
      </c>
      <c r="C543" s="9">
        <v>10019634</v>
      </c>
      <c r="D543" s="2" t="s">
        <v>1346</v>
      </c>
      <c r="E543" s="10">
        <v>1</v>
      </c>
      <c r="F543" s="9" t="s">
        <v>863</v>
      </c>
      <c r="G543" s="11">
        <v>46238</v>
      </c>
      <c r="H543" s="12">
        <v>29.1</v>
      </c>
      <c r="I543" s="12">
        <v>29.1</v>
      </c>
      <c r="J543" s="9" t="s">
        <v>3</v>
      </c>
      <c r="K543" s="8">
        <v>1</v>
      </c>
    </row>
    <row r="544" spans="1:11">
      <c r="A544" s="2" t="s">
        <v>1319</v>
      </c>
      <c r="B544" s="2" t="s">
        <v>1320</v>
      </c>
      <c r="C544" s="9">
        <v>10019635</v>
      </c>
      <c r="D544" s="2" t="s">
        <v>1347</v>
      </c>
      <c r="E544" s="10">
        <v>1</v>
      </c>
      <c r="F544" s="9" t="s">
        <v>863</v>
      </c>
      <c r="G544" s="11">
        <v>46238</v>
      </c>
      <c r="H544" s="12">
        <v>29.1</v>
      </c>
      <c r="I544" s="12">
        <v>29.1</v>
      </c>
      <c r="J544" s="9" t="s">
        <v>3</v>
      </c>
      <c r="K544" s="8">
        <v>1</v>
      </c>
    </row>
    <row r="545" spans="1:11">
      <c r="A545" s="2" t="s">
        <v>1319</v>
      </c>
      <c r="B545" s="2" t="s">
        <v>1320</v>
      </c>
      <c r="C545" s="9">
        <v>10019636</v>
      </c>
      <c r="D545" s="2" t="s">
        <v>1348</v>
      </c>
      <c r="E545" s="10">
        <v>1</v>
      </c>
      <c r="F545" s="9" t="s">
        <v>989</v>
      </c>
      <c r="G545" s="11">
        <v>46238</v>
      </c>
      <c r="H545" s="12">
        <v>24.67</v>
      </c>
      <c r="I545" s="12">
        <v>24.67</v>
      </c>
      <c r="J545" s="9" t="s">
        <v>3</v>
      </c>
      <c r="K545" s="8">
        <v>1</v>
      </c>
    </row>
    <row r="546" spans="1:11">
      <c r="A546" s="2" t="s">
        <v>1319</v>
      </c>
      <c r="B546" s="2" t="s">
        <v>1320</v>
      </c>
      <c r="C546" s="9">
        <v>10019637</v>
      </c>
      <c r="D546" s="2" t="s">
        <v>1349</v>
      </c>
      <c r="E546" s="10">
        <v>1</v>
      </c>
      <c r="F546" s="9" t="s">
        <v>989</v>
      </c>
      <c r="G546" s="11">
        <v>46238</v>
      </c>
      <c r="H546" s="12">
        <v>24.67</v>
      </c>
      <c r="I546" s="12">
        <v>24.67</v>
      </c>
      <c r="J546" s="9" t="s">
        <v>3</v>
      </c>
      <c r="K546" s="8">
        <v>1</v>
      </c>
    </row>
    <row r="547" spans="1:11">
      <c r="A547" s="2" t="s">
        <v>1319</v>
      </c>
      <c r="B547" s="2" t="s">
        <v>1320</v>
      </c>
      <c r="C547" s="9">
        <v>10019638</v>
      </c>
      <c r="D547" s="2" t="s">
        <v>1350</v>
      </c>
      <c r="E547" s="10">
        <v>1</v>
      </c>
      <c r="F547" s="9" t="s">
        <v>991</v>
      </c>
      <c r="G547" s="11">
        <v>46238</v>
      </c>
      <c r="H547" s="12">
        <v>24.67</v>
      </c>
      <c r="I547" s="12">
        <v>24.67</v>
      </c>
      <c r="J547" s="9" t="s">
        <v>3</v>
      </c>
      <c r="K547" s="8">
        <v>1</v>
      </c>
    </row>
    <row r="548" spans="1:11">
      <c r="A548" s="2" t="s">
        <v>1319</v>
      </c>
      <c r="B548" s="2" t="s">
        <v>1320</v>
      </c>
      <c r="C548" s="9">
        <v>10019639</v>
      </c>
      <c r="D548" s="2" t="s">
        <v>1351</v>
      </c>
      <c r="E548" s="10">
        <v>2</v>
      </c>
      <c r="F548" s="9" t="s">
        <v>1352</v>
      </c>
      <c r="G548" s="11">
        <v>46238</v>
      </c>
      <c r="H548" s="12">
        <v>23.34</v>
      </c>
      <c r="I548" s="12">
        <v>23.34</v>
      </c>
      <c r="J548" s="9" t="s">
        <v>3</v>
      </c>
      <c r="K548" s="8">
        <v>1</v>
      </c>
    </row>
    <row r="549" spans="1:11">
      <c r="A549" s="2" t="s">
        <v>1319</v>
      </c>
      <c r="B549" s="2" t="s">
        <v>1320</v>
      </c>
      <c r="C549" s="9">
        <v>10019640</v>
      </c>
      <c r="D549" s="2" t="s">
        <v>1353</v>
      </c>
      <c r="E549" s="10">
        <v>2</v>
      </c>
      <c r="F549" s="9" t="s">
        <v>1352</v>
      </c>
      <c r="G549" s="11">
        <v>46238</v>
      </c>
      <c r="H549" s="12">
        <v>25.86</v>
      </c>
      <c r="I549" s="12">
        <v>25.86</v>
      </c>
      <c r="J549" s="9" t="s">
        <v>3</v>
      </c>
      <c r="K549" s="8">
        <v>1</v>
      </c>
    </row>
    <row r="550" spans="1:11">
      <c r="A550" s="2" t="s">
        <v>1319</v>
      </c>
      <c r="B550" s="2" t="s">
        <v>1320</v>
      </c>
      <c r="C550" s="9">
        <v>10019641</v>
      </c>
      <c r="D550" s="2" t="s">
        <v>1354</v>
      </c>
      <c r="E550" s="10">
        <v>4</v>
      </c>
      <c r="F550" s="9" t="s">
        <v>1355</v>
      </c>
      <c r="G550" s="11">
        <v>46238</v>
      </c>
      <c r="H550" s="12">
        <v>27.24</v>
      </c>
      <c r="I550" s="12">
        <v>27.24</v>
      </c>
      <c r="J550" s="9" t="s">
        <v>3</v>
      </c>
      <c r="K550" s="8">
        <v>1</v>
      </c>
    </row>
    <row r="551" spans="1:11">
      <c r="A551" s="2" t="s">
        <v>1319</v>
      </c>
      <c r="B551" s="2" t="s">
        <v>1320</v>
      </c>
      <c r="C551" s="9">
        <v>10019643</v>
      </c>
      <c r="D551" s="2" t="s">
        <v>1356</v>
      </c>
      <c r="E551" s="10">
        <v>6</v>
      </c>
      <c r="F551" s="9" t="s">
        <v>985</v>
      </c>
      <c r="G551" s="11">
        <v>46238</v>
      </c>
      <c r="H551" s="12">
        <v>33.479999999999997</v>
      </c>
      <c r="I551" s="12">
        <v>33.479999999999997</v>
      </c>
      <c r="J551" s="9" t="s">
        <v>3</v>
      </c>
      <c r="K551" s="8">
        <v>0</v>
      </c>
    </row>
    <row r="552" spans="1:11">
      <c r="A552" s="2" t="s">
        <v>1319</v>
      </c>
      <c r="B552" s="2" t="s">
        <v>1320</v>
      </c>
      <c r="C552" s="9">
        <v>10019644</v>
      </c>
      <c r="D552" s="2" t="s">
        <v>1357</v>
      </c>
      <c r="E552" s="10">
        <v>4</v>
      </c>
      <c r="F552" s="9" t="s">
        <v>995</v>
      </c>
      <c r="G552" s="11">
        <v>46238</v>
      </c>
      <c r="H552" s="12">
        <v>28.48</v>
      </c>
      <c r="I552" s="12">
        <v>28.48</v>
      </c>
      <c r="J552" s="9" t="s">
        <v>3</v>
      </c>
      <c r="K552" s="8">
        <v>0</v>
      </c>
    </row>
    <row r="553" spans="1:11">
      <c r="A553" s="2" t="s">
        <v>1319</v>
      </c>
      <c r="B553" s="2" t="s">
        <v>1320</v>
      </c>
      <c r="C553" s="9">
        <v>10019645</v>
      </c>
      <c r="D553" s="2" t="s">
        <v>1358</v>
      </c>
      <c r="E553" s="10">
        <v>8</v>
      </c>
      <c r="F553" s="9" t="s">
        <v>969</v>
      </c>
      <c r="G553" s="11">
        <v>46238</v>
      </c>
      <c r="H553" s="12">
        <v>40.4</v>
      </c>
      <c r="I553" s="12">
        <v>40.4</v>
      </c>
      <c r="J553" s="9" t="s">
        <v>3</v>
      </c>
      <c r="K553" s="8">
        <v>0</v>
      </c>
    </row>
    <row r="554" spans="1:11">
      <c r="A554" s="2" t="s">
        <v>1319</v>
      </c>
      <c r="B554" s="2" t="s">
        <v>1320</v>
      </c>
      <c r="C554" s="9">
        <v>10019646</v>
      </c>
      <c r="D554" s="2" t="s">
        <v>1359</v>
      </c>
      <c r="E554" s="10">
        <v>8</v>
      </c>
      <c r="F554" s="9" t="s">
        <v>969</v>
      </c>
      <c r="G554" s="11">
        <v>46238</v>
      </c>
      <c r="H554" s="12">
        <v>40</v>
      </c>
      <c r="I554" s="12">
        <v>40</v>
      </c>
      <c r="J554" s="9" t="s">
        <v>3</v>
      </c>
      <c r="K554" s="8">
        <v>0</v>
      </c>
    </row>
    <row r="555" spans="1:11">
      <c r="A555" s="2" t="s">
        <v>1319</v>
      </c>
      <c r="B555" s="2" t="s">
        <v>1320</v>
      </c>
      <c r="C555" s="9">
        <v>10019647</v>
      </c>
      <c r="D555" s="2" t="s">
        <v>1360</v>
      </c>
      <c r="E555" s="10">
        <v>6</v>
      </c>
      <c r="F555" s="9" t="s">
        <v>985</v>
      </c>
      <c r="G555" s="11">
        <v>46238</v>
      </c>
      <c r="H555" s="12">
        <v>39.24</v>
      </c>
      <c r="I555" s="12">
        <v>39.24</v>
      </c>
      <c r="J555" s="9" t="s">
        <v>3</v>
      </c>
      <c r="K555" s="8">
        <v>0</v>
      </c>
    </row>
    <row r="556" spans="1:11">
      <c r="A556" s="2" t="s">
        <v>1319</v>
      </c>
      <c r="B556" s="2" t="s">
        <v>1320</v>
      </c>
      <c r="C556" s="9">
        <v>10019648</v>
      </c>
      <c r="D556" s="2" t="s">
        <v>1361</v>
      </c>
      <c r="E556" s="10">
        <v>8</v>
      </c>
      <c r="F556" s="9" t="s">
        <v>969</v>
      </c>
      <c r="G556" s="11">
        <v>46238</v>
      </c>
      <c r="H556" s="12">
        <v>40</v>
      </c>
      <c r="I556" s="12">
        <v>40</v>
      </c>
      <c r="J556" s="9" t="s">
        <v>3</v>
      </c>
      <c r="K556" s="8">
        <v>0</v>
      </c>
    </row>
    <row r="557" spans="1:11">
      <c r="A557" s="2" t="s">
        <v>1319</v>
      </c>
      <c r="B557" s="2" t="s">
        <v>1320</v>
      </c>
      <c r="C557" s="9">
        <v>10019649</v>
      </c>
      <c r="D557" s="2" t="s">
        <v>1362</v>
      </c>
      <c r="E557" s="10">
        <v>4</v>
      </c>
      <c r="F557" s="9" t="s">
        <v>776</v>
      </c>
      <c r="G557" s="11">
        <v>46238</v>
      </c>
      <c r="H557" s="12">
        <v>33.04</v>
      </c>
      <c r="I557" s="12">
        <v>33.04</v>
      </c>
      <c r="J557" s="9" t="s">
        <v>3</v>
      </c>
      <c r="K557" s="8">
        <v>0</v>
      </c>
    </row>
    <row r="558" spans="1:11">
      <c r="A558" s="2" t="s">
        <v>1319</v>
      </c>
      <c r="B558" s="2" t="s">
        <v>1320</v>
      </c>
      <c r="C558" s="9">
        <v>10019650</v>
      </c>
      <c r="D558" s="2" t="s">
        <v>1363</v>
      </c>
      <c r="E558" s="10">
        <v>6</v>
      </c>
      <c r="F558" s="9" t="s">
        <v>985</v>
      </c>
      <c r="G558" s="11">
        <v>46238</v>
      </c>
      <c r="H558" s="12">
        <v>35.58</v>
      </c>
      <c r="I558" s="12">
        <v>35.58</v>
      </c>
      <c r="J558" s="9" t="s">
        <v>3</v>
      </c>
      <c r="K558" s="8">
        <v>0</v>
      </c>
    </row>
    <row r="559" spans="1:11">
      <c r="A559" s="2" t="s">
        <v>1319</v>
      </c>
      <c r="B559" s="2" t="s">
        <v>1320</v>
      </c>
      <c r="C559" s="9">
        <v>10019651</v>
      </c>
      <c r="D559" s="2" t="s">
        <v>1364</v>
      </c>
      <c r="E559" s="10">
        <v>6</v>
      </c>
      <c r="F559" s="9" t="s">
        <v>985</v>
      </c>
      <c r="G559" s="11">
        <v>46238</v>
      </c>
      <c r="H559" s="12">
        <v>37.26</v>
      </c>
      <c r="I559" s="12">
        <v>37.26</v>
      </c>
      <c r="J559" s="9" t="s">
        <v>3</v>
      </c>
      <c r="K559" s="8">
        <v>0</v>
      </c>
    </row>
    <row r="560" spans="1:11">
      <c r="A560" s="2" t="s">
        <v>1319</v>
      </c>
      <c r="B560" s="2" t="s">
        <v>1320</v>
      </c>
      <c r="C560" s="9">
        <v>10019652</v>
      </c>
      <c r="D560" s="2" t="s">
        <v>1365</v>
      </c>
      <c r="E560" s="10">
        <v>6</v>
      </c>
      <c r="F560" s="9" t="s">
        <v>985</v>
      </c>
      <c r="G560" s="11">
        <v>46238</v>
      </c>
      <c r="H560" s="12">
        <v>37.44</v>
      </c>
      <c r="I560" s="12">
        <v>37.44</v>
      </c>
      <c r="J560" s="9" t="s">
        <v>3</v>
      </c>
      <c r="K560" s="8">
        <v>0</v>
      </c>
    </row>
    <row r="561" spans="1:11">
      <c r="A561" s="2" t="s">
        <v>1319</v>
      </c>
      <c r="B561" s="2" t="s">
        <v>1320</v>
      </c>
      <c r="C561" s="9">
        <v>10019656</v>
      </c>
      <c r="D561" s="2" t="s">
        <v>1366</v>
      </c>
      <c r="E561" s="10">
        <v>12</v>
      </c>
      <c r="F561" s="9" t="s">
        <v>1367</v>
      </c>
      <c r="G561" s="11">
        <v>46238</v>
      </c>
      <c r="H561" s="12">
        <v>125.76</v>
      </c>
      <c r="I561" s="12">
        <v>125.76</v>
      </c>
      <c r="J561" s="9" t="s">
        <v>3</v>
      </c>
      <c r="K561" s="8">
        <v>0</v>
      </c>
    </row>
    <row r="562" spans="1:11">
      <c r="A562" s="2" t="s">
        <v>1319</v>
      </c>
      <c r="B562" s="2" t="s">
        <v>1320</v>
      </c>
      <c r="C562" s="9">
        <v>10019657</v>
      </c>
      <c r="D562" s="2" t="s">
        <v>1368</v>
      </c>
      <c r="E562" s="10">
        <v>12</v>
      </c>
      <c r="F562" s="9" t="s">
        <v>768</v>
      </c>
      <c r="G562" s="11">
        <v>46238</v>
      </c>
      <c r="H562" s="12">
        <v>138.12</v>
      </c>
      <c r="I562" s="12">
        <v>138.12</v>
      </c>
      <c r="J562" s="9" t="s">
        <v>3</v>
      </c>
      <c r="K562" s="8">
        <v>0</v>
      </c>
    </row>
    <row r="563" spans="1:11">
      <c r="A563" s="2" t="s">
        <v>1319</v>
      </c>
      <c r="B563" s="2" t="s">
        <v>1320</v>
      </c>
      <c r="C563" s="9">
        <v>10019661</v>
      </c>
      <c r="D563" s="2" t="s">
        <v>1369</v>
      </c>
      <c r="E563" s="10">
        <v>48</v>
      </c>
      <c r="F563" s="9" t="s">
        <v>829</v>
      </c>
      <c r="G563" s="11">
        <v>46238</v>
      </c>
      <c r="H563" s="12">
        <v>426.24</v>
      </c>
      <c r="I563" s="12">
        <v>426.24</v>
      </c>
      <c r="J563" s="9" t="s">
        <v>3</v>
      </c>
      <c r="K563" s="8">
        <v>0</v>
      </c>
    </row>
    <row r="564" spans="1:11">
      <c r="A564" s="2" t="s">
        <v>1319</v>
      </c>
      <c r="B564" s="2" t="s">
        <v>1320</v>
      </c>
      <c r="C564" s="9">
        <v>10019662</v>
      </c>
      <c r="D564" s="2" t="s">
        <v>1370</v>
      </c>
      <c r="E564" s="10">
        <v>12</v>
      </c>
      <c r="F564" s="9" t="s">
        <v>1045</v>
      </c>
      <c r="G564" s="11">
        <v>46238</v>
      </c>
      <c r="H564" s="12">
        <v>48.08</v>
      </c>
      <c r="I564" s="12">
        <v>48.08</v>
      </c>
      <c r="J564" s="9" t="s">
        <v>3</v>
      </c>
      <c r="K564" s="8">
        <v>0</v>
      </c>
    </row>
    <row r="565" spans="1:11">
      <c r="A565" s="2" t="s">
        <v>1319</v>
      </c>
      <c r="B565" s="2" t="s">
        <v>1320</v>
      </c>
      <c r="C565" s="9">
        <v>10019669</v>
      </c>
      <c r="D565" s="2" t="s">
        <v>1371</v>
      </c>
      <c r="E565" s="10">
        <v>6</v>
      </c>
      <c r="F565" s="9" t="s">
        <v>697</v>
      </c>
      <c r="G565" s="11">
        <v>46238</v>
      </c>
      <c r="H565" s="12">
        <v>22.8</v>
      </c>
      <c r="I565" s="12">
        <v>22.8</v>
      </c>
      <c r="J565" s="9" t="s">
        <v>3</v>
      </c>
      <c r="K565" s="8">
        <v>0</v>
      </c>
    </row>
    <row r="566" spans="1:11">
      <c r="A566" s="2" t="s">
        <v>1319</v>
      </c>
      <c r="B566" s="2" t="s">
        <v>1320</v>
      </c>
      <c r="C566" s="9">
        <v>10019670</v>
      </c>
      <c r="D566" s="2" t="s">
        <v>1372</v>
      </c>
      <c r="E566" s="10">
        <v>12</v>
      </c>
      <c r="F566" s="9" t="s">
        <v>1045</v>
      </c>
      <c r="G566" s="11">
        <v>46238</v>
      </c>
      <c r="H566" s="12">
        <v>55.99</v>
      </c>
      <c r="I566" s="12">
        <v>55.99</v>
      </c>
      <c r="J566" s="9" t="s">
        <v>3</v>
      </c>
      <c r="K566" s="8">
        <v>0</v>
      </c>
    </row>
    <row r="567" spans="1:11">
      <c r="A567" s="2" t="s">
        <v>1319</v>
      </c>
      <c r="B567" s="2" t="s">
        <v>1320</v>
      </c>
      <c r="C567" s="9">
        <v>10019671</v>
      </c>
      <c r="D567" s="2" t="s">
        <v>1373</v>
      </c>
      <c r="E567" s="10">
        <v>16</v>
      </c>
      <c r="F567" s="9" t="s">
        <v>866</v>
      </c>
      <c r="G567" s="11">
        <v>46238</v>
      </c>
      <c r="H567" s="12">
        <v>72.959999999999994</v>
      </c>
      <c r="I567" s="12">
        <v>72.959999999999994</v>
      </c>
      <c r="J567" s="9" t="s">
        <v>3</v>
      </c>
      <c r="K567" s="8">
        <v>0</v>
      </c>
    </row>
    <row r="568" spans="1:11">
      <c r="A568" s="2" t="s">
        <v>1319</v>
      </c>
      <c r="B568" s="2" t="s">
        <v>1320</v>
      </c>
      <c r="C568" s="9">
        <v>10019673</v>
      </c>
      <c r="D568" s="2" t="s">
        <v>1374</v>
      </c>
      <c r="E568" s="10">
        <v>16</v>
      </c>
      <c r="F568" s="9" t="s">
        <v>866</v>
      </c>
      <c r="G568" s="11">
        <v>46238</v>
      </c>
      <c r="H568" s="12">
        <v>76.319999999999993</v>
      </c>
      <c r="I568" s="12">
        <v>76.319999999999993</v>
      </c>
      <c r="J568" s="9" t="s">
        <v>3</v>
      </c>
      <c r="K568" s="8">
        <v>0</v>
      </c>
    </row>
    <row r="569" spans="1:11">
      <c r="A569" s="2" t="s">
        <v>1319</v>
      </c>
      <c r="B569" s="2" t="s">
        <v>1320</v>
      </c>
      <c r="C569" s="9">
        <v>10019675</v>
      </c>
      <c r="D569" s="2" t="s">
        <v>1375</v>
      </c>
      <c r="E569" s="10">
        <v>6</v>
      </c>
      <c r="F569" s="9" t="s">
        <v>995</v>
      </c>
      <c r="G569" s="11">
        <v>46238</v>
      </c>
      <c r="H569" s="12">
        <v>33.78</v>
      </c>
      <c r="I569" s="12">
        <v>33.78</v>
      </c>
      <c r="J569" s="9" t="s">
        <v>3</v>
      </c>
      <c r="K569" s="8">
        <v>0</v>
      </c>
    </row>
    <row r="570" spans="1:11">
      <c r="A570" s="2" t="s">
        <v>1319</v>
      </c>
      <c r="B570" s="2" t="s">
        <v>1320</v>
      </c>
      <c r="C570" s="9">
        <v>10019678</v>
      </c>
      <c r="D570" s="2" t="s">
        <v>1376</v>
      </c>
      <c r="E570" s="10">
        <v>1</v>
      </c>
      <c r="F570" s="9" t="s">
        <v>1377</v>
      </c>
      <c r="G570" s="11">
        <v>46238</v>
      </c>
      <c r="H570" s="12">
        <v>18.79</v>
      </c>
      <c r="I570" s="12">
        <v>18.79</v>
      </c>
      <c r="J570" s="9" t="s">
        <v>3</v>
      </c>
      <c r="K570" s="8">
        <v>1</v>
      </c>
    </row>
    <row r="571" spans="1:11">
      <c r="A571" s="2" t="s">
        <v>1319</v>
      </c>
      <c r="B571" s="2" t="s">
        <v>1320</v>
      </c>
      <c r="C571" s="9">
        <v>10019679</v>
      </c>
      <c r="D571" s="2" t="s">
        <v>1378</v>
      </c>
      <c r="E571" s="10">
        <v>1</v>
      </c>
      <c r="F571" s="9" t="s">
        <v>1377</v>
      </c>
      <c r="G571" s="11">
        <v>46238</v>
      </c>
      <c r="H571" s="12">
        <v>18.79</v>
      </c>
      <c r="I571" s="12">
        <v>18.79</v>
      </c>
      <c r="J571" s="9" t="s">
        <v>3</v>
      </c>
      <c r="K571" s="8">
        <v>1</v>
      </c>
    </row>
    <row r="572" spans="1:11">
      <c r="A572" s="2" t="s">
        <v>1319</v>
      </c>
      <c r="B572" s="2" t="s">
        <v>1320</v>
      </c>
      <c r="C572" s="9">
        <v>10019680</v>
      </c>
      <c r="D572" s="2" t="s">
        <v>1379</v>
      </c>
      <c r="E572" s="10">
        <v>1</v>
      </c>
      <c r="F572" s="9" t="s">
        <v>1377</v>
      </c>
      <c r="G572" s="11">
        <v>46238</v>
      </c>
      <c r="H572" s="12">
        <v>18.79</v>
      </c>
      <c r="I572" s="12">
        <v>18.79</v>
      </c>
      <c r="J572" s="9" t="s">
        <v>3</v>
      </c>
      <c r="K572" s="8">
        <v>1</v>
      </c>
    </row>
    <row r="573" spans="1:11">
      <c r="A573" s="2" t="s">
        <v>1319</v>
      </c>
      <c r="B573" s="2" t="s">
        <v>1320</v>
      </c>
      <c r="C573" s="9">
        <v>10019681</v>
      </c>
      <c r="D573" s="2" t="s">
        <v>1380</v>
      </c>
      <c r="E573" s="10">
        <v>1</v>
      </c>
      <c r="F573" s="9" t="s">
        <v>1377</v>
      </c>
      <c r="G573" s="11">
        <v>46238</v>
      </c>
      <c r="H573" s="12">
        <v>18.79</v>
      </c>
      <c r="I573" s="12">
        <v>18.79</v>
      </c>
      <c r="J573" s="9" t="s">
        <v>3</v>
      </c>
      <c r="K573" s="8">
        <v>1</v>
      </c>
    </row>
    <row r="574" spans="1:11">
      <c r="A574" s="2" t="s">
        <v>1319</v>
      </c>
      <c r="B574" s="2" t="s">
        <v>1320</v>
      </c>
      <c r="C574" s="9">
        <v>10019682</v>
      </c>
      <c r="D574" s="2" t="s">
        <v>1381</v>
      </c>
      <c r="E574" s="10">
        <v>1</v>
      </c>
      <c r="F574" s="9" t="s">
        <v>1377</v>
      </c>
      <c r="G574" s="11">
        <v>46238</v>
      </c>
      <c r="H574" s="12">
        <v>18.79</v>
      </c>
      <c r="I574" s="12">
        <v>18.79</v>
      </c>
      <c r="J574" s="9" t="s">
        <v>3</v>
      </c>
      <c r="K574" s="8">
        <v>1</v>
      </c>
    </row>
    <row r="575" spans="1:11">
      <c r="A575" s="2" t="s">
        <v>1319</v>
      </c>
      <c r="B575" s="2" t="s">
        <v>1320</v>
      </c>
      <c r="C575" s="9">
        <v>10019683</v>
      </c>
      <c r="D575" s="2" t="s">
        <v>1382</v>
      </c>
      <c r="E575" s="10">
        <v>12</v>
      </c>
      <c r="F575" s="9" t="s">
        <v>969</v>
      </c>
      <c r="G575" s="11">
        <v>46238</v>
      </c>
      <c r="H575" s="12">
        <v>51.12</v>
      </c>
      <c r="I575" s="12">
        <v>51.12</v>
      </c>
      <c r="J575" s="9" t="s">
        <v>3</v>
      </c>
      <c r="K575" s="8">
        <v>0</v>
      </c>
    </row>
    <row r="576" spans="1:11">
      <c r="A576" s="2" t="s">
        <v>1319</v>
      </c>
      <c r="B576" s="2" t="s">
        <v>1320</v>
      </c>
      <c r="C576" s="9">
        <v>10019684</v>
      </c>
      <c r="D576" s="2" t="s">
        <v>1383</v>
      </c>
      <c r="E576" s="10">
        <v>12</v>
      </c>
      <c r="F576" s="9" t="s">
        <v>969</v>
      </c>
      <c r="G576" s="11">
        <v>46238</v>
      </c>
      <c r="H576" s="12">
        <v>58.92</v>
      </c>
      <c r="I576" s="12">
        <v>58.92</v>
      </c>
      <c r="J576" s="9" t="s">
        <v>3</v>
      </c>
      <c r="K576" s="8">
        <v>0</v>
      </c>
    </row>
    <row r="577" spans="1:11">
      <c r="A577" s="2" t="s">
        <v>1319</v>
      </c>
      <c r="B577" s="2" t="s">
        <v>1320</v>
      </c>
      <c r="C577" s="9">
        <v>10019685</v>
      </c>
      <c r="D577" s="2" t="s">
        <v>1384</v>
      </c>
      <c r="E577" s="10">
        <v>12</v>
      </c>
      <c r="F577" s="9" t="s">
        <v>697</v>
      </c>
      <c r="G577" s="11">
        <v>46238</v>
      </c>
      <c r="H577" s="12">
        <v>74.52</v>
      </c>
      <c r="I577" s="12">
        <v>74.52</v>
      </c>
      <c r="J577" s="9" t="s">
        <v>3</v>
      </c>
      <c r="K577" s="8">
        <v>0</v>
      </c>
    </row>
    <row r="578" spans="1:11">
      <c r="A578" s="2" t="s">
        <v>1319</v>
      </c>
      <c r="B578" s="2" t="s">
        <v>1320</v>
      </c>
      <c r="C578" s="9">
        <v>10019686</v>
      </c>
      <c r="D578" s="2" t="s">
        <v>1385</v>
      </c>
      <c r="E578" s="10">
        <v>15</v>
      </c>
      <c r="F578" s="9" t="s">
        <v>1386</v>
      </c>
      <c r="G578" s="11">
        <v>46238</v>
      </c>
      <c r="H578" s="12">
        <v>116.55</v>
      </c>
      <c r="I578" s="12">
        <v>116.55</v>
      </c>
      <c r="J578" s="9" t="s">
        <v>3</v>
      </c>
      <c r="K578" s="8">
        <v>0</v>
      </c>
    </row>
    <row r="579" spans="1:11">
      <c r="A579" s="2" t="s">
        <v>1319</v>
      </c>
      <c r="B579" s="2" t="s">
        <v>1320</v>
      </c>
      <c r="C579" s="9">
        <v>10019687</v>
      </c>
      <c r="D579" s="2" t="s">
        <v>1387</v>
      </c>
      <c r="E579" s="10">
        <v>15</v>
      </c>
      <c r="F579" s="9" t="s">
        <v>1386</v>
      </c>
      <c r="G579" s="11">
        <v>46238</v>
      </c>
      <c r="H579" s="12">
        <v>138.9</v>
      </c>
      <c r="I579" s="12">
        <v>138.9</v>
      </c>
      <c r="J579" s="9" t="s">
        <v>3</v>
      </c>
      <c r="K579" s="8">
        <v>0</v>
      </c>
    </row>
    <row r="580" spans="1:11">
      <c r="A580" s="2" t="s">
        <v>1319</v>
      </c>
      <c r="B580" s="2" t="s">
        <v>1320</v>
      </c>
      <c r="C580" s="9">
        <v>10019688</v>
      </c>
      <c r="D580" s="2" t="s">
        <v>1388</v>
      </c>
      <c r="E580" s="10">
        <v>12</v>
      </c>
      <c r="F580" s="9" t="s">
        <v>909</v>
      </c>
      <c r="G580" s="11">
        <v>46238</v>
      </c>
      <c r="H580" s="12">
        <v>67.680000000000007</v>
      </c>
      <c r="I580" s="12">
        <v>67.680000000000007</v>
      </c>
      <c r="J580" s="9" t="s">
        <v>3</v>
      </c>
      <c r="K580" s="8">
        <v>0</v>
      </c>
    </row>
    <row r="581" spans="1:11">
      <c r="A581" s="2" t="s">
        <v>1319</v>
      </c>
      <c r="B581" s="2" t="s">
        <v>1320</v>
      </c>
      <c r="C581" s="9">
        <v>10019689</v>
      </c>
      <c r="D581" s="2" t="s">
        <v>1389</v>
      </c>
      <c r="E581" s="10">
        <v>6</v>
      </c>
      <c r="F581" s="9" t="s">
        <v>1045</v>
      </c>
      <c r="G581" s="11">
        <v>46238</v>
      </c>
      <c r="H581" s="12">
        <v>24.3</v>
      </c>
      <c r="I581" s="12">
        <v>24.3</v>
      </c>
      <c r="J581" s="9" t="s">
        <v>3</v>
      </c>
      <c r="K581" s="8">
        <v>0</v>
      </c>
    </row>
    <row r="582" spans="1:11">
      <c r="A582" s="2" t="s">
        <v>1319</v>
      </c>
      <c r="B582" s="2" t="s">
        <v>1320</v>
      </c>
      <c r="C582" s="9">
        <v>10019690</v>
      </c>
      <c r="D582" s="2" t="s">
        <v>1390</v>
      </c>
      <c r="E582" s="10">
        <v>6</v>
      </c>
      <c r="F582" s="9" t="s">
        <v>995</v>
      </c>
      <c r="G582" s="11">
        <v>46238</v>
      </c>
      <c r="H582" s="12">
        <v>30.06</v>
      </c>
      <c r="I582" s="12">
        <v>30.06</v>
      </c>
      <c r="J582" s="9" t="s">
        <v>3</v>
      </c>
      <c r="K582" s="8">
        <v>0</v>
      </c>
    </row>
    <row r="583" spans="1:11">
      <c r="A583" s="2" t="s">
        <v>1319</v>
      </c>
      <c r="B583" s="2" t="s">
        <v>1320</v>
      </c>
      <c r="C583" s="9">
        <v>10019691</v>
      </c>
      <c r="D583" s="2" t="s">
        <v>1391</v>
      </c>
      <c r="E583" s="10">
        <v>6</v>
      </c>
      <c r="F583" s="9" t="s">
        <v>1392</v>
      </c>
      <c r="G583" s="11">
        <v>46238</v>
      </c>
      <c r="H583" s="12">
        <v>24.3</v>
      </c>
      <c r="I583" s="12">
        <v>24.3</v>
      </c>
      <c r="J583" s="9" t="s">
        <v>3</v>
      </c>
      <c r="K583" s="8">
        <v>0</v>
      </c>
    </row>
    <row r="584" spans="1:11">
      <c r="A584" s="2" t="s">
        <v>1319</v>
      </c>
      <c r="B584" s="2" t="s">
        <v>1320</v>
      </c>
      <c r="C584" s="9">
        <v>10019693</v>
      </c>
      <c r="D584" s="2" t="s">
        <v>1393</v>
      </c>
      <c r="E584" s="10">
        <v>6</v>
      </c>
      <c r="F584" s="9" t="s">
        <v>1171</v>
      </c>
      <c r="G584" s="11">
        <v>46238</v>
      </c>
      <c r="H584" s="12">
        <v>39.840000000000003</v>
      </c>
      <c r="I584" s="12">
        <v>39.840000000000003</v>
      </c>
      <c r="J584" s="9" t="s">
        <v>3</v>
      </c>
      <c r="K584" s="8">
        <v>0</v>
      </c>
    </row>
    <row r="585" spans="1:11">
      <c r="A585" s="2" t="s">
        <v>1319</v>
      </c>
      <c r="B585" s="2" t="s">
        <v>1320</v>
      </c>
      <c r="C585" s="9">
        <v>10019696</v>
      </c>
      <c r="D585" s="2" t="s">
        <v>1394</v>
      </c>
      <c r="E585" s="10">
        <v>1</v>
      </c>
      <c r="F585" s="9" t="s">
        <v>989</v>
      </c>
      <c r="G585" s="11">
        <v>46238</v>
      </c>
      <c r="H585" s="12">
        <v>33.049999999999997</v>
      </c>
      <c r="I585" s="12">
        <v>33.049999999999997</v>
      </c>
      <c r="J585" s="9" t="s">
        <v>3</v>
      </c>
      <c r="K585" s="8">
        <v>1</v>
      </c>
    </row>
    <row r="586" spans="1:11">
      <c r="A586" s="2" t="s">
        <v>1319</v>
      </c>
      <c r="B586" s="2" t="s">
        <v>1320</v>
      </c>
      <c r="C586" s="9">
        <v>10019697</v>
      </c>
      <c r="D586" s="2" t="s">
        <v>1395</v>
      </c>
      <c r="E586" s="10">
        <v>1</v>
      </c>
      <c r="F586" s="9" t="s">
        <v>989</v>
      </c>
      <c r="G586" s="11">
        <v>46238</v>
      </c>
      <c r="H586" s="12">
        <v>33.049999999999997</v>
      </c>
      <c r="I586" s="12">
        <v>33.049999999999997</v>
      </c>
      <c r="J586" s="9" t="s">
        <v>3</v>
      </c>
      <c r="K586" s="8">
        <v>1</v>
      </c>
    </row>
    <row r="587" spans="1:11">
      <c r="A587" s="2" t="s">
        <v>1319</v>
      </c>
      <c r="B587" s="2" t="s">
        <v>1320</v>
      </c>
      <c r="C587" s="9">
        <v>10019698</v>
      </c>
      <c r="D587" s="2" t="s">
        <v>1396</v>
      </c>
      <c r="E587" s="10">
        <v>1</v>
      </c>
      <c r="F587" s="9" t="s">
        <v>989</v>
      </c>
      <c r="G587" s="11">
        <v>46238</v>
      </c>
      <c r="H587" s="12">
        <v>28.37</v>
      </c>
      <c r="I587" s="12">
        <v>28.37</v>
      </c>
      <c r="J587" s="9" t="s">
        <v>3</v>
      </c>
      <c r="K587" s="8">
        <v>1</v>
      </c>
    </row>
    <row r="588" spans="1:11">
      <c r="A588" s="2" t="s">
        <v>1319</v>
      </c>
      <c r="B588" s="2" t="s">
        <v>1320</v>
      </c>
      <c r="C588" s="9">
        <v>10019699</v>
      </c>
      <c r="D588" s="2" t="s">
        <v>1396</v>
      </c>
      <c r="E588" s="10">
        <v>6</v>
      </c>
      <c r="F588" s="9" t="s">
        <v>982</v>
      </c>
      <c r="G588" s="11">
        <v>46238</v>
      </c>
      <c r="H588" s="12">
        <v>34.86</v>
      </c>
      <c r="I588" s="12">
        <v>34.86</v>
      </c>
      <c r="J588" s="9" t="s">
        <v>3</v>
      </c>
      <c r="K588" s="8">
        <v>0</v>
      </c>
    </row>
    <row r="589" spans="1:11">
      <c r="A589" s="2" t="s">
        <v>1319</v>
      </c>
      <c r="B589" s="2" t="s">
        <v>1320</v>
      </c>
      <c r="C589" s="9">
        <v>10019703</v>
      </c>
      <c r="D589" s="2" t="s">
        <v>1397</v>
      </c>
      <c r="E589" s="10">
        <v>1</v>
      </c>
      <c r="F589" s="9" t="s">
        <v>837</v>
      </c>
      <c r="G589" s="11">
        <v>46238</v>
      </c>
      <c r="H589" s="12">
        <v>29.7</v>
      </c>
      <c r="I589" s="12">
        <v>29.7</v>
      </c>
      <c r="J589" s="9" t="s">
        <v>3</v>
      </c>
      <c r="K589" s="8">
        <v>1</v>
      </c>
    </row>
    <row r="590" spans="1:11">
      <c r="A590" s="2" t="s">
        <v>1319</v>
      </c>
      <c r="B590" s="2" t="s">
        <v>1320</v>
      </c>
      <c r="C590" s="9">
        <v>10019704</v>
      </c>
      <c r="D590" s="2" t="s">
        <v>1398</v>
      </c>
      <c r="E590" s="10">
        <v>1</v>
      </c>
      <c r="F590" s="9" t="s">
        <v>1023</v>
      </c>
      <c r="G590" s="11">
        <v>46238</v>
      </c>
      <c r="H590" s="12">
        <v>27.34</v>
      </c>
      <c r="I590" s="12">
        <v>27.34</v>
      </c>
      <c r="J590" s="9" t="s">
        <v>3</v>
      </c>
      <c r="K590" s="8">
        <v>1</v>
      </c>
    </row>
    <row r="591" spans="1:11">
      <c r="A591" s="2" t="s">
        <v>1319</v>
      </c>
      <c r="B591" s="2" t="s">
        <v>1320</v>
      </c>
      <c r="C591" s="9">
        <v>10019705</v>
      </c>
      <c r="D591" s="2" t="s">
        <v>1399</v>
      </c>
      <c r="E591" s="10">
        <v>1</v>
      </c>
      <c r="F591" s="9" t="s">
        <v>989</v>
      </c>
      <c r="G591" s="11">
        <v>46238</v>
      </c>
      <c r="H591" s="12">
        <v>27.34</v>
      </c>
      <c r="I591" s="12">
        <v>27.34</v>
      </c>
      <c r="J591" s="9" t="s">
        <v>3</v>
      </c>
      <c r="K591" s="8">
        <v>1</v>
      </c>
    </row>
    <row r="592" spans="1:11">
      <c r="A592" s="2" t="s">
        <v>1319</v>
      </c>
      <c r="B592" s="2" t="s">
        <v>1320</v>
      </c>
      <c r="C592" s="9">
        <v>10019706</v>
      </c>
      <c r="D592" s="2" t="s">
        <v>1400</v>
      </c>
      <c r="E592" s="10">
        <v>1</v>
      </c>
      <c r="F592" s="9" t="s">
        <v>1023</v>
      </c>
      <c r="G592" s="11">
        <v>46238</v>
      </c>
      <c r="H592" s="12">
        <v>29.7</v>
      </c>
      <c r="I592" s="12">
        <v>29.7</v>
      </c>
      <c r="J592" s="9" t="s">
        <v>3</v>
      </c>
      <c r="K592" s="8">
        <v>1</v>
      </c>
    </row>
    <row r="593" spans="1:11">
      <c r="A593" s="2" t="s">
        <v>1319</v>
      </c>
      <c r="B593" s="2" t="s">
        <v>1320</v>
      </c>
      <c r="C593" s="9">
        <v>10019707</v>
      </c>
      <c r="D593" s="2" t="s">
        <v>1401</v>
      </c>
      <c r="E593" s="10">
        <v>1</v>
      </c>
      <c r="F593" s="9" t="s">
        <v>1023</v>
      </c>
      <c r="G593" s="11">
        <v>46238</v>
      </c>
      <c r="H593" s="12">
        <v>27.34</v>
      </c>
      <c r="I593" s="12">
        <v>27.34</v>
      </c>
      <c r="J593" s="9" t="s">
        <v>3</v>
      </c>
      <c r="K593" s="8">
        <v>1</v>
      </c>
    </row>
    <row r="594" spans="1:11">
      <c r="A594" s="2" t="s">
        <v>1319</v>
      </c>
      <c r="B594" s="2" t="s">
        <v>1320</v>
      </c>
      <c r="C594" s="9">
        <v>10019708</v>
      </c>
      <c r="D594" s="2" t="s">
        <v>1402</v>
      </c>
      <c r="E594" s="10">
        <v>1</v>
      </c>
      <c r="F594" s="9" t="s">
        <v>1023</v>
      </c>
      <c r="G594" s="11">
        <v>46238</v>
      </c>
      <c r="H594" s="12">
        <v>29.7</v>
      </c>
      <c r="I594" s="12">
        <v>29.7</v>
      </c>
      <c r="J594" s="9" t="s">
        <v>3</v>
      </c>
      <c r="K594" s="8">
        <v>1</v>
      </c>
    </row>
    <row r="595" spans="1:11">
      <c r="A595" s="2" t="s">
        <v>1319</v>
      </c>
      <c r="B595" s="2" t="s">
        <v>1320</v>
      </c>
      <c r="C595" s="9">
        <v>10019709</v>
      </c>
      <c r="D595" s="2" t="s">
        <v>1403</v>
      </c>
      <c r="E595" s="10">
        <v>1</v>
      </c>
      <c r="F595" s="9" t="s">
        <v>837</v>
      </c>
      <c r="G595" s="11">
        <v>46238</v>
      </c>
      <c r="H595" s="12">
        <v>29.7</v>
      </c>
      <c r="I595" s="12">
        <v>29.7</v>
      </c>
      <c r="J595" s="9" t="s">
        <v>3</v>
      </c>
      <c r="K595" s="8">
        <v>1</v>
      </c>
    </row>
    <row r="596" spans="1:11">
      <c r="A596" s="2" t="s">
        <v>1319</v>
      </c>
      <c r="B596" s="2" t="s">
        <v>1320</v>
      </c>
      <c r="C596" s="9">
        <v>10019710</v>
      </c>
      <c r="D596" s="2" t="s">
        <v>1404</v>
      </c>
      <c r="E596" s="10">
        <v>24</v>
      </c>
      <c r="F596" s="9" t="s">
        <v>1405</v>
      </c>
      <c r="G596" s="11">
        <v>46238</v>
      </c>
      <c r="H596" s="12">
        <v>36.72</v>
      </c>
      <c r="I596" s="12">
        <v>36.72</v>
      </c>
      <c r="J596" s="9" t="s">
        <v>3</v>
      </c>
      <c r="K596" s="8">
        <v>0</v>
      </c>
    </row>
    <row r="597" spans="1:11">
      <c r="A597" s="2" t="s">
        <v>1319</v>
      </c>
      <c r="B597" s="2" t="s">
        <v>1320</v>
      </c>
      <c r="C597" s="9">
        <v>10019711</v>
      </c>
      <c r="D597" s="2" t="s">
        <v>1406</v>
      </c>
      <c r="E597" s="10">
        <v>24</v>
      </c>
      <c r="F597" s="9" t="s">
        <v>1405</v>
      </c>
      <c r="G597" s="11">
        <v>46238</v>
      </c>
      <c r="H597" s="12">
        <v>44.4</v>
      </c>
      <c r="I597" s="12">
        <v>44.4</v>
      </c>
      <c r="J597" s="9" t="s">
        <v>3</v>
      </c>
      <c r="K597" s="8">
        <v>0</v>
      </c>
    </row>
    <row r="598" spans="1:11">
      <c r="A598" s="2" t="s">
        <v>1319</v>
      </c>
      <c r="B598" s="2" t="s">
        <v>1320</v>
      </c>
      <c r="C598" s="9">
        <v>10019712</v>
      </c>
      <c r="D598" s="2" t="s">
        <v>1407</v>
      </c>
      <c r="E598" s="10">
        <v>24</v>
      </c>
      <c r="F598" s="9" t="s">
        <v>1405</v>
      </c>
      <c r="G598" s="11">
        <v>46238</v>
      </c>
      <c r="H598" s="12">
        <v>36.72</v>
      </c>
      <c r="I598" s="12">
        <v>36.72</v>
      </c>
      <c r="J598" s="9" t="s">
        <v>3</v>
      </c>
      <c r="K598" s="8">
        <v>0</v>
      </c>
    </row>
    <row r="599" spans="1:11">
      <c r="A599" s="2" t="s">
        <v>1319</v>
      </c>
      <c r="B599" s="2" t="s">
        <v>1320</v>
      </c>
      <c r="C599" s="9">
        <v>10019713</v>
      </c>
      <c r="D599" s="2" t="s">
        <v>1408</v>
      </c>
      <c r="E599" s="10">
        <v>6</v>
      </c>
      <c r="F599" s="9" t="s">
        <v>1171</v>
      </c>
      <c r="G599" s="11">
        <v>46238</v>
      </c>
      <c r="H599" s="12">
        <v>39.840000000000003</v>
      </c>
      <c r="I599" s="12">
        <v>39.840000000000003</v>
      </c>
      <c r="J599" s="9" t="s">
        <v>3</v>
      </c>
      <c r="K599" s="8">
        <v>0</v>
      </c>
    </row>
    <row r="600" spans="1:11">
      <c r="A600" s="2" t="s">
        <v>1319</v>
      </c>
      <c r="B600" s="2" t="s">
        <v>1320</v>
      </c>
      <c r="C600" s="9">
        <v>10019715</v>
      </c>
      <c r="D600" s="2" t="s">
        <v>1409</v>
      </c>
      <c r="E600" s="10">
        <v>6</v>
      </c>
      <c r="F600" s="9" t="s">
        <v>866</v>
      </c>
      <c r="G600" s="11">
        <v>46238</v>
      </c>
      <c r="H600" s="12">
        <v>45.32</v>
      </c>
      <c r="I600" s="12">
        <v>45.32</v>
      </c>
      <c r="J600" s="9" t="s">
        <v>3</v>
      </c>
      <c r="K600" s="8">
        <v>0</v>
      </c>
    </row>
    <row r="601" spans="1:11">
      <c r="A601" s="2" t="s">
        <v>1319</v>
      </c>
      <c r="B601" s="2" t="s">
        <v>1320</v>
      </c>
      <c r="C601" s="9">
        <v>10019716</v>
      </c>
      <c r="D601" s="2" t="s">
        <v>1410</v>
      </c>
      <c r="E601" s="10">
        <v>84</v>
      </c>
      <c r="F601" s="9" t="s">
        <v>1405</v>
      </c>
      <c r="G601" s="11">
        <v>46238</v>
      </c>
      <c r="H601" s="12">
        <v>126.84</v>
      </c>
      <c r="I601" s="12">
        <v>126.84</v>
      </c>
      <c r="J601" s="9" t="s">
        <v>3</v>
      </c>
      <c r="K601" s="8">
        <v>0</v>
      </c>
    </row>
    <row r="602" spans="1:11">
      <c r="A602" s="2" t="s">
        <v>1319</v>
      </c>
      <c r="B602" s="2" t="s">
        <v>1320</v>
      </c>
      <c r="C602" s="9">
        <v>10019720</v>
      </c>
      <c r="D602" s="2" t="s">
        <v>1411</v>
      </c>
      <c r="E602" s="10">
        <v>4</v>
      </c>
      <c r="F602" s="9" t="s">
        <v>1412</v>
      </c>
      <c r="G602" s="11">
        <v>46238</v>
      </c>
      <c r="H602" s="12">
        <v>39.119999999999997</v>
      </c>
      <c r="I602" s="12">
        <v>39.119999999999997</v>
      </c>
      <c r="J602" s="9" t="s">
        <v>3</v>
      </c>
      <c r="K602" s="8">
        <v>0</v>
      </c>
    </row>
    <row r="603" spans="1:11">
      <c r="A603" s="2" t="s">
        <v>1319</v>
      </c>
      <c r="B603" s="2" t="s">
        <v>1320</v>
      </c>
      <c r="C603" s="9">
        <v>10019724</v>
      </c>
      <c r="D603" s="2" t="s">
        <v>1413</v>
      </c>
      <c r="E603" s="10">
        <v>1</v>
      </c>
      <c r="F603" s="9" t="s">
        <v>1414</v>
      </c>
      <c r="G603" s="11">
        <v>46238</v>
      </c>
      <c r="H603" s="12">
        <v>24.77</v>
      </c>
      <c r="I603" s="12">
        <v>24.77</v>
      </c>
      <c r="J603" s="9" t="s">
        <v>3</v>
      </c>
      <c r="K603" s="8">
        <v>1</v>
      </c>
    </row>
    <row r="604" spans="1:11">
      <c r="A604" s="2" t="s">
        <v>1319</v>
      </c>
      <c r="B604" s="2" t="s">
        <v>1320</v>
      </c>
      <c r="C604" s="9">
        <v>10019725</v>
      </c>
      <c r="D604" s="2" t="s">
        <v>1415</v>
      </c>
      <c r="E604" s="10">
        <v>1</v>
      </c>
      <c r="F604" s="9" t="s">
        <v>1416</v>
      </c>
      <c r="G604" s="11">
        <v>46238</v>
      </c>
      <c r="H604" s="12">
        <v>22.2</v>
      </c>
      <c r="I604" s="12">
        <v>22.2</v>
      </c>
      <c r="J604" s="9" t="s">
        <v>3</v>
      </c>
      <c r="K604" s="8">
        <v>1</v>
      </c>
    </row>
    <row r="605" spans="1:11">
      <c r="A605" s="2" t="s">
        <v>1319</v>
      </c>
      <c r="B605" s="2" t="s">
        <v>1320</v>
      </c>
      <c r="C605" s="9">
        <v>10019729</v>
      </c>
      <c r="D605" s="2" t="s">
        <v>1417</v>
      </c>
      <c r="E605" s="10">
        <v>1</v>
      </c>
      <c r="F605" s="9" t="s">
        <v>1418</v>
      </c>
      <c r="G605" s="11">
        <v>46238</v>
      </c>
      <c r="H605" s="12">
        <v>33.4</v>
      </c>
      <c r="I605" s="12">
        <v>33.4</v>
      </c>
      <c r="J605" s="9" t="s">
        <v>3</v>
      </c>
      <c r="K605" s="8">
        <v>1</v>
      </c>
    </row>
    <row r="606" spans="1:11">
      <c r="A606" s="2" t="s">
        <v>1319</v>
      </c>
      <c r="B606" s="2" t="s">
        <v>1320</v>
      </c>
      <c r="C606" s="9">
        <v>10019730</v>
      </c>
      <c r="D606" s="2" t="s">
        <v>1419</v>
      </c>
      <c r="E606" s="10">
        <v>1</v>
      </c>
      <c r="F606" s="9" t="s">
        <v>1023</v>
      </c>
      <c r="G606" s="11">
        <v>46238</v>
      </c>
      <c r="H606" s="12">
        <v>41.58</v>
      </c>
      <c r="I606" s="12">
        <v>41.58</v>
      </c>
      <c r="J606" s="9" t="s">
        <v>3</v>
      </c>
      <c r="K606" s="8">
        <v>1</v>
      </c>
    </row>
    <row r="607" spans="1:11">
      <c r="A607" s="2" t="s">
        <v>1319</v>
      </c>
      <c r="B607" s="2" t="s">
        <v>1320</v>
      </c>
      <c r="C607" s="9">
        <v>10019731</v>
      </c>
      <c r="D607" s="2" t="s">
        <v>1420</v>
      </c>
      <c r="E607" s="10">
        <v>2</v>
      </c>
      <c r="F607" s="9" t="s">
        <v>1421</v>
      </c>
      <c r="G607" s="11">
        <v>46238</v>
      </c>
      <c r="H607" s="12">
        <v>43.08</v>
      </c>
      <c r="I607" s="12">
        <v>43.08</v>
      </c>
      <c r="J607" s="9" t="s">
        <v>3</v>
      </c>
      <c r="K607" s="8">
        <v>1</v>
      </c>
    </row>
    <row r="608" spans="1:11">
      <c r="A608" s="2" t="s">
        <v>1319</v>
      </c>
      <c r="B608" s="2" t="s">
        <v>1320</v>
      </c>
      <c r="C608" s="9">
        <v>10019734</v>
      </c>
      <c r="D608" s="2" t="s">
        <v>1422</v>
      </c>
      <c r="E608" s="10">
        <v>6</v>
      </c>
      <c r="F608" s="9" t="s">
        <v>1171</v>
      </c>
      <c r="G608" s="11">
        <v>46238</v>
      </c>
      <c r="H608" s="12">
        <v>39.840000000000003</v>
      </c>
      <c r="I608" s="12">
        <v>39.840000000000003</v>
      </c>
      <c r="J608" s="9" t="s">
        <v>3</v>
      </c>
      <c r="K608" s="8">
        <v>0</v>
      </c>
    </row>
    <row r="609" spans="1:11">
      <c r="A609" s="2" t="s">
        <v>1319</v>
      </c>
      <c r="B609" s="2" t="s">
        <v>1320</v>
      </c>
      <c r="C609" s="9">
        <v>10019735</v>
      </c>
      <c r="D609" s="2" t="s">
        <v>1423</v>
      </c>
      <c r="E609" s="10">
        <v>6</v>
      </c>
      <c r="F609" s="9" t="s">
        <v>1171</v>
      </c>
      <c r="G609" s="11">
        <v>46238</v>
      </c>
      <c r="H609" s="12">
        <v>39.840000000000003</v>
      </c>
      <c r="I609" s="12">
        <v>39.840000000000003</v>
      </c>
      <c r="J609" s="9" t="s">
        <v>3</v>
      </c>
      <c r="K609" s="8">
        <v>0</v>
      </c>
    </row>
    <row r="610" spans="1:11">
      <c r="A610" s="2" t="s">
        <v>1319</v>
      </c>
      <c r="B610" s="2" t="s">
        <v>1320</v>
      </c>
      <c r="C610" s="9">
        <v>10019741</v>
      </c>
      <c r="D610" s="2" t="s">
        <v>1424</v>
      </c>
      <c r="E610" s="10">
        <v>12</v>
      </c>
      <c r="F610" s="9" t="s">
        <v>1323</v>
      </c>
      <c r="G610" s="11">
        <v>46238</v>
      </c>
      <c r="H610" s="12">
        <v>72.12</v>
      </c>
      <c r="I610" s="12">
        <v>72.12</v>
      </c>
      <c r="J610" s="9" t="s">
        <v>3</v>
      </c>
      <c r="K610" s="8">
        <v>0</v>
      </c>
    </row>
    <row r="611" spans="1:11">
      <c r="A611" s="2" t="s">
        <v>1319</v>
      </c>
      <c r="B611" s="2" t="s">
        <v>1320</v>
      </c>
      <c r="C611" s="9">
        <v>10019743</v>
      </c>
      <c r="D611" s="2" t="s">
        <v>1425</v>
      </c>
      <c r="E611" s="10">
        <v>2</v>
      </c>
      <c r="F611" s="9" t="s">
        <v>1352</v>
      </c>
      <c r="G611" s="11">
        <v>46238</v>
      </c>
      <c r="H611" s="12">
        <v>24.02</v>
      </c>
      <c r="I611" s="12">
        <v>24.02</v>
      </c>
      <c r="J611" s="9" t="s">
        <v>3</v>
      </c>
      <c r="K611" s="8">
        <v>1</v>
      </c>
    </row>
    <row r="612" spans="1:11">
      <c r="A612" s="2" t="s">
        <v>1319</v>
      </c>
      <c r="B612" s="2" t="s">
        <v>1320</v>
      </c>
      <c r="C612" s="9">
        <v>10019744</v>
      </c>
      <c r="D612" s="2" t="s">
        <v>1426</v>
      </c>
      <c r="E612" s="10">
        <v>12</v>
      </c>
      <c r="F612" s="9" t="s">
        <v>917</v>
      </c>
      <c r="G612" s="11">
        <v>46238</v>
      </c>
      <c r="H612" s="12">
        <v>42.72</v>
      </c>
      <c r="I612" s="12">
        <v>42.72</v>
      </c>
      <c r="J612" s="9" t="s">
        <v>3</v>
      </c>
      <c r="K612" s="8">
        <v>0</v>
      </c>
    </row>
    <row r="613" spans="1:11">
      <c r="A613" s="2" t="s">
        <v>1319</v>
      </c>
      <c r="B613" s="2" t="s">
        <v>1320</v>
      </c>
      <c r="C613" s="9">
        <v>10019746</v>
      </c>
      <c r="D613" s="2" t="s">
        <v>1427</v>
      </c>
      <c r="E613" s="10">
        <v>1</v>
      </c>
      <c r="F613" s="9" t="s">
        <v>1428</v>
      </c>
      <c r="G613" s="11">
        <v>46238</v>
      </c>
      <c r="H613" s="12">
        <v>29.4</v>
      </c>
      <c r="I613" s="12">
        <v>29.4</v>
      </c>
      <c r="J613" s="9" t="s">
        <v>3</v>
      </c>
      <c r="K613" s="8">
        <v>1</v>
      </c>
    </row>
    <row r="614" spans="1:11">
      <c r="A614" s="2" t="s">
        <v>1319</v>
      </c>
      <c r="B614" s="2" t="s">
        <v>1320</v>
      </c>
      <c r="C614" s="9">
        <v>10019749</v>
      </c>
      <c r="D614" s="2" t="s">
        <v>1429</v>
      </c>
      <c r="E614" s="10">
        <v>8</v>
      </c>
      <c r="F614" s="9" t="s">
        <v>1430</v>
      </c>
      <c r="G614" s="11">
        <v>46238</v>
      </c>
      <c r="H614" s="12">
        <v>35.04</v>
      </c>
      <c r="I614" s="12">
        <v>35.04</v>
      </c>
      <c r="J614" s="9" t="s">
        <v>3</v>
      </c>
      <c r="K614" s="8">
        <v>0</v>
      </c>
    </row>
    <row r="615" spans="1:11">
      <c r="A615" s="2" t="s">
        <v>1319</v>
      </c>
      <c r="B615" s="2" t="s">
        <v>1320</v>
      </c>
      <c r="C615" s="9">
        <v>10019752</v>
      </c>
      <c r="D615" s="2" t="s">
        <v>1431</v>
      </c>
      <c r="E615" s="10">
        <v>8</v>
      </c>
      <c r="F615" s="9" t="s">
        <v>728</v>
      </c>
      <c r="G615" s="11">
        <v>46238</v>
      </c>
      <c r="H615" s="12">
        <v>44.32</v>
      </c>
      <c r="I615" s="12">
        <v>44.32</v>
      </c>
      <c r="J615" s="9" t="s">
        <v>3</v>
      </c>
      <c r="K615" s="8">
        <v>0</v>
      </c>
    </row>
    <row r="616" spans="1:11">
      <c r="A616" s="2" t="s">
        <v>1319</v>
      </c>
      <c r="B616" s="2" t="s">
        <v>1320</v>
      </c>
      <c r="C616" s="9">
        <v>10019753</v>
      </c>
      <c r="D616" s="2" t="s">
        <v>1432</v>
      </c>
      <c r="E616" s="10">
        <v>2</v>
      </c>
      <c r="F616" s="9" t="s">
        <v>837</v>
      </c>
      <c r="G616" s="11">
        <v>46238</v>
      </c>
      <c r="H616" s="12">
        <v>22.2</v>
      </c>
      <c r="I616" s="12">
        <v>22.2</v>
      </c>
      <c r="J616" s="9" t="s">
        <v>3</v>
      </c>
      <c r="K616" s="8">
        <v>1</v>
      </c>
    </row>
    <row r="617" spans="1:11">
      <c r="A617" s="2" t="s">
        <v>1319</v>
      </c>
      <c r="B617" s="2" t="s">
        <v>1320</v>
      </c>
      <c r="C617" s="9">
        <v>10019754</v>
      </c>
      <c r="D617" s="2" t="s">
        <v>1433</v>
      </c>
      <c r="E617" s="10">
        <v>2</v>
      </c>
      <c r="F617" s="9" t="s">
        <v>1434</v>
      </c>
      <c r="G617" s="11">
        <v>46238</v>
      </c>
      <c r="H617" s="12">
        <v>20.64</v>
      </c>
      <c r="I617" s="12">
        <v>20.64</v>
      </c>
      <c r="J617" s="9" t="s">
        <v>3</v>
      </c>
      <c r="K617" s="8">
        <v>1</v>
      </c>
    </row>
    <row r="618" spans="1:11">
      <c r="A618" s="2" t="s">
        <v>1319</v>
      </c>
      <c r="B618" s="2" t="s">
        <v>1320</v>
      </c>
      <c r="C618" s="9">
        <v>10019756</v>
      </c>
      <c r="D618" s="2" t="s">
        <v>1435</v>
      </c>
      <c r="E618" s="10">
        <v>2</v>
      </c>
      <c r="F618" s="9" t="s">
        <v>837</v>
      </c>
      <c r="G618" s="11">
        <v>46238</v>
      </c>
      <c r="H618" s="12">
        <v>23.02</v>
      </c>
      <c r="I618" s="12">
        <v>23.02</v>
      </c>
      <c r="J618" s="9" t="s">
        <v>3</v>
      </c>
      <c r="K618" s="8">
        <v>1</v>
      </c>
    </row>
    <row r="619" spans="1:11">
      <c r="A619" s="2" t="s">
        <v>1319</v>
      </c>
      <c r="B619" s="2" t="s">
        <v>1320</v>
      </c>
      <c r="C619" s="9">
        <v>10019757</v>
      </c>
      <c r="D619" s="2" t="s">
        <v>1436</v>
      </c>
      <c r="E619" s="10">
        <v>2</v>
      </c>
      <c r="F619" s="9" t="s">
        <v>837</v>
      </c>
      <c r="G619" s="11">
        <v>46238</v>
      </c>
      <c r="H619" s="12">
        <v>23.02</v>
      </c>
      <c r="I619" s="12">
        <v>23.02</v>
      </c>
      <c r="J619" s="9" t="s">
        <v>3</v>
      </c>
      <c r="K619" s="8">
        <v>1</v>
      </c>
    </row>
    <row r="620" spans="1:11">
      <c r="A620" s="2" t="s">
        <v>1319</v>
      </c>
      <c r="B620" s="2" t="s">
        <v>1320</v>
      </c>
      <c r="C620" s="9">
        <v>10019759</v>
      </c>
      <c r="D620" s="2" t="s">
        <v>1437</v>
      </c>
      <c r="E620" s="10">
        <v>12</v>
      </c>
      <c r="F620" s="9" t="s">
        <v>982</v>
      </c>
      <c r="G620" s="11">
        <v>46238</v>
      </c>
      <c r="H620" s="12">
        <v>52.32</v>
      </c>
      <c r="I620" s="12">
        <v>52.32</v>
      </c>
      <c r="J620" s="9" t="s">
        <v>3</v>
      </c>
      <c r="K620" s="8">
        <v>0</v>
      </c>
    </row>
    <row r="621" spans="1:11">
      <c r="A621" s="2" t="s">
        <v>1319</v>
      </c>
      <c r="B621" s="2" t="s">
        <v>1320</v>
      </c>
      <c r="C621" s="9">
        <v>10019760</v>
      </c>
      <c r="D621" s="2" t="s">
        <v>1438</v>
      </c>
      <c r="E621" s="10">
        <v>6</v>
      </c>
      <c r="F621" s="9" t="s">
        <v>1439</v>
      </c>
      <c r="G621" s="11">
        <v>46238</v>
      </c>
      <c r="H621" s="12">
        <v>20.64</v>
      </c>
      <c r="I621" s="12">
        <v>20.64</v>
      </c>
      <c r="J621" s="9" t="s">
        <v>3</v>
      </c>
      <c r="K621" s="8">
        <v>1</v>
      </c>
    </row>
    <row r="622" spans="1:11">
      <c r="A622" s="2" t="s">
        <v>1319</v>
      </c>
      <c r="B622" s="2" t="s">
        <v>1320</v>
      </c>
      <c r="C622" s="9">
        <v>10019763</v>
      </c>
      <c r="D622" s="2" t="s">
        <v>1440</v>
      </c>
      <c r="E622" s="10">
        <v>1</v>
      </c>
      <c r="F622" s="9" t="s">
        <v>863</v>
      </c>
      <c r="G622" s="11">
        <v>46238</v>
      </c>
      <c r="H622" s="12">
        <v>29.1</v>
      </c>
      <c r="I622" s="12">
        <v>29.1</v>
      </c>
      <c r="J622" s="9" t="s">
        <v>3</v>
      </c>
      <c r="K622" s="8">
        <v>1</v>
      </c>
    </row>
    <row r="623" spans="1:11">
      <c r="A623" s="2" t="s">
        <v>1319</v>
      </c>
      <c r="B623" s="2" t="s">
        <v>1320</v>
      </c>
      <c r="C623" s="9">
        <v>10019771</v>
      </c>
      <c r="D623" s="2" t="s">
        <v>1441</v>
      </c>
      <c r="E623" s="10">
        <v>6</v>
      </c>
      <c r="F623" s="9" t="s">
        <v>985</v>
      </c>
      <c r="G623" s="11">
        <v>46238</v>
      </c>
      <c r="H623" s="12">
        <v>41.34</v>
      </c>
      <c r="I623" s="12">
        <v>41.34</v>
      </c>
      <c r="J623" s="9" t="s">
        <v>3</v>
      </c>
      <c r="K623" s="8">
        <v>0</v>
      </c>
    </row>
    <row r="624" spans="1:11">
      <c r="A624" s="2" t="s">
        <v>1319</v>
      </c>
      <c r="B624" s="2" t="s">
        <v>1320</v>
      </c>
      <c r="C624" s="9">
        <v>10019772</v>
      </c>
      <c r="D624" s="2" t="s">
        <v>1442</v>
      </c>
      <c r="E624" s="10">
        <v>6</v>
      </c>
      <c r="F624" s="9" t="s">
        <v>985</v>
      </c>
      <c r="G624" s="11">
        <v>46238</v>
      </c>
      <c r="H624" s="12">
        <v>41.34</v>
      </c>
      <c r="I624" s="12">
        <v>41.34</v>
      </c>
      <c r="J624" s="9" t="s">
        <v>3</v>
      </c>
      <c r="K624" s="8">
        <v>0</v>
      </c>
    </row>
    <row r="625" spans="1:11">
      <c r="A625" s="2" t="s">
        <v>1319</v>
      </c>
      <c r="B625" s="2" t="s">
        <v>1320</v>
      </c>
      <c r="C625" s="9">
        <v>10019773</v>
      </c>
      <c r="D625" s="2" t="s">
        <v>1443</v>
      </c>
      <c r="E625" s="10">
        <v>6</v>
      </c>
      <c r="F625" s="9" t="s">
        <v>985</v>
      </c>
      <c r="G625" s="11">
        <v>46238</v>
      </c>
      <c r="H625" s="12">
        <v>41.34</v>
      </c>
      <c r="I625" s="12">
        <v>41.34</v>
      </c>
      <c r="J625" s="9" t="s">
        <v>3</v>
      </c>
      <c r="K625" s="8">
        <v>0</v>
      </c>
    </row>
    <row r="626" spans="1:11">
      <c r="A626" s="2" t="s">
        <v>1319</v>
      </c>
      <c r="B626" s="2" t="s">
        <v>1320</v>
      </c>
      <c r="C626" s="9">
        <v>10019774</v>
      </c>
      <c r="D626" s="2" t="s">
        <v>1444</v>
      </c>
      <c r="E626" s="10">
        <v>6</v>
      </c>
      <c r="F626" s="9" t="s">
        <v>985</v>
      </c>
      <c r="G626" s="11">
        <v>46238</v>
      </c>
      <c r="H626" s="12">
        <v>41.34</v>
      </c>
      <c r="I626" s="12">
        <v>41.34</v>
      </c>
      <c r="J626" s="9" t="s">
        <v>3</v>
      </c>
      <c r="K626" s="8">
        <v>0</v>
      </c>
    </row>
    <row r="627" spans="1:11">
      <c r="A627" s="2" t="s">
        <v>1319</v>
      </c>
      <c r="B627" s="2" t="s">
        <v>1320</v>
      </c>
      <c r="C627" s="9">
        <v>10019775</v>
      </c>
      <c r="D627" s="2" t="s">
        <v>1445</v>
      </c>
      <c r="E627" s="10">
        <v>6</v>
      </c>
      <c r="F627" s="9" t="s">
        <v>982</v>
      </c>
      <c r="G627" s="11">
        <v>46238</v>
      </c>
      <c r="H627" s="12">
        <v>41.34</v>
      </c>
      <c r="I627" s="12">
        <v>41.34</v>
      </c>
      <c r="J627" s="9" t="s">
        <v>3</v>
      </c>
      <c r="K627" s="8">
        <v>0</v>
      </c>
    </row>
    <row r="628" spans="1:11">
      <c r="A628" s="2" t="s">
        <v>1319</v>
      </c>
      <c r="B628" s="2" t="s">
        <v>1320</v>
      </c>
      <c r="C628" s="9">
        <v>10019776</v>
      </c>
      <c r="D628" s="2" t="s">
        <v>1446</v>
      </c>
      <c r="E628" s="10">
        <v>6</v>
      </c>
      <c r="F628" s="9" t="s">
        <v>985</v>
      </c>
      <c r="G628" s="11">
        <v>46238</v>
      </c>
      <c r="H628" s="12">
        <v>41.34</v>
      </c>
      <c r="I628" s="12">
        <v>41.34</v>
      </c>
      <c r="J628" s="9" t="s">
        <v>3</v>
      </c>
      <c r="K628" s="8">
        <v>0</v>
      </c>
    </row>
    <row r="629" spans="1:11">
      <c r="A629" s="2" t="s">
        <v>1319</v>
      </c>
      <c r="B629" s="2" t="s">
        <v>1320</v>
      </c>
      <c r="C629" s="9">
        <v>10019777</v>
      </c>
      <c r="D629" s="2" t="s">
        <v>1447</v>
      </c>
      <c r="E629" s="10">
        <v>6</v>
      </c>
      <c r="F629" s="9" t="s">
        <v>985</v>
      </c>
      <c r="G629" s="11">
        <v>46238</v>
      </c>
      <c r="H629" s="12">
        <v>41.34</v>
      </c>
      <c r="I629" s="12">
        <v>41.34</v>
      </c>
      <c r="J629" s="9" t="s">
        <v>3</v>
      </c>
      <c r="K629" s="8">
        <v>0</v>
      </c>
    </row>
    <row r="630" spans="1:11">
      <c r="A630" s="2" t="s">
        <v>1319</v>
      </c>
      <c r="B630" s="2" t="s">
        <v>1320</v>
      </c>
      <c r="C630" s="9">
        <v>10019778</v>
      </c>
      <c r="D630" s="2" t="s">
        <v>1448</v>
      </c>
      <c r="E630" s="10">
        <v>6</v>
      </c>
      <c r="F630" s="9" t="s">
        <v>985</v>
      </c>
      <c r="G630" s="11">
        <v>46238</v>
      </c>
      <c r="H630" s="12">
        <v>41.34</v>
      </c>
      <c r="I630" s="12">
        <v>41.34</v>
      </c>
      <c r="J630" s="9" t="s">
        <v>3</v>
      </c>
      <c r="K630" s="8">
        <v>0</v>
      </c>
    </row>
    <row r="631" spans="1:11">
      <c r="A631" s="2" t="s">
        <v>1319</v>
      </c>
      <c r="B631" s="2" t="s">
        <v>1320</v>
      </c>
      <c r="C631" s="9">
        <v>10019779</v>
      </c>
      <c r="D631" s="2" t="s">
        <v>1449</v>
      </c>
      <c r="E631" s="10">
        <v>6</v>
      </c>
      <c r="F631" s="9" t="s">
        <v>982</v>
      </c>
      <c r="G631" s="11">
        <v>46238</v>
      </c>
      <c r="H631" s="12">
        <v>46.02</v>
      </c>
      <c r="I631" s="12">
        <v>46.02</v>
      </c>
      <c r="J631" s="9" t="s">
        <v>3</v>
      </c>
      <c r="K631" s="8">
        <v>0</v>
      </c>
    </row>
    <row r="632" spans="1:11">
      <c r="A632" s="2" t="s">
        <v>1319</v>
      </c>
      <c r="B632" s="2" t="s">
        <v>1320</v>
      </c>
      <c r="C632" s="9">
        <v>10019780</v>
      </c>
      <c r="D632" s="2" t="s">
        <v>1450</v>
      </c>
      <c r="E632" s="10">
        <v>1</v>
      </c>
      <c r="F632" s="9" t="s">
        <v>979</v>
      </c>
      <c r="G632" s="11">
        <v>46238</v>
      </c>
      <c r="H632" s="12">
        <v>31.98</v>
      </c>
      <c r="I632" s="12">
        <v>31.98</v>
      </c>
      <c r="J632" s="9" t="s">
        <v>3</v>
      </c>
      <c r="K632" s="8">
        <v>1</v>
      </c>
    </row>
    <row r="633" spans="1:11">
      <c r="A633" s="2" t="s">
        <v>1319</v>
      </c>
      <c r="B633" s="2" t="s">
        <v>1320</v>
      </c>
      <c r="C633" s="9">
        <v>10019781</v>
      </c>
      <c r="D633" s="2" t="s">
        <v>1451</v>
      </c>
      <c r="E633" s="10">
        <v>1</v>
      </c>
      <c r="F633" s="9" t="s">
        <v>979</v>
      </c>
      <c r="G633" s="11">
        <v>46238</v>
      </c>
      <c r="H633" s="12">
        <v>31.98</v>
      </c>
      <c r="I633" s="12">
        <v>31.98</v>
      </c>
      <c r="J633" s="9" t="s">
        <v>3</v>
      </c>
      <c r="K633" s="8">
        <v>1</v>
      </c>
    </row>
    <row r="634" spans="1:11">
      <c r="A634" s="2" t="s">
        <v>1319</v>
      </c>
      <c r="B634" s="2" t="s">
        <v>1320</v>
      </c>
      <c r="C634" s="9">
        <v>10019782</v>
      </c>
      <c r="D634" s="2" t="s">
        <v>1452</v>
      </c>
      <c r="E634" s="10">
        <v>1</v>
      </c>
      <c r="F634" s="9" t="s">
        <v>997</v>
      </c>
      <c r="G634" s="11">
        <v>46238</v>
      </c>
      <c r="H634" s="12">
        <v>31.98</v>
      </c>
      <c r="I634" s="12">
        <v>31.98</v>
      </c>
      <c r="J634" s="9" t="s">
        <v>3</v>
      </c>
      <c r="K634" s="8">
        <v>1</v>
      </c>
    </row>
    <row r="635" spans="1:11">
      <c r="A635" s="2" t="s">
        <v>1319</v>
      </c>
      <c r="B635" s="2" t="s">
        <v>1320</v>
      </c>
      <c r="C635" s="9">
        <v>10019783</v>
      </c>
      <c r="D635" s="2" t="s">
        <v>1453</v>
      </c>
      <c r="E635" s="10">
        <v>9</v>
      </c>
      <c r="F635" s="9" t="s">
        <v>982</v>
      </c>
      <c r="G635" s="11">
        <v>46238</v>
      </c>
      <c r="H635" s="12">
        <v>73.709999999999994</v>
      </c>
      <c r="I635" s="12">
        <v>73.709999999999994</v>
      </c>
      <c r="J635" s="9" t="s">
        <v>3</v>
      </c>
      <c r="K635" s="8">
        <v>0</v>
      </c>
    </row>
    <row r="636" spans="1:11">
      <c r="A636" s="2" t="s">
        <v>1319</v>
      </c>
      <c r="B636" s="2" t="s">
        <v>1320</v>
      </c>
      <c r="C636" s="9">
        <v>10019784</v>
      </c>
      <c r="D636" s="2" t="s">
        <v>1454</v>
      </c>
      <c r="E636" s="10">
        <v>9</v>
      </c>
      <c r="F636" s="9" t="s">
        <v>982</v>
      </c>
      <c r="G636" s="11">
        <v>46238</v>
      </c>
      <c r="H636" s="12">
        <v>73.709999999999994</v>
      </c>
      <c r="I636" s="12">
        <v>73.709999999999994</v>
      </c>
      <c r="J636" s="9" t="s">
        <v>3</v>
      </c>
      <c r="K636" s="8">
        <v>0</v>
      </c>
    </row>
    <row r="637" spans="1:11">
      <c r="A637" s="2" t="s">
        <v>1319</v>
      </c>
      <c r="B637" s="2" t="s">
        <v>1320</v>
      </c>
      <c r="C637" s="9">
        <v>10019785</v>
      </c>
      <c r="D637" s="2" t="s">
        <v>1455</v>
      </c>
      <c r="E637" s="10">
        <v>12</v>
      </c>
      <c r="F637" s="9" t="s">
        <v>1456</v>
      </c>
      <c r="G637" s="11">
        <v>46238</v>
      </c>
      <c r="H637" s="12">
        <v>48</v>
      </c>
      <c r="I637" s="12">
        <v>48</v>
      </c>
      <c r="J637" s="9" t="s">
        <v>3</v>
      </c>
      <c r="K637" s="8">
        <v>0</v>
      </c>
    </row>
    <row r="638" spans="1:11">
      <c r="A638" s="2" t="s">
        <v>1319</v>
      </c>
      <c r="B638" s="2" t="s">
        <v>1320</v>
      </c>
      <c r="C638" s="9">
        <v>10019786</v>
      </c>
      <c r="D638" s="2" t="s">
        <v>1457</v>
      </c>
      <c r="E638" s="10">
        <v>12</v>
      </c>
      <c r="F638" s="9" t="s">
        <v>697</v>
      </c>
      <c r="G638" s="11">
        <v>46238</v>
      </c>
      <c r="H638" s="12">
        <v>48</v>
      </c>
      <c r="I638" s="12">
        <v>48</v>
      </c>
      <c r="J638" s="9" t="s">
        <v>3</v>
      </c>
      <c r="K638" s="8">
        <v>0</v>
      </c>
    </row>
    <row r="639" spans="1:11">
      <c r="A639" s="2" t="s">
        <v>1319</v>
      </c>
      <c r="B639" s="2" t="s">
        <v>1320</v>
      </c>
      <c r="C639" s="9">
        <v>10019790</v>
      </c>
      <c r="D639" s="2" t="s">
        <v>1458</v>
      </c>
      <c r="E639" s="10">
        <v>12</v>
      </c>
      <c r="F639" s="9" t="s">
        <v>969</v>
      </c>
      <c r="G639" s="11">
        <v>46238</v>
      </c>
      <c r="H639" s="12">
        <v>52.32</v>
      </c>
      <c r="I639" s="12">
        <v>52.32</v>
      </c>
      <c r="J639" s="9" t="s">
        <v>3</v>
      </c>
      <c r="K639" s="8">
        <v>0</v>
      </c>
    </row>
    <row r="640" spans="1:11">
      <c r="A640" s="2" t="s">
        <v>1319</v>
      </c>
      <c r="B640" s="2" t="s">
        <v>1320</v>
      </c>
      <c r="C640" s="9">
        <v>10019796</v>
      </c>
      <c r="D640" s="2" t="s">
        <v>1459</v>
      </c>
      <c r="E640" s="10">
        <v>12</v>
      </c>
      <c r="F640" s="9" t="s">
        <v>982</v>
      </c>
      <c r="G640" s="11">
        <v>46238</v>
      </c>
      <c r="H640" s="12">
        <v>52.32</v>
      </c>
      <c r="I640" s="12">
        <v>52.32</v>
      </c>
      <c r="J640" s="9" t="s">
        <v>3</v>
      </c>
      <c r="K640" s="8">
        <v>0</v>
      </c>
    </row>
    <row r="641" spans="1:11">
      <c r="A641" s="2" t="s">
        <v>834</v>
      </c>
      <c r="B641" s="2" t="s">
        <v>1460</v>
      </c>
      <c r="C641" s="9">
        <v>10020010</v>
      </c>
      <c r="D641" s="2" t="s">
        <v>1461</v>
      </c>
      <c r="E641" s="10">
        <v>10</v>
      </c>
      <c r="F641" s="9" t="s">
        <v>944</v>
      </c>
      <c r="G641" s="11">
        <v>46238</v>
      </c>
      <c r="H641" s="12">
        <v>53.71</v>
      </c>
      <c r="I641" s="12">
        <v>51.18</v>
      </c>
      <c r="J641" s="9" t="s">
        <v>3</v>
      </c>
      <c r="K641" s="8">
        <v>0</v>
      </c>
    </row>
    <row r="642" spans="1:11">
      <c r="A642" s="2" t="s">
        <v>834</v>
      </c>
      <c r="B642" s="2" t="s">
        <v>1460</v>
      </c>
      <c r="C642" s="9">
        <v>10020011</v>
      </c>
      <c r="D642" s="2" t="s">
        <v>1462</v>
      </c>
      <c r="E642" s="10">
        <v>10</v>
      </c>
      <c r="F642" s="9" t="s">
        <v>944</v>
      </c>
      <c r="G642" s="11">
        <v>46238</v>
      </c>
      <c r="H642" s="12">
        <v>58.23</v>
      </c>
      <c r="I642" s="12">
        <v>55.49</v>
      </c>
      <c r="J642" s="9" t="s">
        <v>3</v>
      </c>
      <c r="K642" s="8">
        <v>0</v>
      </c>
    </row>
    <row r="643" spans="1:11">
      <c r="A643" s="2" t="s">
        <v>834</v>
      </c>
      <c r="B643" s="2" t="s">
        <v>1460</v>
      </c>
      <c r="C643" s="9">
        <v>10020013</v>
      </c>
      <c r="D643" s="2" t="s">
        <v>1463</v>
      </c>
      <c r="E643" s="10">
        <v>10</v>
      </c>
      <c r="F643" s="9" t="s">
        <v>944</v>
      </c>
      <c r="G643" s="11">
        <v>46238</v>
      </c>
      <c r="H643" s="12">
        <v>58.23</v>
      </c>
      <c r="I643" s="12">
        <v>55.49</v>
      </c>
      <c r="J643" s="9" t="s">
        <v>3</v>
      </c>
      <c r="K643" s="8">
        <v>0</v>
      </c>
    </row>
    <row r="644" spans="1:11">
      <c r="A644" s="2" t="s">
        <v>834</v>
      </c>
      <c r="B644" s="2" t="s">
        <v>1460</v>
      </c>
      <c r="C644" s="9">
        <v>10020014</v>
      </c>
      <c r="D644" s="2" t="s">
        <v>1464</v>
      </c>
      <c r="E644" s="10">
        <v>10</v>
      </c>
      <c r="F644" s="9" t="s">
        <v>1456</v>
      </c>
      <c r="G644" s="11">
        <v>46238</v>
      </c>
      <c r="H644" s="12">
        <v>65</v>
      </c>
      <c r="I644" s="12">
        <v>59.8</v>
      </c>
      <c r="J644" s="9" t="s">
        <v>3</v>
      </c>
      <c r="K644" s="8">
        <v>0</v>
      </c>
    </row>
    <row r="645" spans="1:11">
      <c r="A645" s="2" t="s">
        <v>834</v>
      </c>
      <c r="B645" s="2" t="s">
        <v>1460</v>
      </c>
      <c r="C645" s="9">
        <v>10020015</v>
      </c>
      <c r="D645" s="2" t="s">
        <v>1465</v>
      </c>
      <c r="E645" s="10">
        <v>10</v>
      </c>
      <c r="F645" s="9" t="s">
        <v>1456</v>
      </c>
      <c r="G645" s="11">
        <v>46238</v>
      </c>
      <c r="H645" s="12">
        <v>65</v>
      </c>
      <c r="I645" s="12">
        <v>59.8</v>
      </c>
      <c r="J645" s="9" t="s">
        <v>3</v>
      </c>
      <c r="K645" s="8">
        <v>0</v>
      </c>
    </row>
    <row r="646" spans="1:11">
      <c r="A646" s="2" t="s">
        <v>834</v>
      </c>
      <c r="B646" s="2" t="s">
        <v>1460</v>
      </c>
      <c r="C646" s="9">
        <v>10020016</v>
      </c>
      <c r="D646" s="2" t="s">
        <v>1466</v>
      </c>
      <c r="E646" s="10">
        <v>10</v>
      </c>
      <c r="F646" s="9" t="s">
        <v>1456</v>
      </c>
      <c r="G646" s="11">
        <v>46238</v>
      </c>
      <c r="H646" s="12">
        <v>60.43</v>
      </c>
      <c r="I646" s="12">
        <v>55.6</v>
      </c>
      <c r="J646" s="9" t="s">
        <v>3</v>
      </c>
      <c r="K646" s="8">
        <v>0</v>
      </c>
    </row>
    <row r="647" spans="1:11">
      <c r="A647" s="2" t="s">
        <v>834</v>
      </c>
      <c r="B647" s="2" t="s">
        <v>1460</v>
      </c>
      <c r="C647" s="9">
        <v>10020017</v>
      </c>
      <c r="D647" s="2" t="s">
        <v>1467</v>
      </c>
      <c r="E647" s="10">
        <v>10</v>
      </c>
      <c r="F647" s="9" t="s">
        <v>1456</v>
      </c>
      <c r="G647" s="11">
        <v>46238</v>
      </c>
      <c r="H647" s="12">
        <v>60.43</v>
      </c>
      <c r="I647" s="12">
        <v>55.6</v>
      </c>
      <c r="J647" s="9" t="s">
        <v>3</v>
      </c>
      <c r="K647" s="8">
        <v>0</v>
      </c>
    </row>
    <row r="648" spans="1:11">
      <c r="A648" s="2" t="s">
        <v>834</v>
      </c>
      <c r="B648" s="2" t="s">
        <v>1460</v>
      </c>
      <c r="C648" s="9">
        <v>10020018</v>
      </c>
      <c r="D648" s="2" t="s">
        <v>1468</v>
      </c>
      <c r="E648" s="10">
        <v>1</v>
      </c>
      <c r="F648" s="9" t="s">
        <v>1352</v>
      </c>
      <c r="G648" s="11">
        <v>46238</v>
      </c>
      <c r="H648" s="12">
        <v>49.17</v>
      </c>
      <c r="I648" s="12">
        <v>45.24</v>
      </c>
      <c r="J648" s="9" t="s">
        <v>3</v>
      </c>
      <c r="K648" s="8">
        <v>1</v>
      </c>
    </row>
    <row r="649" spans="1:11">
      <c r="A649" s="2" t="s">
        <v>834</v>
      </c>
      <c r="B649" s="2" t="s">
        <v>1460</v>
      </c>
      <c r="C649" s="9">
        <v>10020020</v>
      </c>
      <c r="D649" s="2" t="s">
        <v>1469</v>
      </c>
      <c r="E649" s="10">
        <v>1</v>
      </c>
      <c r="F649" s="9" t="s">
        <v>1352</v>
      </c>
      <c r="G649" s="11">
        <v>46238</v>
      </c>
      <c r="H649" s="12">
        <v>44.72</v>
      </c>
      <c r="I649" s="12">
        <v>41.14</v>
      </c>
      <c r="J649" s="9" t="s">
        <v>3</v>
      </c>
      <c r="K649" s="8">
        <v>1</v>
      </c>
    </row>
    <row r="650" spans="1:11">
      <c r="A650" s="2" t="s">
        <v>834</v>
      </c>
      <c r="B650" s="2" t="s">
        <v>1460</v>
      </c>
      <c r="C650" s="9">
        <v>10020021</v>
      </c>
      <c r="D650" s="2" t="s">
        <v>1470</v>
      </c>
      <c r="E650" s="10">
        <v>1</v>
      </c>
      <c r="F650" s="9" t="s">
        <v>1352</v>
      </c>
      <c r="G650" s="11">
        <v>46238</v>
      </c>
      <c r="H650" s="12">
        <v>49.17</v>
      </c>
      <c r="I650" s="12">
        <v>45.24</v>
      </c>
      <c r="J650" s="9" t="s">
        <v>3</v>
      </c>
      <c r="K650" s="8">
        <v>1</v>
      </c>
    </row>
    <row r="651" spans="1:11">
      <c r="A651" s="2" t="s">
        <v>925</v>
      </c>
      <c r="B651" s="2" t="s">
        <v>1471</v>
      </c>
      <c r="C651" s="9">
        <v>10020056</v>
      </c>
      <c r="D651" s="2" t="s">
        <v>1472</v>
      </c>
      <c r="E651" s="10">
        <v>4</v>
      </c>
      <c r="F651" s="9" t="s">
        <v>1473</v>
      </c>
      <c r="G651" s="11">
        <v>46238</v>
      </c>
      <c r="H651" s="12">
        <v>75.17</v>
      </c>
      <c r="I651" s="12">
        <v>66.900000000000006</v>
      </c>
      <c r="J651" s="9" t="s">
        <v>3</v>
      </c>
      <c r="K651" s="8">
        <v>0</v>
      </c>
    </row>
    <row r="652" spans="1:11">
      <c r="A652" s="2" t="s">
        <v>925</v>
      </c>
      <c r="B652" s="2" t="s">
        <v>1471</v>
      </c>
      <c r="C652" s="9">
        <v>10020057</v>
      </c>
      <c r="D652" s="2" t="s">
        <v>1474</v>
      </c>
      <c r="E652" s="10">
        <v>4</v>
      </c>
      <c r="F652" s="9" t="s">
        <v>1473</v>
      </c>
      <c r="G652" s="11">
        <v>46238</v>
      </c>
      <c r="H652" s="12">
        <v>75.17</v>
      </c>
      <c r="I652" s="12">
        <v>66.900000000000006</v>
      </c>
      <c r="J652" s="9" t="s">
        <v>3</v>
      </c>
      <c r="K652" s="8">
        <v>0</v>
      </c>
    </row>
    <row r="653" spans="1:11">
      <c r="A653" s="2" t="s">
        <v>925</v>
      </c>
      <c r="B653" s="2" t="s">
        <v>1471</v>
      </c>
      <c r="C653" s="9">
        <v>10020058</v>
      </c>
      <c r="D653" s="2" t="s">
        <v>1475</v>
      </c>
      <c r="E653" s="10">
        <v>4</v>
      </c>
      <c r="F653" s="9" t="s">
        <v>1473</v>
      </c>
      <c r="G653" s="11">
        <v>46238</v>
      </c>
      <c r="H653" s="12">
        <v>96.84</v>
      </c>
      <c r="I653" s="12">
        <v>86.19</v>
      </c>
      <c r="J653" s="9" t="s">
        <v>3</v>
      </c>
      <c r="K653" s="8">
        <v>0</v>
      </c>
    </row>
    <row r="654" spans="1:11">
      <c r="A654" s="2" t="s">
        <v>925</v>
      </c>
      <c r="B654" s="2" t="s">
        <v>1476</v>
      </c>
      <c r="C654" s="9">
        <v>10020220</v>
      </c>
      <c r="D654" s="2" t="s">
        <v>1477</v>
      </c>
      <c r="E654" s="10">
        <v>12</v>
      </c>
      <c r="F654" s="9" t="s">
        <v>1478</v>
      </c>
      <c r="G654" s="11">
        <v>46238</v>
      </c>
      <c r="H654" s="12">
        <v>134.65</v>
      </c>
      <c r="I654" s="12">
        <v>119.84</v>
      </c>
      <c r="J654" s="9" t="s">
        <v>3</v>
      </c>
      <c r="K654" s="8">
        <v>0</v>
      </c>
    </row>
    <row r="655" spans="1:11">
      <c r="A655" s="2" t="s">
        <v>925</v>
      </c>
      <c r="B655" s="2" t="s">
        <v>1476</v>
      </c>
      <c r="C655" s="9">
        <v>10020279</v>
      </c>
      <c r="D655" s="2" t="s">
        <v>1479</v>
      </c>
      <c r="E655" s="10">
        <v>12</v>
      </c>
      <c r="F655" s="9" t="s">
        <v>1478</v>
      </c>
      <c r="G655" s="11">
        <v>46238</v>
      </c>
      <c r="H655" s="12">
        <v>134.65</v>
      </c>
      <c r="I655" s="12">
        <v>119.84</v>
      </c>
      <c r="J655" s="9" t="s">
        <v>3</v>
      </c>
      <c r="K655" s="8">
        <v>0</v>
      </c>
    </row>
    <row r="656" spans="1:11">
      <c r="A656" s="2" t="s">
        <v>925</v>
      </c>
      <c r="B656" s="2" t="s">
        <v>1476</v>
      </c>
      <c r="C656" s="9">
        <v>10020280</v>
      </c>
      <c r="D656" s="2" t="s">
        <v>1480</v>
      </c>
      <c r="E656" s="10">
        <v>12</v>
      </c>
      <c r="F656" s="9" t="s">
        <v>1478</v>
      </c>
      <c r="G656" s="11">
        <v>46238</v>
      </c>
      <c r="H656" s="12">
        <v>134.65</v>
      </c>
      <c r="I656" s="12">
        <v>119.84</v>
      </c>
      <c r="J656" s="9" t="s">
        <v>3</v>
      </c>
      <c r="K656" s="8">
        <v>0</v>
      </c>
    </row>
    <row r="657" spans="1:11">
      <c r="A657" s="2" t="s">
        <v>925</v>
      </c>
      <c r="B657" s="2" t="s">
        <v>1476</v>
      </c>
      <c r="C657" s="9">
        <v>10020282</v>
      </c>
      <c r="D657" s="2" t="s">
        <v>1481</v>
      </c>
      <c r="E657" s="10">
        <v>12</v>
      </c>
      <c r="F657" s="9" t="s">
        <v>650</v>
      </c>
      <c r="G657" s="11">
        <v>46238</v>
      </c>
      <c r="H657" s="12">
        <v>246.85</v>
      </c>
      <c r="I657" s="12">
        <v>219.7</v>
      </c>
      <c r="J657" s="9" t="s">
        <v>3</v>
      </c>
      <c r="K657" s="8">
        <v>0</v>
      </c>
    </row>
    <row r="658" spans="1:11">
      <c r="A658" s="2" t="s">
        <v>925</v>
      </c>
      <c r="B658" s="2" t="s">
        <v>1476</v>
      </c>
      <c r="C658" s="9">
        <v>10020283</v>
      </c>
      <c r="D658" s="2" t="s">
        <v>1482</v>
      </c>
      <c r="E658" s="10">
        <v>12</v>
      </c>
      <c r="F658" s="9" t="s">
        <v>650</v>
      </c>
      <c r="G658" s="11">
        <v>46238</v>
      </c>
      <c r="H658" s="12">
        <v>246.85</v>
      </c>
      <c r="I658" s="12">
        <v>219.7</v>
      </c>
      <c r="J658" s="9" t="s">
        <v>3</v>
      </c>
      <c r="K658" s="8">
        <v>0</v>
      </c>
    </row>
    <row r="659" spans="1:11">
      <c r="A659" s="2" t="s">
        <v>925</v>
      </c>
      <c r="B659" s="2" t="s">
        <v>1476</v>
      </c>
      <c r="C659" s="9">
        <v>10020287</v>
      </c>
      <c r="D659" s="2" t="s">
        <v>1483</v>
      </c>
      <c r="E659" s="10">
        <v>6</v>
      </c>
      <c r="F659" s="9" t="s">
        <v>1484</v>
      </c>
      <c r="G659" s="11">
        <v>46238</v>
      </c>
      <c r="H659" s="12">
        <v>187.42</v>
      </c>
      <c r="I659" s="12">
        <v>166.8</v>
      </c>
      <c r="J659" s="9" t="s">
        <v>3</v>
      </c>
      <c r="K659" s="8">
        <v>0</v>
      </c>
    </row>
    <row r="660" spans="1:11">
      <c r="A660" s="2" t="s">
        <v>925</v>
      </c>
      <c r="B660" s="2" t="s">
        <v>1476</v>
      </c>
      <c r="C660" s="9">
        <v>10020288</v>
      </c>
      <c r="D660" s="2" t="s">
        <v>1485</v>
      </c>
      <c r="E660" s="10">
        <v>1</v>
      </c>
      <c r="F660" s="9" t="s">
        <v>1486</v>
      </c>
      <c r="G660" s="11">
        <v>46238</v>
      </c>
      <c r="H660" s="12">
        <v>1010.85</v>
      </c>
      <c r="I660" s="12">
        <v>899.66</v>
      </c>
      <c r="J660" s="9" t="s">
        <v>3</v>
      </c>
      <c r="K660" s="8">
        <v>0</v>
      </c>
    </row>
    <row r="661" spans="1:11">
      <c r="A661" s="2" t="s">
        <v>906</v>
      </c>
      <c r="B661" s="2" t="s">
        <v>983</v>
      </c>
      <c r="C661" s="9">
        <v>10020398</v>
      </c>
      <c r="D661" s="2" t="s">
        <v>1487</v>
      </c>
      <c r="E661" s="10">
        <v>12</v>
      </c>
      <c r="F661" s="9" t="s">
        <v>1171</v>
      </c>
      <c r="G661" s="11">
        <v>46238</v>
      </c>
      <c r="H661" s="12">
        <v>86.37</v>
      </c>
      <c r="I661" s="12">
        <v>79.459999999999994</v>
      </c>
      <c r="J661" s="9" t="s">
        <v>3</v>
      </c>
      <c r="K661" s="8">
        <v>0</v>
      </c>
    </row>
    <row r="662" spans="1:11">
      <c r="A662" s="2" t="s">
        <v>949</v>
      </c>
      <c r="B662" s="2" t="s">
        <v>1488</v>
      </c>
      <c r="C662" s="9">
        <v>10020841</v>
      </c>
      <c r="D662" s="2" t="s">
        <v>1489</v>
      </c>
      <c r="E662" s="10">
        <v>10</v>
      </c>
      <c r="F662" s="9" t="s">
        <v>1060</v>
      </c>
      <c r="G662" s="11">
        <v>46238</v>
      </c>
      <c r="H662" s="12">
        <v>56.69</v>
      </c>
      <c r="I662" s="12">
        <v>50.45</v>
      </c>
      <c r="J662" s="9" t="s">
        <v>3</v>
      </c>
      <c r="K662" s="8">
        <v>0</v>
      </c>
    </row>
    <row r="663" spans="1:11">
      <c r="A663" s="2" t="s">
        <v>949</v>
      </c>
      <c r="B663" s="2" t="s">
        <v>1488</v>
      </c>
      <c r="C663" s="9">
        <v>10020843</v>
      </c>
      <c r="D663" s="2" t="s">
        <v>1490</v>
      </c>
      <c r="E663" s="10">
        <v>10</v>
      </c>
      <c r="F663" s="9" t="s">
        <v>1060</v>
      </c>
      <c r="G663" s="11">
        <v>46238</v>
      </c>
      <c r="H663" s="12">
        <v>56.69</v>
      </c>
      <c r="I663" s="12">
        <v>50.45</v>
      </c>
      <c r="J663" s="9" t="s">
        <v>3</v>
      </c>
      <c r="K663" s="8">
        <v>0</v>
      </c>
    </row>
    <row r="664" spans="1:11">
      <c r="A664" s="2" t="s">
        <v>949</v>
      </c>
      <c r="B664" s="2" t="s">
        <v>1488</v>
      </c>
      <c r="C664" s="9">
        <v>10020847</v>
      </c>
      <c r="D664" s="2" t="s">
        <v>1491</v>
      </c>
      <c r="E664" s="10">
        <v>10</v>
      </c>
      <c r="F664" s="9" t="s">
        <v>1060</v>
      </c>
      <c r="G664" s="11">
        <v>46238</v>
      </c>
      <c r="H664" s="12">
        <v>56.69</v>
      </c>
      <c r="I664" s="12">
        <v>50.45</v>
      </c>
      <c r="J664" s="9" t="s">
        <v>3</v>
      </c>
      <c r="K664" s="8">
        <v>0</v>
      </c>
    </row>
    <row r="665" spans="1:11">
      <c r="A665" s="2" t="s">
        <v>949</v>
      </c>
      <c r="B665" s="2" t="s">
        <v>1488</v>
      </c>
      <c r="C665" s="9">
        <v>10020849</v>
      </c>
      <c r="D665" s="2" t="s">
        <v>1492</v>
      </c>
      <c r="E665" s="10">
        <v>10</v>
      </c>
      <c r="F665" s="9" t="s">
        <v>1392</v>
      </c>
      <c r="G665" s="11">
        <v>46238</v>
      </c>
      <c r="H665" s="12">
        <v>56.69</v>
      </c>
      <c r="I665" s="12">
        <v>50.45</v>
      </c>
      <c r="J665" s="9" t="s">
        <v>3</v>
      </c>
      <c r="K665" s="8">
        <v>0</v>
      </c>
    </row>
    <row r="666" spans="1:11">
      <c r="A666" s="2" t="s">
        <v>949</v>
      </c>
      <c r="B666" s="2" t="s">
        <v>1488</v>
      </c>
      <c r="C666" s="9">
        <v>10020850</v>
      </c>
      <c r="D666" s="2" t="s">
        <v>1493</v>
      </c>
      <c r="E666" s="10">
        <v>20</v>
      </c>
      <c r="F666" s="9" t="s">
        <v>1494</v>
      </c>
      <c r="G666" s="11">
        <v>46238</v>
      </c>
      <c r="H666" s="12">
        <v>49.36</v>
      </c>
      <c r="I666" s="12">
        <v>43.93</v>
      </c>
      <c r="J666" s="9" t="s">
        <v>3</v>
      </c>
      <c r="K666" s="8">
        <v>0</v>
      </c>
    </row>
    <row r="667" spans="1:11">
      <c r="A667" s="2" t="s">
        <v>949</v>
      </c>
      <c r="B667" s="2" t="s">
        <v>1488</v>
      </c>
      <c r="C667" s="9">
        <v>10020851</v>
      </c>
      <c r="D667" s="2" t="s">
        <v>1495</v>
      </c>
      <c r="E667" s="10">
        <v>20</v>
      </c>
      <c r="F667" s="9" t="s">
        <v>1494</v>
      </c>
      <c r="G667" s="11">
        <v>46238</v>
      </c>
      <c r="H667" s="12">
        <v>49.36</v>
      </c>
      <c r="I667" s="12">
        <v>43.93</v>
      </c>
      <c r="J667" s="9" t="s">
        <v>3</v>
      </c>
      <c r="K667" s="8">
        <v>0</v>
      </c>
    </row>
    <row r="668" spans="1:11">
      <c r="A668" s="2" t="s">
        <v>949</v>
      </c>
      <c r="B668" s="2" t="s">
        <v>1488</v>
      </c>
      <c r="C668" s="9">
        <v>10020853</v>
      </c>
      <c r="D668" s="2" t="s">
        <v>1496</v>
      </c>
      <c r="E668" s="10">
        <v>20</v>
      </c>
      <c r="F668" s="9" t="s">
        <v>1494</v>
      </c>
      <c r="G668" s="11">
        <v>46238</v>
      </c>
      <c r="H668" s="12">
        <v>49.36</v>
      </c>
      <c r="I668" s="12">
        <v>43.93</v>
      </c>
      <c r="J668" s="9" t="s">
        <v>3</v>
      </c>
      <c r="K668" s="8">
        <v>0</v>
      </c>
    </row>
    <row r="669" spans="1:11">
      <c r="A669" s="2" t="s">
        <v>949</v>
      </c>
      <c r="B669" s="2" t="s">
        <v>1488</v>
      </c>
      <c r="C669" s="9">
        <v>10020854</v>
      </c>
      <c r="D669" s="2" t="s">
        <v>1497</v>
      </c>
      <c r="E669" s="10">
        <v>20</v>
      </c>
      <c r="F669" s="9" t="s">
        <v>1494</v>
      </c>
      <c r="G669" s="11">
        <v>46238</v>
      </c>
      <c r="H669" s="12">
        <v>49.36</v>
      </c>
      <c r="I669" s="12">
        <v>43.93</v>
      </c>
      <c r="J669" s="9" t="s">
        <v>3</v>
      </c>
      <c r="K669" s="8">
        <v>0</v>
      </c>
    </row>
    <row r="670" spans="1:11">
      <c r="A670" s="2" t="s">
        <v>949</v>
      </c>
      <c r="B670" s="2" t="s">
        <v>1488</v>
      </c>
      <c r="C670" s="9">
        <v>10020856</v>
      </c>
      <c r="D670" s="2" t="s">
        <v>1498</v>
      </c>
      <c r="E670" s="10">
        <v>10</v>
      </c>
      <c r="F670" s="9" t="s">
        <v>1060</v>
      </c>
      <c r="G670" s="11">
        <v>46238</v>
      </c>
      <c r="H670" s="12">
        <v>56.69</v>
      </c>
      <c r="I670" s="12">
        <v>50.45</v>
      </c>
      <c r="J670" s="9" t="s">
        <v>3</v>
      </c>
      <c r="K670" s="8">
        <v>0</v>
      </c>
    </row>
    <row r="671" spans="1:11">
      <c r="A671" s="2" t="s">
        <v>949</v>
      </c>
      <c r="B671" s="2" t="s">
        <v>1488</v>
      </c>
      <c r="C671" s="9">
        <v>10020858</v>
      </c>
      <c r="D671" s="2" t="s">
        <v>1499</v>
      </c>
      <c r="E671" s="10">
        <v>20</v>
      </c>
      <c r="F671" s="9" t="s">
        <v>1494</v>
      </c>
      <c r="G671" s="11">
        <v>46238</v>
      </c>
      <c r="H671" s="12">
        <v>49.36</v>
      </c>
      <c r="I671" s="12">
        <v>43.93</v>
      </c>
      <c r="J671" s="9" t="s">
        <v>3</v>
      </c>
      <c r="K671" s="8">
        <v>0</v>
      </c>
    </row>
    <row r="672" spans="1:11">
      <c r="A672" s="2" t="s">
        <v>949</v>
      </c>
      <c r="B672" s="2" t="s">
        <v>1488</v>
      </c>
      <c r="C672" s="9">
        <v>10020859</v>
      </c>
      <c r="D672" s="2" t="s">
        <v>1500</v>
      </c>
      <c r="E672" s="10">
        <v>10</v>
      </c>
      <c r="F672" s="9" t="s">
        <v>1060</v>
      </c>
      <c r="G672" s="11">
        <v>46238</v>
      </c>
      <c r="H672" s="12">
        <v>56.69</v>
      </c>
      <c r="I672" s="12">
        <v>50.45</v>
      </c>
      <c r="J672" s="9" t="s">
        <v>3</v>
      </c>
      <c r="K672" s="8">
        <v>0</v>
      </c>
    </row>
    <row r="673" spans="1:11">
      <c r="A673" s="2" t="s">
        <v>949</v>
      </c>
      <c r="B673" s="2" t="s">
        <v>1488</v>
      </c>
      <c r="C673" s="9">
        <v>10020860</v>
      </c>
      <c r="D673" s="2" t="s">
        <v>1500</v>
      </c>
      <c r="E673" s="10">
        <v>20</v>
      </c>
      <c r="F673" s="9" t="s">
        <v>1494</v>
      </c>
      <c r="G673" s="11">
        <v>46238</v>
      </c>
      <c r="H673" s="12">
        <v>49.36</v>
      </c>
      <c r="I673" s="12">
        <v>43.93</v>
      </c>
      <c r="J673" s="9" t="s">
        <v>3</v>
      </c>
      <c r="K673" s="8">
        <v>0</v>
      </c>
    </row>
    <row r="674" spans="1:11">
      <c r="A674" s="2" t="s">
        <v>1255</v>
      </c>
      <c r="B674" s="2" t="s">
        <v>1501</v>
      </c>
      <c r="C674" s="9">
        <v>10020932</v>
      </c>
      <c r="D674" s="2" t="s">
        <v>1502</v>
      </c>
      <c r="E674" s="10">
        <v>12</v>
      </c>
      <c r="F674" s="9" t="s">
        <v>985</v>
      </c>
      <c r="G674" s="11">
        <v>46238</v>
      </c>
      <c r="H674" s="12">
        <v>44.52</v>
      </c>
      <c r="I674" s="12">
        <v>39.6</v>
      </c>
      <c r="J674" s="9" t="s">
        <v>3</v>
      </c>
      <c r="K674" s="8">
        <v>0</v>
      </c>
    </row>
    <row r="675" spans="1:11">
      <c r="A675" s="2" t="s">
        <v>1255</v>
      </c>
      <c r="B675" s="2" t="s">
        <v>1501</v>
      </c>
      <c r="C675" s="9">
        <v>10020933</v>
      </c>
      <c r="D675" s="2" t="s">
        <v>1503</v>
      </c>
      <c r="E675" s="10">
        <v>12</v>
      </c>
      <c r="F675" s="9" t="s">
        <v>985</v>
      </c>
      <c r="G675" s="11">
        <v>46238</v>
      </c>
      <c r="H675" s="12">
        <v>44.52</v>
      </c>
      <c r="I675" s="12">
        <v>39.6</v>
      </c>
      <c r="J675" s="9" t="s">
        <v>3</v>
      </c>
      <c r="K675" s="8">
        <v>0</v>
      </c>
    </row>
    <row r="676" spans="1:11">
      <c r="A676" s="2" t="s">
        <v>1255</v>
      </c>
      <c r="B676" s="2" t="s">
        <v>1501</v>
      </c>
      <c r="C676" s="9">
        <v>10020934</v>
      </c>
      <c r="D676" s="2" t="s">
        <v>1504</v>
      </c>
      <c r="E676" s="10">
        <v>12</v>
      </c>
      <c r="F676" s="9" t="s">
        <v>985</v>
      </c>
      <c r="G676" s="11">
        <v>46238</v>
      </c>
      <c r="H676" s="12">
        <v>44.52</v>
      </c>
      <c r="I676" s="12">
        <v>39.6</v>
      </c>
      <c r="J676" s="9" t="s">
        <v>3</v>
      </c>
      <c r="K676" s="8">
        <v>0</v>
      </c>
    </row>
    <row r="677" spans="1:11">
      <c r="A677" s="2" t="s">
        <v>1255</v>
      </c>
      <c r="B677" s="2" t="s">
        <v>1501</v>
      </c>
      <c r="C677" s="9">
        <v>10020943</v>
      </c>
      <c r="D677" s="2" t="s">
        <v>1505</v>
      </c>
      <c r="E677" s="10">
        <v>60</v>
      </c>
      <c r="F677" s="9" t="s">
        <v>1506</v>
      </c>
      <c r="G677" s="11">
        <v>46238</v>
      </c>
      <c r="H677" s="12">
        <v>222.5</v>
      </c>
      <c r="I677" s="12">
        <v>198</v>
      </c>
      <c r="J677" s="9" t="s">
        <v>3</v>
      </c>
      <c r="K677" s="8">
        <v>0</v>
      </c>
    </row>
    <row r="678" spans="1:11">
      <c r="A678" s="2" t="s">
        <v>1255</v>
      </c>
      <c r="B678" s="2" t="s">
        <v>1501</v>
      </c>
      <c r="C678" s="9">
        <v>10020944</v>
      </c>
      <c r="D678" s="2" t="s">
        <v>1507</v>
      </c>
      <c r="E678" s="10">
        <v>288</v>
      </c>
      <c r="F678" s="9" t="s">
        <v>1508</v>
      </c>
      <c r="G678" s="11">
        <v>46238</v>
      </c>
      <c r="H678" s="12">
        <v>1278.2</v>
      </c>
      <c r="I678" s="12">
        <v>1137.5999999999999</v>
      </c>
      <c r="J678" s="9" t="s">
        <v>3</v>
      </c>
      <c r="K678" s="8">
        <v>0</v>
      </c>
    </row>
    <row r="679" spans="1:11">
      <c r="A679" s="2" t="s">
        <v>746</v>
      </c>
      <c r="B679" s="2" t="s">
        <v>1509</v>
      </c>
      <c r="C679" s="9">
        <v>10021552</v>
      </c>
      <c r="D679" s="2" t="s">
        <v>1510</v>
      </c>
      <c r="E679" s="10">
        <v>12</v>
      </c>
      <c r="F679" s="9" t="s">
        <v>1511</v>
      </c>
      <c r="G679" s="11">
        <v>46238</v>
      </c>
      <c r="H679" s="12">
        <v>50.88</v>
      </c>
      <c r="I679" s="12">
        <v>45.28</v>
      </c>
      <c r="J679" s="9" t="s">
        <v>3</v>
      </c>
      <c r="K679" s="8">
        <v>0</v>
      </c>
    </row>
    <row r="680" spans="1:11">
      <c r="A680" s="2" t="s">
        <v>746</v>
      </c>
      <c r="B680" s="2" t="s">
        <v>1509</v>
      </c>
      <c r="C680" s="9">
        <v>10021553</v>
      </c>
      <c r="D680" s="2" t="s">
        <v>1512</v>
      </c>
      <c r="E680" s="10">
        <v>12</v>
      </c>
      <c r="F680" s="9" t="s">
        <v>1511</v>
      </c>
      <c r="G680" s="11">
        <v>46238</v>
      </c>
      <c r="H680" s="12">
        <v>50.88</v>
      </c>
      <c r="I680" s="12">
        <v>45.28</v>
      </c>
      <c r="J680" s="9" t="s">
        <v>3</v>
      </c>
      <c r="K680" s="8">
        <v>0</v>
      </c>
    </row>
    <row r="681" spans="1:11">
      <c r="A681" s="2" t="s">
        <v>663</v>
      </c>
      <c r="B681" s="2" t="s">
        <v>1513</v>
      </c>
      <c r="C681" s="9">
        <v>10022064</v>
      </c>
      <c r="D681" s="2" t="s">
        <v>1514</v>
      </c>
      <c r="E681" s="10">
        <v>12</v>
      </c>
      <c r="F681" s="9" t="s">
        <v>728</v>
      </c>
      <c r="G681" s="11">
        <v>46238</v>
      </c>
      <c r="H681" s="12">
        <v>53.16</v>
      </c>
      <c r="I681" s="12">
        <v>47.28</v>
      </c>
      <c r="J681" s="9" t="s">
        <v>3</v>
      </c>
      <c r="K681" s="8">
        <v>0</v>
      </c>
    </row>
    <row r="682" spans="1:11">
      <c r="A682" s="2" t="s">
        <v>663</v>
      </c>
      <c r="B682" s="2" t="s">
        <v>1513</v>
      </c>
      <c r="C682" s="9">
        <v>10022065</v>
      </c>
      <c r="D682" s="2" t="s">
        <v>1515</v>
      </c>
      <c r="E682" s="10">
        <v>12</v>
      </c>
      <c r="F682" s="9" t="s">
        <v>1171</v>
      </c>
      <c r="G682" s="11">
        <v>46238</v>
      </c>
      <c r="H682" s="12">
        <v>48.13</v>
      </c>
      <c r="I682" s="12">
        <v>42.84</v>
      </c>
      <c r="J682" s="9" t="s">
        <v>3</v>
      </c>
      <c r="K682" s="8">
        <v>0</v>
      </c>
    </row>
    <row r="683" spans="1:11">
      <c r="A683" s="2" t="s">
        <v>687</v>
      </c>
      <c r="B683" s="2" t="s">
        <v>1516</v>
      </c>
      <c r="C683" s="9">
        <v>10022500</v>
      </c>
      <c r="D683" s="2" t="s">
        <v>1517</v>
      </c>
      <c r="E683" s="10">
        <v>10</v>
      </c>
      <c r="F683" s="9" t="s">
        <v>770</v>
      </c>
      <c r="G683" s="11">
        <v>46238</v>
      </c>
      <c r="H683" s="12">
        <v>92.11</v>
      </c>
      <c r="I683" s="12">
        <v>81.98</v>
      </c>
      <c r="J683" s="9" t="s">
        <v>3</v>
      </c>
      <c r="K683" s="8">
        <v>0</v>
      </c>
    </row>
    <row r="684" spans="1:11">
      <c r="A684" s="2" t="s">
        <v>687</v>
      </c>
      <c r="B684" s="2" t="s">
        <v>1516</v>
      </c>
      <c r="C684" s="9">
        <v>10022501</v>
      </c>
      <c r="D684" s="2" t="s">
        <v>1518</v>
      </c>
      <c r="E684" s="10">
        <v>10</v>
      </c>
      <c r="F684" s="9" t="s">
        <v>770</v>
      </c>
      <c r="G684" s="11">
        <v>46238</v>
      </c>
      <c r="H684" s="12">
        <v>92.11</v>
      </c>
      <c r="I684" s="12">
        <v>81.98</v>
      </c>
      <c r="J684" s="9" t="s">
        <v>3</v>
      </c>
      <c r="K684" s="8">
        <v>0</v>
      </c>
    </row>
    <row r="685" spans="1:11">
      <c r="A685" s="2" t="s">
        <v>687</v>
      </c>
      <c r="B685" s="2" t="s">
        <v>1516</v>
      </c>
      <c r="C685" s="9">
        <v>10022502</v>
      </c>
      <c r="D685" s="2" t="s">
        <v>1519</v>
      </c>
      <c r="E685" s="10">
        <v>10</v>
      </c>
      <c r="F685" s="9" t="s">
        <v>770</v>
      </c>
      <c r="G685" s="11">
        <v>46238</v>
      </c>
      <c r="H685" s="12">
        <v>92.11</v>
      </c>
      <c r="I685" s="12">
        <v>81.98</v>
      </c>
      <c r="J685" s="9" t="s">
        <v>3</v>
      </c>
      <c r="K685" s="8">
        <v>0</v>
      </c>
    </row>
    <row r="686" spans="1:11">
      <c r="A686" s="2" t="s">
        <v>687</v>
      </c>
      <c r="B686" s="2" t="s">
        <v>1516</v>
      </c>
      <c r="C686" s="9">
        <v>10022503</v>
      </c>
      <c r="D686" s="2" t="s">
        <v>1520</v>
      </c>
      <c r="E686" s="10">
        <v>10</v>
      </c>
      <c r="F686" s="9" t="s">
        <v>770</v>
      </c>
      <c r="G686" s="11">
        <v>46238</v>
      </c>
      <c r="H686" s="12">
        <v>92.11</v>
      </c>
      <c r="I686" s="12">
        <v>81.98</v>
      </c>
      <c r="J686" s="9" t="s">
        <v>3</v>
      </c>
      <c r="K686" s="8">
        <v>0</v>
      </c>
    </row>
    <row r="687" spans="1:11">
      <c r="A687" s="2" t="s">
        <v>842</v>
      </c>
      <c r="B687" s="2" t="s">
        <v>1521</v>
      </c>
      <c r="C687" s="9">
        <v>10023462</v>
      </c>
      <c r="D687" s="2" t="s">
        <v>1522</v>
      </c>
      <c r="E687" s="10">
        <v>12</v>
      </c>
      <c r="F687" s="9" t="s">
        <v>969</v>
      </c>
      <c r="G687" s="11">
        <v>46238</v>
      </c>
      <c r="H687" s="12">
        <v>85.3</v>
      </c>
      <c r="I687" s="12">
        <v>75.92</v>
      </c>
      <c r="J687" s="9" t="s">
        <v>3</v>
      </c>
      <c r="K687" s="8">
        <v>0</v>
      </c>
    </row>
    <row r="688" spans="1:11">
      <c r="A688" s="2" t="s">
        <v>842</v>
      </c>
      <c r="B688" s="2" t="s">
        <v>1521</v>
      </c>
      <c r="C688" s="9">
        <v>10023464</v>
      </c>
      <c r="D688" s="2" t="s">
        <v>1523</v>
      </c>
      <c r="E688" s="10">
        <v>12</v>
      </c>
      <c r="F688" s="9" t="s">
        <v>1524</v>
      </c>
      <c r="G688" s="11">
        <v>46238</v>
      </c>
      <c r="H688" s="12">
        <v>85.3</v>
      </c>
      <c r="I688" s="12">
        <v>75.92</v>
      </c>
      <c r="J688" s="9" t="s">
        <v>3</v>
      </c>
      <c r="K688" s="8">
        <v>0</v>
      </c>
    </row>
    <row r="689" spans="1:11">
      <c r="A689" s="2" t="s">
        <v>842</v>
      </c>
      <c r="B689" s="2" t="s">
        <v>1521</v>
      </c>
      <c r="C689" s="9">
        <v>10023470</v>
      </c>
      <c r="D689" s="2" t="s">
        <v>1525</v>
      </c>
      <c r="E689" s="10">
        <v>12</v>
      </c>
      <c r="F689" s="9" t="s">
        <v>1526</v>
      </c>
      <c r="G689" s="11">
        <v>46238</v>
      </c>
      <c r="H689" s="12">
        <v>63.99</v>
      </c>
      <c r="I689" s="12">
        <v>56.95</v>
      </c>
      <c r="J689" s="9" t="s">
        <v>3</v>
      </c>
      <c r="K689" s="8">
        <v>0</v>
      </c>
    </row>
    <row r="690" spans="1:11">
      <c r="A690" s="2" t="s">
        <v>842</v>
      </c>
      <c r="B690" s="2" t="s">
        <v>1521</v>
      </c>
      <c r="C690" s="9">
        <v>10023471</v>
      </c>
      <c r="D690" s="2" t="s">
        <v>1527</v>
      </c>
      <c r="E690" s="10">
        <v>12</v>
      </c>
      <c r="F690" s="9" t="s">
        <v>1526</v>
      </c>
      <c r="G690" s="11">
        <v>46238</v>
      </c>
      <c r="H690" s="12">
        <v>63.99</v>
      </c>
      <c r="I690" s="12">
        <v>56.95</v>
      </c>
      <c r="J690" s="9" t="s">
        <v>3</v>
      </c>
      <c r="K690" s="8">
        <v>0</v>
      </c>
    </row>
    <row r="691" spans="1:11">
      <c r="A691" s="2" t="s">
        <v>842</v>
      </c>
      <c r="B691" s="2" t="s">
        <v>1521</v>
      </c>
      <c r="C691" s="9">
        <v>10023472</v>
      </c>
      <c r="D691" s="2" t="s">
        <v>1528</v>
      </c>
      <c r="E691" s="10">
        <v>12</v>
      </c>
      <c r="F691" s="9" t="s">
        <v>1526</v>
      </c>
      <c r="G691" s="11">
        <v>46238</v>
      </c>
      <c r="H691" s="12">
        <v>63.99</v>
      </c>
      <c r="I691" s="12">
        <v>56.95</v>
      </c>
      <c r="J691" s="9" t="s">
        <v>3</v>
      </c>
      <c r="K691" s="8">
        <v>0</v>
      </c>
    </row>
    <row r="692" spans="1:11">
      <c r="A692" s="2" t="s">
        <v>842</v>
      </c>
      <c r="B692" s="2" t="s">
        <v>1521</v>
      </c>
      <c r="C692" s="9">
        <v>10023474</v>
      </c>
      <c r="D692" s="2" t="s">
        <v>1523</v>
      </c>
      <c r="E692" s="10">
        <v>12</v>
      </c>
      <c r="F692" s="9" t="s">
        <v>1524</v>
      </c>
      <c r="G692" s="11">
        <v>46238</v>
      </c>
      <c r="H692" s="12">
        <v>91.28</v>
      </c>
      <c r="I692" s="12">
        <v>81.239999999999995</v>
      </c>
      <c r="J692" s="9" t="s">
        <v>3</v>
      </c>
      <c r="K692" s="8">
        <v>0</v>
      </c>
    </row>
    <row r="693" spans="1:11">
      <c r="A693" s="2" t="s">
        <v>842</v>
      </c>
      <c r="B693" s="2" t="s">
        <v>1521</v>
      </c>
      <c r="C693" s="9">
        <v>10023475</v>
      </c>
      <c r="D693" s="2" t="s">
        <v>1529</v>
      </c>
      <c r="E693" s="10">
        <v>12</v>
      </c>
      <c r="F693" s="9" t="s">
        <v>1524</v>
      </c>
      <c r="G693" s="11">
        <v>46238</v>
      </c>
      <c r="H693" s="12">
        <v>91.28</v>
      </c>
      <c r="I693" s="12">
        <v>81.239999999999995</v>
      </c>
      <c r="J693" s="9" t="s">
        <v>3</v>
      </c>
      <c r="K693" s="8">
        <v>0</v>
      </c>
    </row>
    <row r="694" spans="1:11">
      <c r="A694" s="2" t="s">
        <v>842</v>
      </c>
      <c r="B694" s="2" t="s">
        <v>1521</v>
      </c>
      <c r="C694" s="9">
        <v>10023476</v>
      </c>
      <c r="D694" s="2" t="s">
        <v>1530</v>
      </c>
      <c r="E694" s="10">
        <v>12</v>
      </c>
      <c r="F694" s="9" t="s">
        <v>1524</v>
      </c>
      <c r="G694" s="11">
        <v>46238</v>
      </c>
      <c r="H694" s="12">
        <v>91.28</v>
      </c>
      <c r="I694" s="12">
        <v>81.239999999999995</v>
      </c>
      <c r="J694" s="9" t="s">
        <v>3</v>
      </c>
      <c r="K694" s="8">
        <v>0</v>
      </c>
    </row>
    <row r="695" spans="1:11">
      <c r="A695" s="2" t="s">
        <v>842</v>
      </c>
      <c r="B695" s="2" t="s">
        <v>1521</v>
      </c>
      <c r="C695" s="9">
        <v>10023477</v>
      </c>
      <c r="D695" s="2" t="s">
        <v>1531</v>
      </c>
      <c r="E695" s="10">
        <v>12</v>
      </c>
      <c r="F695" s="9" t="s">
        <v>969</v>
      </c>
      <c r="G695" s="11">
        <v>46238</v>
      </c>
      <c r="H695" s="12">
        <v>91.28</v>
      </c>
      <c r="I695" s="12">
        <v>81.239999999999995</v>
      </c>
      <c r="J695" s="9" t="s">
        <v>3</v>
      </c>
      <c r="K695" s="8">
        <v>0</v>
      </c>
    </row>
    <row r="696" spans="1:11">
      <c r="A696" s="2" t="s">
        <v>842</v>
      </c>
      <c r="B696" s="2" t="s">
        <v>1521</v>
      </c>
      <c r="C696" s="9">
        <v>10023478</v>
      </c>
      <c r="D696" s="2" t="s">
        <v>1522</v>
      </c>
      <c r="E696" s="10">
        <v>12</v>
      </c>
      <c r="F696" s="9" t="s">
        <v>969</v>
      </c>
      <c r="G696" s="11">
        <v>46238</v>
      </c>
      <c r="H696" s="12">
        <v>91.28</v>
      </c>
      <c r="I696" s="12">
        <v>81.239999999999995</v>
      </c>
      <c r="J696" s="9" t="s">
        <v>3</v>
      </c>
      <c r="K696" s="8">
        <v>0</v>
      </c>
    </row>
    <row r="697" spans="1:11">
      <c r="A697" s="2" t="s">
        <v>842</v>
      </c>
      <c r="B697" s="2" t="s">
        <v>1521</v>
      </c>
      <c r="C697" s="9">
        <v>10023479</v>
      </c>
      <c r="D697" s="2" t="s">
        <v>1532</v>
      </c>
      <c r="E697" s="10">
        <v>12</v>
      </c>
      <c r="F697" s="9" t="s">
        <v>969</v>
      </c>
      <c r="G697" s="11">
        <v>46238</v>
      </c>
      <c r="H697" s="12">
        <v>91.28</v>
      </c>
      <c r="I697" s="12">
        <v>81.239999999999995</v>
      </c>
      <c r="J697" s="9" t="s">
        <v>3</v>
      </c>
      <c r="K697" s="8">
        <v>0</v>
      </c>
    </row>
    <row r="698" spans="1:11">
      <c r="A698" s="2" t="s">
        <v>842</v>
      </c>
      <c r="B698" s="2" t="s">
        <v>1521</v>
      </c>
      <c r="C698" s="9">
        <v>10023480</v>
      </c>
      <c r="D698" s="2" t="s">
        <v>1533</v>
      </c>
      <c r="E698" s="10">
        <v>8</v>
      </c>
      <c r="F698" s="9" t="s">
        <v>1534</v>
      </c>
      <c r="G698" s="11">
        <v>46238</v>
      </c>
      <c r="H698" s="12">
        <v>96.45</v>
      </c>
      <c r="I698" s="12">
        <v>85.84</v>
      </c>
      <c r="J698" s="9" t="s">
        <v>3</v>
      </c>
      <c r="K698" s="8">
        <v>0</v>
      </c>
    </row>
    <row r="699" spans="1:11">
      <c r="A699" s="2" t="s">
        <v>842</v>
      </c>
      <c r="B699" s="2" t="s">
        <v>1521</v>
      </c>
      <c r="C699" s="9">
        <v>10023481</v>
      </c>
      <c r="D699" s="2" t="s">
        <v>1535</v>
      </c>
      <c r="E699" s="10">
        <v>12</v>
      </c>
      <c r="F699" s="9" t="s">
        <v>1536</v>
      </c>
      <c r="G699" s="11">
        <v>46238</v>
      </c>
      <c r="H699" s="12">
        <v>93.72</v>
      </c>
      <c r="I699" s="12">
        <v>83.41</v>
      </c>
      <c r="J699" s="9" t="s">
        <v>3</v>
      </c>
      <c r="K699" s="8">
        <v>0</v>
      </c>
    </row>
    <row r="700" spans="1:11">
      <c r="A700" s="2" t="s">
        <v>842</v>
      </c>
      <c r="B700" s="2" t="s">
        <v>1521</v>
      </c>
      <c r="C700" s="9">
        <v>10023482</v>
      </c>
      <c r="D700" s="2" t="s">
        <v>1537</v>
      </c>
      <c r="E700" s="10">
        <v>12</v>
      </c>
      <c r="F700" s="9" t="s">
        <v>1536</v>
      </c>
      <c r="G700" s="11">
        <v>46238</v>
      </c>
      <c r="H700" s="12">
        <v>93.72</v>
      </c>
      <c r="I700" s="12">
        <v>83.41</v>
      </c>
      <c r="J700" s="9" t="s">
        <v>3</v>
      </c>
      <c r="K700" s="8">
        <v>0</v>
      </c>
    </row>
    <row r="701" spans="1:11">
      <c r="A701" s="2" t="s">
        <v>842</v>
      </c>
      <c r="B701" s="2" t="s">
        <v>1521</v>
      </c>
      <c r="C701" s="9">
        <v>10023483</v>
      </c>
      <c r="D701" s="2" t="s">
        <v>1538</v>
      </c>
      <c r="E701" s="10">
        <v>12</v>
      </c>
      <c r="F701" s="9" t="s">
        <v>1536</v>
      </c>
      <c r="G701" s="11">
        <v>46238</v>
      </c>
      <c r="H701" s="12">
        <v>93.72</v>
      </c>
      <c r="I701" s="12">
        <v>83.41</v>
      </c>
      <c r="J701" s="9" t="s">
        <v>3</v>
      </c>
      <c r="K701" s="8">
        <v>0</v>
      </c>
    </row>
    <row r="702" spans="1:11">
      <c r="A702" s="2" t="s">
        <v>746</v>
      </c>
      <c r="B702" s="2" t="s">
        <v>1539</v>
      </c>
      <c r="C702" s="9">
        <v>10023500</v>
      </c>
      <c r="D702" s="2" t="s">
        <v>1540</v>
      </c>
      <c r="E702" s="10">
        <v>12</v>
      </c>
      <c r="F702" s="9" t="s">
        <v>1306</v>
      </c>
      <c r="G702" s="11">
        <v>46238</v>
      </c>
      <c r="H702" s="12">
        <v>78.28</v>
      </c>
      <c r="I702" s="12">
        <v>69.67</v>
      </c>
      <c r="J702" s="9" t="s">
        <v>3</v>
      </c>
      <c r="K702" s="8">
        <v>0</v>
      </c>
    </row>
    <row r="703" spans="1:11">
      <c r="A703" s="2" t="s">
        <v>746</v>
      </c>
      <c r="B703" s="2" t="s">
        <v>1539</v>
      </c>
      <c r="C703" s="9">
        <v>10023501</v>
      </c>
      <c r="D703" s="2" t="s">
        <v>1541</v>
      </c>
      <c r="E703" s="10">
        <v>12</v>
      </c>
      <c r="F703" s="9" t="s">
        <v>1306</v>
      </c>
      <c r="G703" s="11">
        <v>46238</v>
      </c>
      <c r="H703" s="12">
        <v>78.28</v>
      </c>
      <c r="I703" s="12">
        <v>69.67</v>
      </c>
      <c r="J703" s="9" t="s">
        <v>3</v>
      </c>
      <c r="K703" s="8">
        <v>0</v>
      </c>
    </row>
    <row r="704" spans="1:11">
      <c r="A704" s="2" t="s">
        <v>746</v>
      </c>
      <c r="B704" s="2" t="s">
        <v>1539</v>
      </c>
      <c r="C704" s="9">
        <v>10023502</v>
      </c>
      <c r="D704" s="2" t="s">
        <v>1542</v>
      </c>
      <c r="E704" s="10">
        <v>12</v>
      </c>
      <c r="F704" s="9" t="s">
        <v>1306</v>
      </c>
      <c r="G704" s="11">
        <v>46238</v>
      </c>
      <c r="H704" s="12">
        <v>78.28</v>
      </c>
      <c r="I704" s="12">
        <v>69.67</v>
      </c>
      <c r="J704" s="9" t="s">
        <v>3</v>
      </c>
      <c r="K704" s="8">
        <v>0</v>
      </c>
    </row>
    <row r="705" spans="1:11">
      <c r="A705" s="2" t="s">
        <v>746</v>
      </c>
      <c r="B705" s="2" t="s">
        <v>1539</v>
      </c>
      <c r="C705" s="9">
        <v>10023503</v>
      </c>
      <c r="D705" s="2" t="s">
        <v>1543</v>
      </c>
      <c r="E705" s="10">
        <v>12</v>
      </c>
      <c r="F705" s="9" t="s">
        <v>1306</v>
      </c>
      <c r="G705" s="11">
        <v>46238</v>
      </c>
      <c r="H705" s="12">
        <v>78.28</v>
      </c>
      <c r="I705" s="12">
        <v>69.67</v>
      </c>
      <c r="J705" s="9" t="s">
        <v>3</v>
      </c>
      <c r="K705" s="8">
        <v>0</v>
      </c>
    </row>
    <row r="706" spans="1:11">
      <c r="A706" s="2" t="s">
        <v>708</v>
      </c>
      <c r="B706" s="2" t="s">
        <v>1544</v>
      </c>
      <c r="C706" s="9">
        <v>10023900</v>
      </c>
      <c r="D706" s="2" t="s">
        <v>1545</v>
      </c>
      <c r="E706" s="10">
        <v>6</v>
      </c>
      <c r="F706" s="9" t="s">
        <v>1546</v>
      </c>
      <c r="G706" s="11">
        <v>46238</v>
      </c>
      <c r="H706" s="12">
        <v>37.549999999999997</v>
      </c>
      <c r="I706" s="12">
        <v>33.42</v>
      </c>
      <c r="J706" s="9" t="s">
        <v>3</v>
      </c>
      <c r="K706" s="8">
        <v>0</v>
      </c>
    </row>
    <row r="707" spans="1:11">
      <c r="A707" s="2" t="s">
        <v>708</v>
      </c>
      <c r="B707" s="2" t="s">
        <v>1544</v>
      </c>
      <c r="C707" s="9">
        <v>10023901</v>
      </c>
      <c r="D707" s="2" t="s">
        <v>1547</v>
      </c>
      <c r="E707" s="10">
        <v>6</v>
      </c>
      <c r="F707" s="9" t="s">
        <v>1546</v>
      </c>
      <c r="G707" s="11">
        <v>46238</v>
      </c>
      <c r="H707" s="12">
        <v>37.549999999999997</v>
      </c>
      <c r="I707" s="12">
        <v>33.42</v>
      </c>
      <c r="J707" s="9" t="s">
        <v>3</v>
      </c>
      <c r="K707" s="8">
        <v>0</v>
      </c>
    </row>
    <row r="708" spans="1:11">
      <c r="A708" s="2" t="s">
        <v>708</v>
      </c>
      <c r="B708" s="2" t="s">
        <v>1544</v>
      </c>
      <c r="C708" s="9">
        <v>10023902</v>
      </c>
      <c r="D708" s="2" t="s">
        <v>1548</v>
      </c>
      <c r="E708" s="10">
        <v>6</v>
      </c>
      <c r="F708" s="9" t="s">
        <v>1546</v>
      </c>
      <c r="G708" s="11">
        <v>46238</v>
      </c>
      <c r="H708" s="12">
        <v>37.549999999999997</v>
      </c>
      <c r="I708" s="12">
        <v>33.42</v>
      </c>
      <c r="J708" s="9" t="s">
        <v>3</v>
      </c>
      <c r="K708" s="8">
        <v>0</v>
      </c>
    </row>
    <row r="709" spans="1:11">
      <c r="A709" s="2" t="s">
        <v>708</v>
      </c>
      <c r="B709" s="2" t="s">
        <v>1544</v>
      </c>
      <c r="C709" s="9">
        <v>10023903</v>
      </c>
      <c r="D709" s="2" t="s">
        <v>1549</v>
      </c>
      <c r="E709" s="10">
        <v>6</v>
      </c>
      <c r="F709" s="9" t="s">
        <v>1546</v>
      </c>
      <c r="G709" s="11">
        <v>46238</v>
      </c>
      <c r="H709" s="12">
        <v>37.549999999999997</v>
      </c>
      <c r="I709" s="12">
        <v>33.42</v>
      </c>
      <c r="J709" s="9" t="s">
        <v>3</v>
      </c>
      <c r="K709" s="8">
        <v>0</v>
      </c>
    </row>
    <row r="710" spans="1:11">
      <c r="A710" s="2" t="s">
        <v>1550</v>
      </c>
      <c r="B710" s="2" t="s">
        <v>1551</v>
      </c>
      <c r="C710" s="9">
        <v>10024002</v>
      </c>
      <c r="D710" s="2" t="s">
        <v>1552</v>
      </c>
      <c r="E710" s="10">
        <v>8</v>
      </c>
      <c r="F710" s="9" t="s">
        <v>697</v>
      </c>
      <c r="G710" s="11">
        <v>46238</v>
      </c>
      <c r="H710" s="12">
        <v>48.86</v>
      </c>
      <c r="I710" s="12">
        <v>43.52</v>
      </c>
      <c r="J710" s="9" t="s">
        <v>3</v>
      </c>
      <c r="K710" s="8">
        <v>0</v>
      </c>
    </row>
    <row r="711" spans="1:11">
      <c r="A711" s="2" t="s">
        <v>1550</v>
      </c>
      <c r="B711" s="2" t="s">
        <v>1551</v>
      </c>
      <c r="C711" s="9">
        <v>10024004</v>
      </c>
      <c r="D711" s="2" t="s">
        <v>1553</v>
      </c>
      <c r="E711" s="10">
        <v>8</v>
      </c>
      <c r="F711" s="9" t="s">
        <v>697</v>
      </c>
      <c r="G711" s="11">
        <v>46238</v>
      </c>
      <c r="H711" s="12">
        <v>48.86</v>
      </c>
      <c r="I711" s="12">
        <v>43.52</v>
      </c>
      <c r="J711" s="9" t="s">
        <v>3</v>
      </c>
      <c r="K711" s="8">
        <v>0</v>
      </c>
    </row>
    <row r="712" spans="1:11">
      <c r="A712" s="2" t="s">
        <v>1550</v>
      </c>
      <c r="B712" s="2" t="s">
        <v>1551</v>
      </c>
      <c r="C712" s="9">
        <v>10024008</v>
      </c>
      <c r="D712" s="2" t="s">
        <v>1554</v>
      </c>
      <c r="E712" s="10">
        <v>8</v>
      </c>
      <c r="F712" s="9" t="s">
        <v>697</v>
      </c>
      <c r="G712" s="11">
        <v>46238</v>
      </c>
      <c r="H712" s="12">
        <v>48.86</v>
      </c>
      <c r="I712" s="12">
        <v>43.52</v>
      </c>
      <c r="J712" s="9" t="s">
        <v>3</v>
      </c>
      <c r="K712" s="8">
        <v>0</v>
      </c>
    </row>
    <row r="713" spans="1:11">
      <c r="A713" s="2" t="s">
        <v>1550</v>
      </c>
      <c r="B713" s="2" t="s">
        <v>1551</v>
      </c>
      <c r="C713" s="9">
        <v>10024010</v>
      </c>
      <c r="D713" s="2" t="s">
        <v>1555</v>
      </c>
      <c r="E713" s="10">
        <v>8</v>
      </c>
      <c r="F713" s="9" t="s">
        <v>697</v>
      </c>
      <c r="G713" s="11">
        <v>46238</v>
      </c>
      <c r="H713" s="12">
        <v>60.19</v>
      </c>
      <c r="I713" s="12">
        <v>53.63</v>
      </c>
      <c r="J713" s="9" t="s">
        <v>3</v>
      </c>
      <c r="K713" s="8">
        <v>0</v>
      </c>
    </row>
    <row r="714" spans="1:11">
      <c r="A714" s="2" t="s">
        <v>1550</v>
      </c>
      <c r="B714" s="2" t="s">
        <v>1551</v>
      </c>
      <c r="C714" s="9">
        <v>10024011</v>
      </c>
      <c r="D714" s="2" t="s">
        <v>1556</v>
      </c>
      <c r="E714" s="10">
        <v>8</v>
      </c>
      <c r="F714" s="9" t="s">
        <v>1557</v>
      </c>
      <c r="G714" s="11">
        <v>46238</v>
      </c>
      <c r="H714" s="12">
        <v>41.99</v>
      </c>
      <c r="I714" s="12">
        <v>37.369999999999997</v>
      </c>
      <c r="J714" s="9" t="s">
        <v>3</v>
      </c>
      <c r="K714" s="8">
        <v>0</v>
      </c>
    </row>
    <row r="715" spans="1:11">
      <c r="A715" s="2" t="s">
        <v>1550</v>
      </c>
      <c r="B715" s="2" t="s">
        <v>1551</v>
      </c>
      <c r="C715" s="9">
        <v>10024013</v>
      </c>
      <c r="D715" s="2" t="s">
        <v>1558</v>
      </c>
      <c r="E715" s="10">
        <v>8</v>
      </c>
      <c r="F715" s="9" t="s">
        <v>1557</v>
      </c>
      <c r="G715" s="11">
        <v>46238</v>
      </c>
      <c r="H715" s="12">
        <v>44.33</v>
      </c>
      <c r="I715" s="12">
        <v>39.479999999999997</v>
      </c>
      <c r="J715" s="9" t="s">
        <v>3</v>
      </c>
      <c r="K715" s="8">
        <v>0</v>
      </c>
    </row>
    <row r="716" spans="1:11">
      <c r="A716" s="2" t="s">
        <v>1550</v>
      </c>
      <c r="B716" s="2" t="s">
        <v>1551</v>
      </c>
      <c r="C716" s="9">
        <v>10024014</v>
      </c>
      <c r="D716" s="2" t="s">
        <v>1559</v>
      </c>
      <c r="E716" s="10">
        <v>8</v>
      </c>
      <c r="F716" s="9" t="s">
        <v>985</v>
      </c>
      <c r="G716" s="11">
        <v>46238</v>
      </c>
      <c r="H716" s="12">
        <v>77.260000000000005</v>
      </c>
      <c r="I716" s="12">
        <v>68.760000000000005</v>
      </c>
      <c r="J716" s="9" t="s">
        <v>3</v>
      </c>
      <c r="K716" s="8">
        <v>0</v>
      </c>
    </row>
    <row r="717" spans="1:11">
      <c r="A717" s="2" t="s">
        <v>1550</v>
      </c>
      <c r="B717" s="2" t="s">
        <v>1551</v>
      </c>
      <c r="C717" s="9">
        <v>10024015</v>
      </c>
      <c r="D717" s="2" t="s">
        <v>1560</v>
      </c>
      <c r="E717" s="10">
        <v>8</v>
      </c>
      <c r="F717" s="9" t="s">
        <v>985</v>
      </c>
      <c r="G717" s="11">
        <v>46238</v>
      </c>
      <c r="H717" s="12">
        <v>77.260000000000005</v>
      </c>
      <c r="I717" s="12">
        <v>68.760000000000005</v>
      </c>
      <c r="J717" s="9" t="s">
        <v>3</v>
      </c>
      <c r="K717" s="8">
        <v>0</v>
      </c>
    </row>
    <row r="718" spans="1:11">
      <c r="A718" s="2" t="s">
        <v>746</v>
      </c>
      <c r="B718" s="2" t="s">
        <v>1539</v>
      </c>
      <c r="C718" s="9">
        <v>10024024</v>
      </c>
      <c r="D718" s="2" t="s">
        <v>1561</v>
      </c>
      <c r="E718" s="10">
        <v>12</v>
      </c>
      <c r="F718" s="9" t="s">
        <v>1306</v>
      </c>
      <c r="G718" s="11">
        <v>46238</v>
      </c>
      <c r="H718" s="12">
        <v>78.28</v>
      </c>
      <c r="I718" s="12">
        <v>69.67</v>
      </c>
      <c r="J718" s="9" t="s">
        <v>3</v>
      </c>
      <c r="K718" s="8">
        <v>0</v>
      </c>
    </row>
    <row r="719" spans="1:11">
      <c r="A719" s="2" t="s">
        <v>746</v>
      </c>
      <c r="B719" s="2" t="s">
        <v>1539</v>
      </c>
      <c r="C719" s="9">
        <v>10024075</v>
      </c>
      <c r="D719" s="2" t="s">
        <v>1562</v>
      </c>
      <c r="E719" s="10">
        <v>12</v>
      </c>
      <c r="F719" s="9" t="s">
        <v>1306</v>
      </c>
      <c r="G719" s="11">
        <v>46238</v>
      </c>
      <c r="H719" s="12">
        <v>78.28</v>
      </c>
      <c r="I719" s="12">
        <v>69.67</v>
      </c>
      <c r="J719" s="9" t="s">
        <v>3</v>
      </c>
      <c r="K719" s="8">
        <v>0</v>
      </c>
    </row>
    <row r="720" spans="1:11">
      <c r="A720" s="2" t="s">
        <v>746</v>
      </c>
      <c r="B720" s="2" t="s">
        <v>1539</v>
      </c>
      <c r="C720" s="9">
        <v>10024078</v>
      </c>
      <c r="D720" s="2" t="s">
        <v>1563</v>
      </c>
      <c r="E720" s="10">
        <v>12</v>
      </c>
      <c r="F720" s="9" t="s">
        <v>1306</v>
      </c>
      <c r="G720" s="11">
        <v>46238</v>
      </c>
      <c r="H720" s="12">
        <v>78.28</v>
      </c>
      <c r="I720" s="12">
        <v>69.67</v>
      </c>
      <c r="J720" s="9" t="s">
        <v>3</v>
      </c>
      <c r="K720" s="8">
        <v>0</v>
      </c>
    </row>
    <row r="721" spans="1:11">
      <c r="A721" s="2" t="s">
        <v>1550</v>
      </c>
      <c r="B721" s="2" t="s">
        <v>1551</v>
      </c>
      <c r="C721" s="9">
        <v>10025415</v>
      </c>
      <c r="D721" s="2" t="s">
        <v>1564</v>
      </c>
      <c r="E721" s="10">
        <v>8</v>
      </c>
      <c r="F721" s="9" t="s">
        <v>1557</v>
      </c>
      <c r="G721" s="11">
        <v>46238</v>
      </c>
      <c r="H721" s="12">
        <v>41.82</v>
      </c>
      <c r="I721" s="12">
        <v>37.21</v>
      </c>
      <c r="J721" s="9" t="s">
        <v>3</v>
      </c>
      <c r="K721" s="8">
        <v>0</v>
      </c>
    </row>
    <row r="722" spans="1:11">
      <c r="A722" s="2" t="s">
        <v>1550</v>
      </c>
      <c r="B722" s="2" t="s">
        <v>1551</v>
      </c>
      <c r="C722" s="9">
        <v>10025417</v>
      </c>
      <c r="D722" s="2" t="s">
        <v>1565</v>
      </c>
      <c r="E722" s="10">
        <v>8</v>
      </c>
      <c r="F722" s="9" t="s">
        <v>697</v>
      </c>
      <c r="G722" s="11">
        <v>46238</v>
      </c>
      <c r="H722" s="12">
        <v>65.61</v>
      </c>
      <c r="I722" s="12">
        <v>58.41</v>
      </c>
      <c r="J722" s="9" t="s">
        <v>3</v>
      </c>
      <c r="K722" s="8">
        <v>0</v>
      </c>
    </row>
    <row r="723" spans="1:11">
      <c r="A723" s="2" t="s">
        <v>1550</v>
      </c>
      <c r="B723" s="2" t="s">
        <v>1551</v>
      </c>
      <c r="C723" s="9">
        <v>10025418</v>
      </c>
      <c r="D723" s="2" t="s">
        <v>1566</v>
      </c>
      <c r="E723" s="10">
        <v>8</v>
      </c>
      <c r="F723" s="9" t="s">
        <v>697</v>
      </c>
      <c r="G723" s="11">
        <v>46238</v>
      </c>
      <c r="H723" s="12">
        <v>59.05</v>
      </c>
      <c r="I723" s="12">
        <v>52.58</v>
      </c>
      <c r="J723" s="9" t="s">
        <v>3</v>
      </c>
      <c r="K723" s="8">
        <v>0</v>
      </c>
    </row>
    <row r="724" spans="1:11">
      <c r="A724" s="2" t="s">
        <v>1550</v>
      </c>
      <c r="B724" s="2" t="s">
        <v>1551</v>
      </c>
      <c r="C724" s="9">
        <v>10025423</v>
      </c>
      <c r="D724" s="2" t="s">
        <v>1567</v>
      </c>
      <c r="E724" s="10">
        <v>2</v>
      </c>
      <c r="F724" s="9" t="s">
        <v>1568</v>
      </c>
      <c r="G724" s="11">
        <v>46238</v>
      </c>
      <c r="H724" s="12">
        <v>53.66</v>
      </c>
      <c r="I724" s="12">
        <v>47.76</v>
      </c>
      <c r="J724" s="9" t="s">
        <v>3</v>
      </c>
      <c r="K724" s="8">
        <v>1</v>
      </c>
    </row>
    <row r="725" spans="1:11">
      <c r="A725" s="2" t="s">
        <v>1550</v>
      </c>
      <c r="B725" s="2" t="s">
        <v>1551</v>
      </c>
      <c r="C725" s="9">
        <v>10025434</v>
      </c>
      <c r="D725" s="2" t="s">
        <v>1569</v>
      </c>
      <c r="E725" s="10">
        <v>8</v>
      </c>
      <c r="F725" s="9" t="s">
        <v>697</v>
      </c>
      <c r="G725" s="11">
        <v>46238</v>
      </c>
      <c r="H725" s="12">
        <v>50</v>
      </c>
      <c r="I725" s="12">
        <v>44.48</v>
      </c>
      <c r="J725" s="9" t="s">
        <v>3</v>
      </c>
      <c r="K725" s="8">
        <v>0</v>
      </c>
    </row>
    <row r="726" spans="1:11">
      <c r="A726" s="2" t="s">
        <v>1120</v>
      </c>
      <c r="B726" s="2" t="s">
        <v>1570</v>
      </c>
      <c r="C726" s="9">
        <v>10026060</v>
      </c>
      <c r="D726" s="2" t="s">
        <v>1571</v>
      </c>
      <c r="E726" s="10">
        <v>3</v>
      </c>
      <c r="F726" s="9" t="s">
        <v>922</v>
      </c>
      <c r="G726" s="11">
        <v>46238</v>
      </c>
      <c r="H726" s="12">
        <v>147.30000000000001</v>
      </c>
      <c r="I726" s="12">
        <v>131.1</v>
      </c>
      <c r="J726" s="9" t="s">
        <v>3</v>
      </c>
      <c r="K726" s="8">
        <v>0</v>
      </c>
    </row>
    <row r="727" spans="1:11">
      <c r="A727" s="2" t="s">
        <v>1120</v>
      </c>
      <c r="B727" s="2" t="s">
        <v>1570</v>
      </c>
      <c r="C727" s="9">
        <v>10026061</v>
      </c>
      <c r="D727" s="2" t="s">
        <v>1572</v>
      </c>
      <c r="E727" s="10">
        <v>3</v>
      </c>
      <c r="F727" s="9" t="s">
        <v>922</v>
      </c>
      <c r="G727" s="11">
        <v>46238</v>
      </c>
      <c r="H727" s="12">
        <v>127.95</v>
      </c>
      <c r="I727" s="12">
        <v>113.88</v>
      </c>
      <c r="J727" s="9" t="s">
        <v>3</v>
      </c>
      <c r="K727" s="8">
        <v>0</v>
      </c>
    </row>
    <row r="728" spans="1:11">
      <c r="A728" s="2" t="s">
        <v>1120</v>
      </c>
      <c r="B728" s="2" t="s">
        <v>1570</v>
      </c>
      <c r="C728" s="9">
        <v>10026062</v>
      </c>
      <c r="D728" s="2" t="s">
        <v>1573</v>
      </c>
      <c r="E728" s="10">
        <v>3</v>
      </c>
      <c r="F728" s="9" t="s">
        <v>922</v>
      </c>
      <c r="G728" s="11">
        <v>46238</v>
      </c>
      <c r="H728" s="12">
        <v>124.32</v>
      </c>
      <c r="I728" s="12">
        <v>110.64</v>
      </c>
      <c r="J728" s="9" t="s">
        <v>3</v>
      </c>
      <c r="K728" s="8">
        <v>0</v>
      </c>
    </row>
    <row r="729" spans="1:11">
      <c r="A729" s="2" t="s">
        <v>1120</v>
      </c>
      <c r="B729" s="2" t="s">
        <v>1570</v>
      </c>
      <c r="C729" s="9">
        <v>10026063</v>
      </c>
      <c r="D729" s="2" t="s">
        <v>1574</v>
      </c>
      <c r="E729" s="10">
        <v>3</v>
      </c>
      <c r="F729" s="9" t="s">
        <v>922</v>
      </c>
      <c r="G729" s="11">
        <v>46238</v>
      </c>
      <c r="H729" s="12">
        <v>140.55000000000001</v>
      </c>
      <c r="I729" s="12">
        <v>125.1</v>
      </c>
      <c r="J729" s="9" t="s">
        <v>3</v>
      </c>
      <c r="K729" s="8">
        <v>0</v>
      </c>
    </row>
    <row r="730" spans="1:11">
      <c r="A730" s="2" t="s">
        <v>1120</v>
      </c>
      <c r="B730" s="2" t="s">
        <v>1570</v>
      </c>
      <c r="C730" s="9">
        <v>10026064</v>
      </c>
      <c r="D730" s="2" t="s">
        <v>1575</v>
      </c>
      <c r="E730" s="10">
        <v>2</v>
      </c>
      <c r="F730" s="9" t="s">
        <v>1576</v>
      </c>
      <c r="G730" s="11">
        <v>46238</v>
      </c>
      <c r="H730" s="12">
        <v>131.02000000000001</v>
      </c>
      <c r="I730" s="12">
        <v>116.6</v>
      </c>
      <c r="J730" s="9" t="s">
        <v>3</v>
      </c>
      <c r="K730" s="8">
        <v>0</v>
      </c>
    </row>
    <row r="731" spans="1:11">
      <c r="A731" s="2" t="s">
        <v>1120</v>
      </c>
      <c r="B731" s="2" t="s">
        <v>1570</v>
      </c>
      <c r="C731" s="9">
        <v>10026065</v>
      </c>
      <c r="D731" s="2" t="s">
        <v>1577</v>
      </c>
      <c r="E731" s="10">
        <v>2</v>
      </c>
      <c r="F731" s="9" t="s">
        <v>1576</v>
      </c>
      <c r="G731" s="11">
        <v>46238</v>
      </c>
      <c r="H731" s="12">
        <v>53.52</v>
      </c>
      <c r="I731" s="12">
        <v>47.64</v>
      </c>
      <c r="J731" s="9" t="s">
        <v>3</v>
      </c>
      <c r="K731" s="8">
        <v>0</v>
      </c>
    </row>
    <row r="732" spans="1:11">
      <c r="A732" s="2" t="s">
        <v>1120</v>
      </c>
      <c r="B732" s="2" t="s">
        <v>1570</v>
      </c>
      <c r="C732" s="9">
        <v>10026066</v>
      </c>
      <c r="D732" s="2" t="s">
        <v>1578</v>
      </c>
      <c r="E732" s="10">
        <v>2</v>
      </c>
      <c r="F732" s="9" t="s">
        <v>1576</v>
      </c>
      <c r="G732" s="11">
        <v>46238</v>
      </c>
      <c r="H732" s="12">
        <v>61.04</v>
      </c>
      <c r="I732" s="12">
        <v>54.32</v>
      </c>
      <c r="J732" s="9" t="s">
        <v>3</v>
      </c>
      <c r="K732" s="8">
        <v>0</v>
      </c>
    </row>
    <row r="733" spans="1:11">
      <c r="A733" s="2" t="s">
        <v>1120</v>
      </c>
      <c r="B733" s="2" t="s">
        <v>1570</v>
      </c>
      <c r="C733" s="9">
        <v>10026067</v>
      </c>
      <c r="D733" s="2" t="s">
        <v>1579</v>
      </c>
      <c r="E733" s="10">
        <v>2</v>
      </c>
      <c r="F733" s="9" t="s">
        <v>1576</v>
      </c>
      <c r="G733" s="11">
        <v>46238</v>
      </c>
      <c r="H733" s="12">
        <v>56.36</v>
      </c>
      <c r="I733" s="12">
        <v>50.16</v>
      </c>
      <c r="J733" s="9" t="s">
        <v>3</v>
      </c>
      <c r="K733" s="8">
        <v>0</v>
      </c>
    </row>
    <row r="734" spans="1:11">
      <c r="A734" s="2" t="s">
        <v>1120</v>
      </c>
      <c r="B734" s="2" t="s">
        <v>1570</v>
      </c>
      <c r="C734" s="9">
        <v>10026068</v>
      </c>
      <c r="D734" s="2" t="s">
        <v>1580</v>
      </c>
      <c r="E734" s="10">
        <v>2</v>
      </c>
      <c r="F734" s="9" t="s">
        <v>1576</v>
      </c>
      <c r="G734" s="11">
        <v>46238</v>
      </c>
      <c r="H734" s="12">
        <v>47.94</v>
      </c>
      <c r="I734" s="12">
        <v>42.66</v>
      </c>
      <c r="J734" s="9" t="s">
        <v>3</v>
      </c>
      <c r="K734" s="8">
        <v>0</v>
      </c>
    </row>
    <row r="735" spans="1:11">
      <c r="A735" s="2" t="s">
        <v>1120</v>
      </c>
      <c r="B735" s="2" t="s">
        <v>1570</v>
      </c>
      <c r="C735" s="9">
        <v>10026069</v>
      </c>
      <c r="D735" s="2" t="s">
        <v>1581</v>
      </c>
      <c r="E735" s="10">
        <v>2</v>
      </c>
      <c r="F735" s="9" t="s">
        <v>1576</v>
      </c>
      <c r="G735" s="11">
        <v>46238</v>
      </c>
      <c r="H735" s="12">
        <v>42.6</v>
      </c>
      <c r="I735" s="12">
        <v>37.92</v>
      </c>
      <c r="J735" s="9" t="s">
        <v>3</v>
      </c>
      <c r="K735" s="8">
        <v>0</v>
      </c>
    </row>
    <row r="736" spans="1:11">
      <c r="A736" s="2" t="s">
        <v>1120</v>
      </c>
      <c r="B736" s="2" t="s">
        <v>1570</v>
      </c>
      <c r="C736" s="9">
        <v>10026070</v>
      </c>
      <c r="D736" s="2" t="s">
        <v>1582</v>
      </c>
      <c r="E736" s="10">
        <v>2</v>
      </c>
      <c r="F736" s="9" t="s">
        <v>1576</v>
      </c>
      <c r="G736" s="11">
        <v>46238</v>
      </c>
      <c r="H736" s="12">
        <v>43.42</v>
      </c>
      <c r="I736" s="12">
        <v>38.64</v>
      </c>
      <c r="J736" s="9" t="s">
        <v>3</v>
      </c>
      <c r="K736" s="8">
        <v>0</v>
      </c>
    </row>
    <row r="737" spans="1:11">
      <c r="A737" s="2" t="s">
        <v>687</v>
      </c>
      <c r="B737" s="2" t="s">
        <v>757</v>
      </c>
      <c r="C737" s="9">
        <v>10026843</v>
      </c>
      <c r="D737" s="2" t="s">
        <v>1583</v>
      </c>
      <c r="E737" s="10">
        <v>12</v>
      </c>
      <c r="F737" s="9" t="s">
        <v>1584</v>
      </c>
      <c r="G737" s="11">
        <v>46238</v>
      </c>
      <c r="H737" s="12">
        <v>52.57</v>
      </c>
      <c r="I737" s="12">
        <v>46.79</v>
      </c>
      <c r="J737" s="9" t="s">
        <v>3</v>
      </c>
      <c r="K737" s="8">
        <v>0</v>
      </c>
    </row>
    <row r="738" spans="1:11">
      <c r="A738" s="2" t="s">
        <v>687</v>
      </c>
      <c r="B738" s="2" t="s">
        <v>757</v>
      </c>
      <c r="C738" s="9">
        <v>10026845</v>
      </c>
      <c r="D738" s="2" t="s">
        <v>1585</v>
      </c>
      <c r="E738" s="10">
        <v>12</v>
      </c>
      <c r="F738" s="9" t="s">
        <v>763</v>
      </c>
      <c r="G738" s="11">
        <v>46238</v>
      </c>
      <c r="H738" s="12">
        <v>48.89</v>
      </c>
      <c r="I738" s="12">
        <v>43.51</v>
      </c>
      <c r="J738" s="9" t="s">
        <v>3</v>
      </c>
      <c r="K738" s="8">
        <v>0</v>
      </c>
    </row>
    <row r="739" spans="1:11">
      <c r="A739" s="2" t="s">
        <v>687</v>
      </c>
      <c r="B739" s="2" t="s">
        <v>757</v>
      </c>
      <c r="C739" s="9">
        <v>10026852</v>
      </c>
      <c r="D739" s="2" t="s">
        <v>1586</v>
      </c>
      <c r="E739" s="10">
        <v>12</v>
      </c>
      <c r="F739" s="9" t="s">
        <v>759</v>
      </c>
      <c r="G739" s="11">
        <v>46238</v>
      </c>
      <c r="H739" s="12">
        <v>41.24</v>
      </c>
      <c r="I739" s="12">
        <v>36.700000000000003</v>
      </c>
      <c r="J739" s="9" t="s">
        <v>3</v>
      </c>
      <c r="K739" s="8">
        <v>0</v>
      </c>
    </row>
    <row r="740" spans="1:11">
      <c r="A740" s="2" t="s">
        <v>687</v>
      </c>
      <c r="B740" s="2" t="s">
        <v>757</v>
      </c>
      <c r="C740" s="9">
        <v>10026853</v>
      </c>
      <c r="D740" s="2" t="s">
        <v>1587</v>
      </c>
      <c r="E740" s="10">
        <v>12</v>
      </c>
      <c r="F740" s="9" t="s">
        <v>1584</v>
      </c>
      <c r="G740" s="11">
        <v>46238</v>
      </c>
      <c r="H740" s="12">
        <v>48.89</v>
      </c>
      <c r="I740" s="12">
        <v>43.51</v>
      </c>
      <c r="J740" s="9" t="s">
        <v>3</v>
      </c>
      <c r="K740" s="8">
        <v>0</v>
      </c>
    </row>
    <row r="741" spans="1:11">
      <c r="A741" s="2" t="s">
        <v>687</v>
      </c>
      <c r="B741" s="2" t="s">
        <v>757</v>
      </c>
      <c r="C741" s="9">
        <v>10026875</v>
      </c>
      <c r="D741" s="2" t="s">
        <v>1588</v>
      </c>
      <c r="E741" s="10">
        <v>12</v>
      </c>
      <c r="F741" s="9" t="s">
        <v>763</v>
      </c>
      <c r="G741" s="11">
        <v>46238</v>
      </c>
      <c r="H741" s="12">
        <v>48.89</v>
      </c>
      <c r="I741" s="12">
        <v>43.51</v>
      </c>
      <c r="J741" s="9" t="s">
        <v>3</v>
      </c>
      <c r="K741" s="8">
        <v>0</v>
      </c>
    </row>
    <row r="742" spans="1:11">
      <c r="A742" s="2" t="s">
        <v>687</v>
      </c>
      <c r="B742" s="2" t="s">
        <v>757</v>
      </c>
      <c r="C742" s="9">
        <v>10026930</v>
      </c>
      <c r="D742" s="2" t="s">
        <v>1589</v>
      </c>
      <c r="E742" s="10">
        <v>12</v>
      </c>
      <c r="F742" s="9" t="s">
        <v>759</v>
      </c>
      <c r="G742" s="11">
        <v>46238</v>
      </c>
      <c r="H742" s="12">
        <v>41.24</v>
      </c>
      <c r="I742" s="12">
        <v>36.700000000000003</v>
      </c>
      <c r="J742" s="9" t="s">
        <v>3</v>
      </c>
      <c r="K742" s="8">
        <v>0</v>
      </c>
    </row>
    <row r="743" spans="1:11">
      <c r="A743" s="2" t="s">
        <v>687</v>
      </c>
      <c r="B743" s="2" t="s">
        <v>757</v>
      </c>
      <c r="C743" s="9">
        <v>10026931</v>
      </c>
      <c r="D743" s="2" t="s">
        <v>1590</v>
      </c>
      <c r="E743" s="10">
        <v>12</v>
      </c>
      <c r="F743" s="9" t="s">
        <v>759</v>
      </c>
      <c r="G743" s="11">
        <v>46238</v>
      </c>
      <c r="H743" s="12">
        <v>41.24</v>
      </c>
      <c r="I743" s="12">
        <v>36.700000000000003</v>
      </c>
      <c r="J743" s="9" t="s">
        <v>3</v>
      </c>
      <c r="K743" s="8">
        <v>0</v>
      </c>
    </row>
    <row r="744" spans="1:11">
      <c r="A744" s="2" t="s">
        <v>687</v>
      </c>
      <c r="B744" s="2" t="s">
        <v>757</v>
      </c>
      <c r="C744" s="9">
        <v>10026932</v>
      </c>
      <c r="D744" s="2" t="s">
        <v>1591</v>
      </c>
      <c r="E744" s="10">
        <v>12</v>
      </c>
      <c r="F744" s="9" t="s">
        <v>759</v>
      </c>
      <c r="G744" s="11">
        <v>46238</v>
      </c>
      <c r="H744" s="12">
        <v>41.24</v>
      </c>
      <c r="I744" s="12">
        <v>36.700000000000003</v>
      </c>
      <c r="J744" s="9" t="s">
        <v>3</v>
      </c>
      <c r="K744" s="8">
        <v>0</v>
      </c>
    </row>
    <row r="745" spans="1:11">
      <c r="A745" s="2" t="s">
        <v>687</v>
      </c>
      <c r="B745" s="2" t="s">
        <v>757</v>
      </c>
      <c r="C745" s="9">
        <v>10026934</v>
      </c>
      <c r="D745" s="2" t="s">
        <v>1592</v>
      </c>
      <c r="E745" s="10">
        <v>12</v>
      </c>
      <c r="F745" s="9" t="s">
        <v>763</v>
      </c>
      <c r="G745" s="11">
        <v>46238</v>
      </c>
      <c r="H745" s="12">
        <v>48.89</v>
      </c>
      <c r="I745" s="12">
        <v>43.51</v>
      </c>
      <c r="J745" s="9" t="s">
        <v>3</v>
      </c>
      <c r="K745" s="8">
        <v>0</v>
      </c>
    </row>
    <row r="746" spans="1:11">
      <c r="A746" s="2" t="s">
        <v>687</v>
      </c>
      <c r="B746" s="2" t="s">
        <v>757</v>
      </c>
      <c r="C746" s="9">
        <v>10026935</v>
      </c>
      <c r="D746" s="2" t="s">
        <v>1593</v>
      </c>
      <c r="E746" s="10">
        <v>12</v>
      </c>
      <c r="F746" s="9" t="s">
        <v>763</v>
      </c>
      <c r="G746" s="11">
        <v>46238</v>
      </c>
      <c r="H746" s="12">
        <v>48.89</v>
      </c>
      <c r="I746" s="12">
        <v>43.51</v>
      </c>
      <c r="J746" s="9" t="s">
        <v>3</v>
      </c>
      <c r="K746" s="8">
        <v>0</v>
      </c>
    </row>
    <row r="747" spans="1:11">
      <c r="A747" s="2" t="s">
        <v>687</v>
      </c>
      <c r="B747" s="2" t="s">
        <v>757</v>
      </c>
      <c r="C747" s="9">
        <v>10026936</v>
      </c>
      <c r="D747" s="2" t="s">
        <v>1594</v>
      </c>
      <c r="E747" s="10">
        <v>12</v>
      </c>
      <c r="F747" s="9" t="s">
        <v>759</v>
      </c>
      <c r="G747" s="11">
        <v>46238</v>
      </c>
      <c r="H747" s="12">
        <v>41.24</v>
      </c>
      <c r="I747" s="12">
        <v>36.700000000000003</v>
      </c>
      <c r="J747" s="9" t="s">
        <v>3</v>
      </c>
      <c r="K747" s="8">
        <v>0</v>
      </c>
    </row>
    <row r="748" spans="1:11">
      <c r="A748" s="2" t="s">
        <v>687</v>
      </c>
      <c r="B748" s="2" t="s">
        <v>757</v>
      </c>
      <c r="C748" s="9">
        <v>10026937</v>
      </c>
      <c r="D748" s="2" t="s">
        <v>1595</v>
      </c>
      <c r="E748" s="10">
        <v>12</v>
      </c>
      <c r="F748" s="9" t="s">
        <v>759</v>
      </c>
      <c r="G748" s="11">
        <v>46238</v>
      </c>
      <c r="H748" s="12">
        <v>41.24</v>
      </c>
      <c r="I748" s="12">
        <v>36.700000000000003</v>
      </c>
      <c r="J748" s="9" t="s">
        <v>3</v>
      </c>
      <c r="K748" s="8">
        <v>0</v>
      </c>
    </row>
    <row r="749" spans="1:11">
      <c r="A749" s="2" t="s">
        <v>925</v>
      </c>
      <c r="B749" s="2" t="s">
        <v>1596</v>
      </c>
      <c r="C749" s="9">
        <v>10027727</v>
      </c>
      <c r="D749" s="2" t="s">
        <v>1597</v>
      </c>
      <c r="E749" s="10">
        <v>8</v>
      </c>
      <c r="F749" s="9" t="s">
        <v>995</v>
      </c>
      <c r="G749" s="11">
        <v>46238</v>
      </c>
      <c r="H749" s="12">
        <v>43.93</v>
      </c>
      <c r="I749" s="12">
        <v>39.1</v>
      </c>
      <c r="J749" s="9" t="s">
        <v>3</v>
      </c>
      <c r="K749" s="8">
        <v>0</v>
      </c>
    </row>
    <row r="750" spans="1:11">
      <c r="A750" s="2" t="s">
        <v>925</v>
      </c>
      <c r="B750" s="2" t="s">
        <v>1596</v>
      </c>
      <c r="C750" s="9">
        <v>10027729</v>
      </c>
      <c r="D750" s="2" t="s">
        <v>1598</v>
      </c>
      <c r="E750" s="10">
        <v>8</v>
      </c>
      <c r="F750" s="9" t="s">
        <v>995</v>
      </c>
      <c r="G750" s="11">
        <v>46238</v>
      </c>
      <c r="H750" s="12">
        <v>43.93</v>
      </c>
      <c r="I750" s="12">
        <v>39.1</v>
      </c>
      <c r="J750" s="9" t="s">
        <v>3</v>
      </c>
      <c r="K750" s="8">
        <v>0</v>
      </c>
    </row>
    <row r="751" spans="1:11">
      <c r="A751" s="2" t="s">
        <v>925</v>
      </c>
      <c r="B751" s="2" t="s">
        <v>1596</v>
      </c>
      <c r="C751" s="9">
        <v>10027730</v>
      </c>
      <c r="D751" s="2" t="s">
        <v>1599</v>
      </c>
      <c r="E751" s="10">
        <v>8</v>
      </c>
      <c r="F751" s="9" t="s">
        <v>995</v>
      </c>
      <c r="G751" s="11">
        <v>46238</v>
      </c>
      <c r="H751" s="12">
        <v>43.93</v>
      </c>
      <c r="I751" s="12">
        <v>39.1</v>
      </c>
      <c r="J751" s="9" t="s">
        <v>3</v>
      </c>
      <c r="K751" s="8">
        <v>0</v>
      </c>
    </row>
    <row r="752" spans="1:11">
      <c r="A752" s="2" t="s">
        <v>925</v>
      </c>
      <c r="B752" s="2" t="s">
        <v>1596</v>
      </c>
      <c r="C752" s="9">
        <v>10027744</v>
      </c>
      <c r="D752" s="2" t="s">
        <v>1600</v>
      </c>
      <c r="E752" s="10">
        <v>8</v>
      </c>
      <c r="F752" s="9" t="s">
        <v>995</v>
      </c>
      <c r="G752" s="11">
        <v>46238</v>
      </c>
      <c r="H752" s="12">
        <v>43.93</v>
      </c>
      <c r="I752" s="12">
        <v>39.1</v>
      </c>
      <c r="J752" s="9" t="s">
        <v>3</v>
      </c>
      <c r="K752" s="8">
        <v>0</v>
      </c>
    </row>
    <row r="753" spans="1:11">
      <c r="A753" s="2" t="s">
        <v>925</v>
      </c>
      <c r="B753" s="2" t="s">
        <v>1601</v>
      </c>
      <c r="C753" s="9">
        <v>10027756</v>
      </c>
      <c r="D753" s="2" t="s">
        <v>1602</v>
      </c>
      <c r="E753" s="10">
        <v>6</v>
      </c>
      <c r="F753" s="9" t="s">
        <v>991</v>
      </c>
      <c r="G753" s="11">
        <v>46238</v>
      </c>
      <c r="H753" s="12">
        <v>151.4</v>
      </c>
      <c r="I753" s="12">
        <v>134.75</v>
      </c>
      <c r="J753" s="9" t="s">
        <v>3</v>
      </c>
      <c r="K753" s="8">
        <v>0</v>
      </c>
    </row>
    <row r="754" spans="1:11">
      <c r="A754" s="2" t="s">
        <v>925</v>
      </c>
      <c r="B754" s="2" t="s">
        <v>1596</v>
      </c>
      <c r="C754" s="9">
        <v>10027774</v>
      </c>
      <c r="D754" s="2" t="s">
        <v>1603</v>
      </c>
      <c r="E754" s="10">
        <v>6</v>
      </c>
      <c r="F754" s="9" t="s">
        <v>1536</v>
      </c>
      <c r="G754" s="11">
        <v>46238</v>
      </c>
      <c r="H754" s="12">
        <v>50.17</v>
      </c>
      <c r="I754" s="12">
        <v>44.65</v>
      </c>
      <c r="J754" s="9" t="s">
        <v>3</v>
      </c>
      <c r="K754" s="8">
        <v>0</v>
      </c>
    </row>
    <row r="755" spans="1:11">
      <c r="A755" s="2" t="s">
        <v>746</v>
      </c>
      <c r="B755" s="2" t="s">
        <v>1604</v>
      </c>
      <c r="C755" s="9">
        <v>10029807</v>
      </c>
      <c r="D755" s="2" t="s">
        <v>1605</v>
      </c>
      <c r="E755" s="10">
        <v>10</v>
      </c>
      <c r="F755" s="9" t="s">
        <v>1606</v>
      </c>
      <c r="G755" s="11">
        <v>46238</v>
      </c>
      <c r="H755" s="12">
        <v>24.19</v>
      </c>
      <c r="I755" s="12">
        <v>21.53</v>
      </c>
      <c r="J755" s="9" t="s">
        <v>3</v>
      </c>
      <c r="K755" s="8">
        <v>0</v>
      </c>
    </row>
    <row r="756" spans="1:11">
      <c r="A756" s="2" t="s">
        <v>1255</v>
      </c>
      <c r="B756" s="2" t="s">
        <v>1501</v>
      </c>
      <c r="C756" s="9">
        <v>10029936</v>
      </c>
      <c r="D756" s="2" t="s">
        <v>1607</v>
      </c>
      <c r="E756" s="10">
        <v>12</v>
      </c>
      <c r="F756" s="9" t="s">
        <v>985</v>
      </c>
      <c r="G756" s="11">
        <v>46238</v>
      </c>
      <c r="H756" s="12">
        <v>44.52</v>
      </c>
      <c r="I756" s="12">
        <v>39.6</v>
      </c>
      <c r="J756" s="9" t="s">
        <v>3</v>
      </c>
      <c r="K756" s="8">
        <v>0</v>
      </c>
    </row>
    <row r="757" spans="1:11">
      <c r="A757" s="2" t="s">
        <v>1255</v>
      </c>
      <c r="B757" s="2" t="s">
        <v>1501</v>
      </c>
      <c r="C757" s="9">
        <v>10029937</v>
      </c>
      <c r="D757" s="2" t="s">
        <v>1608</v>
      </c>
      <c r="E757" s="10">
        <v>12</v>
      </c>
      <c r="F757" s="9" t="s">
        <v>1609</v>
      </c>
      <c r="G757" s="11">
        <v>46238</v>
      </c>
      <c r="H757" s="12">
        <v>53.26</v>
      </c>
      <c r="I757" s="12">
        <v>47.4</v>
      </c>
      <c r="J757" s="9" t="s">
        <v>3</v>
      </c>
      <c r="K757" s="8">
        <v>0</v>
      </c>
    </row>
    <row r="758" spans="1:11">
      <c r="A758" s="2" t="s">
        <v>1255</v>
      </c>
      <c r="B758" s="2" t="s">
        <v>1501</v>
      </c>
      <c r="C758" s="9">
        <v>10029938</v>
      </c>
      <c r="D758" s="2" t="s">
        <v>1610</v>
      </c>
      <c r="E758" s="10">
        <v>12</v>
      </c>
      <c r="F758" s="9" t="s">
        <v>1609</v>
      </c>
      <c r="G758" s="11">
        <v>46238</v>
      </c>
      <c r="H758" s="12">
        <v>53.26</v>
      </c>
      <c r="I758" s="12">
        <v>47.4</v>
      </c>
      <c r="J758" s="9" t="s">
        <v>3</v>
      </c>
      <c r="K758" s="8">
        <v>0</v>
      </c>
    </row>
    <row r="759" spans="1:11">
      <c r="A759" s="2" t="s">
        <v>1255</v>
      </c>
      <c r="B759" s="2" t="s">
        <v>1501</v>
      </c>
      <c r="C759" s="9">
        <v>10029939</v>
      </c>
      <c r="D759" s="2" t="s">
        <v>1611</v>
      </c>
      <c r="E759" s="10">
        <v>60</v>
      </c>
      <c r="F759" s="9" t="s">
        <v>829</v>
      </c>
      <c r="G759" s="11">
        <v>46238</v>
      </c>
      <c r="H759" s="12">
        <v>266.29000000000002</v>
      </c>
      <c r="I759" s="12">
        <v>237</v>
      </c>
      <c r="J759" s="9" t="s">
        <v>3</v>
      </c>
      <c r="K759" s="8">
        <v>0</v>
      </c>
    </row>
    <row r="760" spans="1:11">
      <c r="A760" s="2" t="s">
        <v>1255</v>
      </c>
      <c r="B760" s="2" t="s">
        <v>1501</v>
      </c>
      <c r="C760" s="9">
        <v>10029942</v>
      </c>
      <c r="D760" s="2" t="s">
        <v>1612</v>
      </c>
      <c r="E760" s="10">
        <v>288</v>
      </c>
      <c r="F760" s="9" t="s">
        <v>1508</v>
      </c>
      <c r="G760" s="11">
        <v>46238</v>
      </c>
      <c r="H760" s="12">
        <v>1068.48</v>
      </c>
      <c r="I760" s="12">
        <v>950.4</v>
      </c>
      <c r="J760" s="9" t="s">
        <v>3</v>
      </c>
      <c r="K760" s="8">
        <v>0</v>
      </c>
    </row>
    <row r="761" spans="1:11">
      <c r="A761" s="2" t="s">
        <v>1255</v>
      </c>
      <c r="B761" s="2" t="s">
        <v>1501</v>
      </c>
      <c r="C761" s="9">
        <v>10029943</v>
      </c>
      <c r="D761" s="2" t="s">
        <v>1613</v>
      </c>
      <c r="E761" s="10">
        <v>12</v>
      </c>
      <c r="F761" s="9" t="s">
        <v>1263</v>
      </c>
      <c r="G761" s="11">
        <v>46238</v>
      </c>
      <c r="H761" s="12">
        <v>54.48</v>
      </c>
      <c r="I761" s="12">
        <v>48.48</v>
      </c>
      <c r="J761" s="9" t="s">
        <v>3</v>
      </c>
      <c r="K761" s="8">
        <v>0</v>
      </c>
    </row>
    <row r="762" spans="1:11">
      <c r="A762" s="2" t="s">
        <v>1255</v>
      </c>
      <c r="B762" s="2" t="s">
        <v>1501</v>
      </c>
      <c r="C762" s="9">
        <v>10029944</v>
      </c>
      <c r="D762" s="2" t="s">
        <v>1614</v>
      </c>
      <c r="E762" s="10">
        <v>12</v>
      </c>
      <c r="F762" s="9" t="s">
        <v>1263</v>
      </c>
      <c r="G762" s="11">
        <v>46238</v>
      </c>
      <c r="H762" s="12">
        <v>54.48</v>
      </c>
      <c r="I762" s="12">
        <v>48.48</v>
      </c>
      <c r="J762" s="9" t="s">
        <v>3</v>
      </c>
      <c r="K762" s="8">
        <v>0</v>
      </c>
    </row>
    <row r="763" spans="1:11">
      <c r="A763" s="2" t="s">
        <v>746</v>
      </c>
      <c r="B763" s="2" t="s">
        <v>1604</v>
      </c>
      <c r="C763" s="9">
        <v>10030008</v>
      </c>
      <c r="D763" s="2" t="s">
        <v>1615</v>
      </c>
      <c r="E763" s="10">
        <v>24</v>
      </c>
      <c r="F763" s="9" t="s">
        <v>1616</v>
      </c>
      <c r="G763" s="11">
        <v>46238</v>
      </c>
      <c r="H763" s="12">
        <v>46.39</v>
      </c>
      <c r="I763" s="12">
        <v>41.29</v>
      </c>
      <c r="J763" s="9" t="s">
        <v>3</v>
      </c>
      <c r="K763" s="8">
        <v>0</v>
      </c>
    </row>
    <row r="764" spans="1:11">
      <c r="A764" s="2" t="s">
        <v>708</v>
      </c>
      <c r="B764" s="2" t="s">
        <v>1617</v>
      </c>
      <c r="C764" s="9">
        <v>10030020</v>
      </c>
      <c r="D764" s="2" t="s">
        <v>1618</v>
      </c>
      <c r="E764" s="10">
        <v>12</v>
      </c>
      <c r="F764" s="9" t="s">
        <v>1619</v>
      </c>
      <c r="G764" s="11">
        <v>46238</v>
      </c>
      <c r="H764" s="12">
        <v>33.159999999999997</v>
      </c>
      <c r="I764" s="12">
        <v>29.51</v>
      </c>
      <c r="J764" s="9" t="s">
        <v>3</v>
      </c>
      <c r="K764" s="8">
        <v>0</v>
      </c>
    </row>
    <row r="765" spans="1:11">
      <c r="A765" s="2" t="s">
        <v>708</v>
      </c>
      <c r="B765" s="2" t="s">
        <v>1617</v>
      </c>
      <c r="C765" s="9">
        <v>10030028</v>
      </c>
      <c r="D765" s="2" t="s">
        <v>1618</v>
      </c>
      <c r="E765" s="10">
        <v>12</v>
      </c>
      <c r="F765" s="9" t="s">
        <v>1619</v>
      </c>
      <c r="G765" s="11">
        <v>46238</v>
      </c>
      <c r="H765" s="12">
        <v>33.159999999999997</v>
      </c>
      <c r="I765" s="12">
        <v>29.51</v>
      </c>
      <c r="J765" s="9" t="s">
        <v>3</v>
      </c>
      <c r="K765" s="8">
        <v>0</v>
      </c>
    </row>
    <row r="766" spans="1:11">
      <c r="A766" s="2" t="s">
        <v>906</v>
      </c>
      <c r="B766" s="2" t="s">
        <v>1620</v>
      </c>
      <c r="C766" s="9">
        <v>10030041</v>
      </c>
      <c r="D766" s="2" t="s">
        <v>1621</v>
      </c>
      <c r="E766" s="10">
        <v>20</v>
      </c>
      <c r="F766" s="9" t="s">
        <v>759</v>
      </c>
      <c r="G766" s="11">
        <v>46238</v>
      </c>
      <c r="H766" s="12">
        <v>228.42</v>
      </c>
      <c r="I766" s="12">
        <v>210.15</v>
      </c>
      <c r="J766" s="9" t="s">
        <v>3</v>
      </c>
      <c r="K766" s="8">
        <v>0</v>
      </c>
    </row>
    <row r="767" spans="1:11">
      <c r="A767" s="2" t="s">
        <v>708</v>
      </c>
      <c r="B767" s="2" t="s">
        <v>1617</v>
      </c>
      <c r="C767" s="9">
        <v>10030076</v>
      </c>
      <c r="D767" s="2" t="s">
        <v>1622</v>
      </c>
      <c r="E767" s="10">
        <v>8</v>
      </c>
      <c r="F767" s="9" t="s">
        <v>1623</v>
      </c>
      <c r="G767" s="11">
        <v>46238</v>
      </c>
      <c r="H767" s="12">
        <v>61.88</v>
      </c>
      <c r="I767" s="12">
        <v>55.07</v>
      </c>
      <c r="J767" s="9" t="s">
        <v>3</v>
      </c>
      <c r="K767" s="8">
        <v>0</v>
      </c>
    </row>
    <row r="768" spans="1:11">
      <c r="A768" s="2" t="s">
        <v>708</v>
      </c>
      <c r="B768" s="2" t="s">
        <v>1617</v>
      </c>
      <c r="C768" s="9">
        <v>10030077</v>
      </c>
      <c r="D768" s="2" t="s">
        <v>1624</v>
      </c>
      <c r="E768" s="10">
        <v>8</v>
      </c>
      <c r="F768" s="9" t="s">
        <v>1623</v>
      </c>
      <c r="G768" s="11">
        <v>46238</v>
      </c>
      <c r="H768" s="12">
        <v>61.88</v>
      </c>
      <c r="I768" s="12">
        <v>55.07</v>
      </c>
      <c r="J768" s="9" t="s">
        <v>3</v>
      </c>
      <c r="K768" s="8">
        <v>0</v>
      </c>
    </row>
    <row r="769" spans="1:11">
      <c r="A769" s="2" t="s">
        <v>708</v>
      </c>
      <c r="B769" s="2" t="s">
        <v>1617</v>
      </c>
      <c r="C769" s="9">
        <v>10030108</v>
      </c>
      <c r="D769" s="2" t="s">
        <v>1625</v>
      </c>
      <c r="E769" s="10">
        <v>12</v>
      </c>
      <c r="F769" s="9" t="s">
        <v>1626</v>
      </c>
      <c r="G769" s="11">
        <v>46238</v>
      </c>
      <c r="H769" s="12">
        <v>33.159999999999997</v>
      </c>
      <c r="I769" s="12">
        <v>29.51</v>
      </c>
      <c r="J769" s="9" t="s">
        <v>3</v>
      </c>
      <c r="K769" s="8">
        <v>0</v>
      </c>
    </row>
    <row r="770" spans="1:11">
      <c r="A770" s="2" t="s">
        <v>708</v>
      </c>
      <c r="B770" s="2" t="s">
        <v>1617</v>
      </c>
      <c r="C770" s="9">
        <v>10030109</v>
      </c>
      <c r="D770" s="2" t="s">
        <v>1627</v>
      </c>
      <c r="E770" s="10">
        <v>8</v>
      </c>
      <c r="F770" s="9" t="s">
        <v>1628</v>
      </c>
      <c r="G770" s="11">
        <v>46238</v>
      </c>
      <c r="H770" s="12">
        <v>61.88</v>
      </c>
      <c r="I770" s="12">
        <v>55.07</v>
      </c>
      <c r="J770" s="9" t="s">
        <v>3</v>
      </c>
      <c r="K770" s="8">
        <v>0</v>
      </c>
    </row>
    <row r="771" spans="1:11">
      <c r="A771" s="2" t="s">
        <v>834</v>
      </c>
      <c r="B771" s="2" t="s">
        <v>1629</v>
      </c>
      <c r="C771" s="9">
        <v>10030150</v>
      </c>
      <c r="D771" s="2" t="s">
        <v>1630</v>
      </c>
      <c r="E771" s="10">
        <v>2</v>
      </c>
      <c r="F771" s="9" t="s">
        <v>1434</v>
      </c>
      <c r="G771" s="11">
        <v>46238</v>
      </c>
      <c r="H771" s="12">
        <v>26.19</v>
      </c>
      <c r="I771" s="12">
        <v>24.89</v>
      </c>
      <c r="J771" s="9" t="s">
        <v>3</v>
      </c>
      <c r="K771" s="8">
        <v>1</v>
      </c>
    </row>
    <row r="772" spans="1:11">
      <c r="A772" s="2" t="s">
        <v>834</v>
      </c>
      <c r="B772" s="2" t="s">
        <v>1629</v>
      </c>
      <c r="C772" s="9">
        <v>10030152</v>
      </c>
      <c r="D772" s="2" t="s">
        <v>1631</v>
      </c>
      <c r="E772" s="10">
        <v>6</v>
      </c>
      <c r="F772" s="9" t="s">
        <v>1439</v>
      </c>
      <c r="G772" s="11">
        <v>46238</v>
      </c>
      <c r="H772" s="12">
        <v>24.84</v>
      </c>
      <c r="I772" s="12">
        <v>22.85</v>
      </c>
      <c r="J772" s="9" t="s">
        <v>3</v>
      </c>
      <c r="K772" s="8">
        <v>1</v>
      </c>
    </row>
    <row r="773" spans="1:11">
      <c r="A773" s="2" t="s">
        <v>746</v>
      </c>
      <c r="B773" s="2" t="s">
        <v>1604</v>
      </c>
      <c r="C773" s="9">
        <v>10030169</v>
      </c>
      <c r="D773" s="2" t="s">
        <v>1632</v>
      </c>
      <c r="E773" s="10">
        <v>18</v>
      </c>
      <c r="F773" s="9" t="s">
        <v>1633</v>
      </c>
      <c r="G773" s="11">
        <v>46238</v>
      </c>
      <c r="H773" s="12">
        <v>49.83</v>
      </c>
      <c r="I773" s="12">
        <v>44.35</v>
      </c>
      <c r="J773" s="9" t="s">
        <v>3</v>
      </c>
      <c r="K773" s="8">
        <v>0</v>
      </c>
    </row>
    <row r="774" spans="1:11">
      <c r="A774" s="2" t="s">
        <v>746</v>
      </c>
      <c r="B774" s="2" t="s">
        <v>1604</v>
      </c>
      <c r="C774" s="9">
        <v>10030171</v>
      </c>
      <c r="D774" s="2" t="s">
        <v>1634</v>
      </c>
      <c r="E774" s="10">
        <v>18</v>
      </c>
      <c r="F774" s="9" t="s">
        <v>1635</v>
      </c>
      <c r="G774" s="11">
        <v>46238</v>
      </c>
      <c r="H774" s="12">
        <v>49.83</v>
      </c>
      <c r="I774" s="12">
        <v>44.35</v>
      </c>
      <c r="J774" s="9" t="s">
        <v>3</v>
      </c>
      <c r="K774" s="8">
        <v>0</v>
      </c>
    </row>
    <row r="775" spans="1:11">
      <c r="A775" s="2" t="s">
        <v>746</v>
      </c>
      <c r="B775" s="2" t="s">
        <v>1604</v>
      </c>
      <c r="C775" s="9">
        <v>10030174</v>
      </c>
      <c r="D775" s="2" t="s">
        <v>1636</v>
      </c>
      <c r="E775" s="10">
        <v>1</v>
      </c>
      <c r="F775" s="9" t="s">
        <v>863</v>
      </c>
      <c r="G775" s="11">
        <v>46238</v>
      </c>
      <c r="H775" s="12">
        <v>102.56</v>
      </c>
      <c r="I775" s="12">
        <v>91.28</v>
      </c>
      <c r="J775" s="9" t="s">
        <v>3</v>
      </c>
      <c r="K775" s="8">
        <v>0</v>
      </c>
    </row>
    <row r="776" spans="1:11">
      <c r="A776" s="2" t="s">
        <v>834</v>
      </c>
      <c r="B776" s="2" t="s">
        <v>1629</v>
      </c>
      <c r="C776" s="9">
        <v>10030180</v>
      </c>
      <c r="D776" s="2" t="s">
        <v>1637</v>
      </c>
      <c r="E776" s="10">
        <v>6</v>
      </c>
      <c r="F776" s="9" t="s">
        <v>1638</v>
      </c>
      <c r="G776" s="11">
        <v>46238</v>
      </c>
      <c r="H776" s="12">
        <v>29.34</v>
      </c>
      <c r="I776" s="12">
        <v>27</v>
      </c>
      <c r="J776" s="9" t="s">
        <v>3</v>
      </c>
      <c r="K776" s="8">
        <v>1</v>
      </c>
    </row>
    <row r="777" spans="1:11">
      <c r="A777" s="2" t="s">
        <v>906</v>
      </c>
      <c r="B777" s="2" t="s">
        <v>1146</v>
      </c>
      <c r="C777" s="9">
        <v>10030181</v>
      </c>
      <c r="D777" s="2" t="s">
        <v>1639</v>
      </c>
      <c r="E777" s="10">
        <v>12</v>
      </c>
      <c r="F777" s="9" t="s">
        <v>985</v>
      </c>
      <c r="G777" s="11">
        <v>46238</v>
      </c>
      <c r="H777" s="12">
        <v>58.85</v>
      </c>
      <c r="I777" s="12">
        <v>54.14</v>
      </c>
      <c r="J777" s="9" t="s">
        <v>3</v>
      </c>
      <c r="K777" s="8">
        <v>0</v>
      </c>
    </row>
    <row r="778" spans="1:11">
      <c r="A778" s="2" t="s">
        <v>834</v>
      </c>
      <c r="B778" s="2" t="s">
        <v>1629</v>
      </c>
      <c r="C778" s="9">
        <v>10030184</v>
      </c>
      <c r="D778" s="2" t="s">
        <v>1640</v>
      </c>
      <c r="E778" s="10">
        <v>1</v>
      </c>
      <c r="F778" s="9" t="s">
        <v>837</v>
      </c>
      <c r="G778" s="11">
        <v>46238</v>
      </c>
      <c r="H778" s="12">
        <v>27.76</v>
      </c>
      <c r="I778" s="12">
        <v>25.54</v>
      </c>
      <c r="J778" s="9" t="s">
        <v>3</v>
      </c>
      <c r="K778" s="8">
        <v>1</v>
      </c>
    </row>
    <row r="779" spans="1:11">
      <c r="A779" s="2" t="s">
        <v>834</v>
      </c>
      <c r="B779" s="2" t="s">
        <v>1629</v>
      </c>
      <c r="C779" s="9">
        <v>10030187</v>
      </c>
      <c r="D779" s="2" t="s">
        <v>1641</v>
      </c>
      <c r="E779" s="10">
        <v>1</v>
      </c>
      <c r="F779" s="9" t="s">
        <v>837</v>
      </c>
      <c r="G779" s="11">
        <v>46238</v>
      </c>
      <c r="H779" s="12">
        <v>28.97</v>
      </c>
      <c r="I779" s="12">
        <v>26.65</v>
      </c>
      <c r="J779" s="9" t="s">
        <v>3</v>
      </c>
      <c r="K779" s="8">
        <v>1</v>
      </c>
    </row>
    <row r="780" spans="1:11">
      <c r="A780" s="2" t="s">
        <v>834</v>
      </c>
      <c r="B780" s="2" t="s">
        <v>1629</v>
      </c>
      <c r="C780" s="9">
        <v>10030192</v>
      </c>
      <c r="D780" s="2" t="s">
        <v>1642</v>
      </c>
      <c r="E780" s="10">
        <v>1</v>
      </c>
      <c r="F780" s="9" t="s">
        <v>837</v>
      </c>
      <c r="G780" s="11">
        <v>46238</v>
      </c>
      <c r="H780" s="12">
        <v>32.4</v>
      </c>
      <c r="I780" s="12">
        <v>29.81</v>
      </c>
      <c r="J780" s="9" t="s">
        <v>3</v>
      </c>
      <c r="K780" s="8">
        <v>1</v>
      </c>
    </row>
    <row r="781" spans="1:11">
      <c r="A781" s="2" t="s">
        <v>834</v>
      </c>
      <c r="B781" s="2" t="s">
        <v>1629</v>
      </c>
      <c r="C781" s="9">
        <v>10030193</v>
      </c>
      <c r="D781" s="2" t="s">
        <v>1643</v>
      </c>
      <c r="E781" s="10">
        <v>1</v>
      </c>
      <c r="F781" s="9" t="s">
        <v>837</v>
      </c>
      <c r="G781" s="11">
        <v>46238</v>
      </c>
      <c r="H781" s="12">
        <v>28.51</v>
      </c>
      <c r="I781" s="12">
        <v>26.23</v>
      </c>
      <c r="J781" s="9" t="s">
        <v>3</v>
      </c>
      <c r="K781" s="8">
        <v>1</v>
      </c>
    </row>
    <row r="782" spans="1:11">
      <c r="A782" s="2" t="s">
        <v>834</v>
      </c>
      <c r="B782" s="2" t="s">
        <v>1629</v>
      </c>
      <c r="C782" s="9">
        <v>10030194</v>
      </c>
      <c r="D782" s="2" t="s">
        <v>1644</v>
      </c>
      <c r="E782" s="10">
        <v>1</v>
      </c>
      <c r="F782" s="9" t="s">
        <v>837</v>
      </c>
      <c r="G782" s="11">
        <v>46238</v>
      </c>
      <c r="H782" s="12">
        <v>38.659999999999997</v>
      </c>
      <c r="I782" s="12">
        <v>35.57</v>
      </c>
      <c r="J782" s="9" t="s">
        <v>3</v>
      </c>
      <c r="K782" s="8">
        <v>1</v>
      </c>
    </row>
    <row r="783" spans="1:11">
      <c r="A783" s="2" t="s">
        <v>746</v>
      </c>
      <c r="B783" s="2" t="s">
        <v>1604</v>
      </c>
      <c r="C783" s="9">
        <v>10030289</v>
      </c>
      <c r="D783" s="2" t="s">
        <v>1645</v>
      </c>
      <c r="E783" s="10">
        <v>12</v>
      </c>
      <c r="F783" s="9" t="s">
        <v>1646</v>
      </c>
      <c r="G783" s="11">
        <v>46238</v>
      </c>
      <c r="H783" s="12">
        <v>30.46</v>
      </c>
      <c r="I783" s="12">
        <v>27.11</v>
      </c>
      <c r="J783" s="9" t="s">
        <v>3</v>
      </c>
      <c r="K783" s="8">
        <v>0</v>
      </c>
    </row>
    <row r="784" spans="1:11">
      <c r="A784" s="2" t="s">
        <v>746</v>
      </c>
      <c r="B784" s="2" t="s">
        <v>1604</v>
      </c>
      <c r="C784" s="9">
        <v>10030292</v>
      </c>
      <c r="D784" s="2" t="s">
        <v>1647</v>
      </c>
      <c r="E784" s="10">
        <v>12</v>
      </c>
      <c r="F784" s="9" t="s">
        <v>731</v>
      </c>
      <c r="G784" s="11">
        <v>46238</v>
      </c>
      <c r="H784" s="12">
        <v>30.46</v>
      </c>
      <c r="I784" s="12">
        <v>27.11</v>
      </c>
      <c r="J784" s="9" t="s">
        <v>3</v>
      </c>
      <c r="K784" s="8">
        <v>0</v>
      </c>
    </row>
    <row r="785" spans="1:11">
      <c r="A785" s="2" t="s">
        <v>906</v>
      </c>
      <c r="B785" s="2" t="s">
        <v>1648</v>
      </c>
      <c r="C785" s="9">
        <v>10030327</v>
      </c>
      <c r="D785" s="2" t="s">
        <v>1649</v>
      </c>
      <c r="E785" s="10">
        <v>12</v>
      </c>
      <c r="F785" s="9" t="s">
        <v>1323</v>
      </c>
      <c r="G785" s="11">
        <v>46238</v>
      </c>
      <c r="H785" s="12">
        <v>83.85</v>
      </c>
      <c r="I785" s="12">
        <v>77.17</v>
      </c>
      <c r="J785" s="9" t="s">
        <v>3</v>
      </c>
      <c r="K785" s="8">
        <v>0</v>
      </c>
    </row>
    <row r="786" spans="1:11">
      <c r="A786" s="2" t="s">
        <v>746</v>
      </c>
      <c r="B786" s="2" t="s">
        <v>1604</v>
      </c>
      <c r="C786" s="9">
        <v>10030368</v>
      </c>
      <c r="D786" s="2" t="s">
        <v>1650</v>
      </c>
      <c r="E786" s="10">
        <v>12</v>
      </c>
      <c r="F786" s="9" t="s">
        <v>1651</v>
      </c>
      <c r="G786" s="11">
        <v>46238</v>
      </c>
      <c r="H786" s="12">
        <v>30.46</v>
      </c>
      <c r="I786" s="12">
        <v>27.11</v>
      </c>
      <c r="J786" s="9" t="s">
        <v>3</v>
      </c>
      <c r="K786" s="8">
        <v>0</v>
      </c>
    </row>
    <row r="787" spans="1:11">
      <c r="A787" s="2" t="s">
        <v>746</v>
      </c>
      <c r="B787" s="2" t="s">
        <v>1604</v>
      </c>
      <c r="C787" s="9">
        <v>10030372</v>
      </c>
      <c r="D787" s="2" t="s">
        <v>1652</v>
      </c>
      <c r="E787" s="10">
        <v>12</v>
      </c>
      <c r="F787" s="9" t="s">
        <v>917</v>
      </c>
      <c r="G787" s="11">
        <v>46238</v>
      </c>
      <c r="H787" s="12">
        <v>30.46</v>
      </c>
      <c r="I787" s="12">
        <v>27.11</v>
      </c>
      <c r="J787" s="9" t="s">
        <v>3</v>
      </c>
      <c r="K787" s="8">
        <v>0</v>
      </c>
    </row>
    <row r="788" spans="1:11">
      <c r="A788" s="2" t="s">
        <v>746</v>
      </c>
      <c r="B788" s="2" t="s">
        <v>1604</v>
      </c>
      <c r="C788" s="9">
        <v>10030376</v>
      </c>
      <c r="D788" s="2" t="s">
        <v>1653</v>
      </c>
      <c r="E788" s="10">
        <v>12</v>
      </c>
      <c r="F788" s="9" t="s">
        <v>1654</v>
      </c>
      <c r="G788" s="11">
        <v>46238</v>
      </c>
      <c r="H788" s="12">
        <v>30.46</v>
      </c>
      <c r="I788" s="12">
        <v>27.11</v>
      </c>
      <c r="J788" s="9" t="s">
        <v>3</v>
      </c>
      <c r="K788" s="8">
        <v>0</v>
      </c>
    </row>
    <row r="789" spans="1:11">
      <c r="A789" s="2" t="s">
        <v>746</v>
      </c>
      <c r="B789" s="2" t="s">
        <v>1604</v>
      </c>
      <c r="C789" s="9">
        <v>10030399</v>
      </c>
      <c r="D789" s="2" t="s">
        <v>1655</v>
      </c>
      <c r="E789" s="10">
        <v>12</v>
      </c>
      <c r="F789" s="9" t="s">
        <v>1656</v>
      </c>
      <c r="G789" s="11">
        <v>46238</v>
      </c>
      <c r="H789" s="12">
        <v>30.46</v>
      </c>
      <c r="I789" s="12">
        <v>27.11</v>
      </c>
      <c r="J789" s="9" t="s">
        <v>3</v>
      </c>
      <c r="K789" s="8">
        <v>0</v>
      </c>
    </row>
    <row r="790" spans="1:11">
      <c r="A790" s="2" t="s">
        <v>906</v>
      </c>
      <c r="B790" s="2" t="s">
        <v>1648</v>
      </c>
      <c r="C790" s="9">
        <v>10030416</v>
      </c>
      <c r="D790" s="2" t="s">
        <v>1649</v>
      </c>
      <c r="E790" s="10">
        <v>2</v>
      </c>
      <c r="F790" s="9" t="s">
        <v>1657</v>
      </c>
      <c r="G790" s="11">
        <v>46238</v>
      </c>
      <c r="H790" s="12">
        <v>27.57</v>
      </c>
      <c r="I790" s="12">
        <v>25.36</v>
      </c>
      <c r="J790" s="9" t="s">
        <v>3</v>
      </c>
      <c r="K790" s="8">
        <v>1</v>
      </c>
    </row>
    <row r="791" spans="1:11">
      <c r="A791" s="2" t="s">
        <v>746</v>
      </c>
      <c r="B791" s="2" t="s">
        <v>1604</v>
      </c>
      <c r="C791" s="9">
        <v>10030486</v>
      </c>
      <c r="D791" s="2" t="s">
        <v>1658</v>
      </c>
      <c r="E791" s="10">
        <v>12</v>
      </c>
      <c r="F791" s="9" t="s">
        <v>1659</v>
      </c>
      <c r="G791" s="11">
        <v>46238</v>
      </c>
      <c r="H791" s="12">
        <v>32.39</v>
      </c>
      <c r="I791" s="12">
        <v>28.83</v>
      </c>
      <c r="J791" s="9" t="s">
        <v>3</v>
      </c>
      <c r="K791" s="8">
        <v>0</v>
      </c>
    </row>
    <row r="792" spans="1:11">
      <c r="A792" s="2" t="s">
        <v>746</v>
      </c>
      <c r="B792" s="2" t="s">
        <v>1604</v>
      </c>
      <c r="C792" s="9">
        <v>10030546</v>
      </c>
      <c r="D792" s="2" t="s">
        <v>1660</v>
      </c>
      <c r="E792" s="10">
        <v>30</v>
      </c>
      <c r="F792" s="9" t="s">
        <v>1661</v>
      </c>
      <c r="G792" s="11">
        <v>46238</v>
      </c>
      <c r="H792" s="12">
        <v>29.64</v>
      </c>
      <c r="I792" s="12">
        <v>26.38</v>
      </c>
      <c r="J792" s="9" t="s">
        <v>3</v>
      </c>
      <c r="K792" s="8">
        <v>0</v>
      </c>
    </row>
    <row r="793" spans="1:11">
      <c r="A793" s="2" t="s">
        <v>1662</v>
      </c>
      <c r="B793" s="2" t="s">
        <v>1663</v>
      </c>
      <c r="C793" s="9">
        <v>10030563</v>
      </c>
      <c r="D793" s="2" t="s">
        <v>1664</v>
      </c>
      <c r="E793" s="10">
        <v>6</v>
      </c>
      <c r="F793" s="9" t="s">
        <v>763</v>
      </c>
      <c r="G793" s="11">
        <v>46238</v>
      </c>
      <c r="H793" s="12">
        <v>309.85000000000002</v>
      </c>
      <c r="I793" s="12">
        <v>274.2</v>
      </c>
      <c r="J793" s="9" t="s">
        <v>3</v>
      </c>
      <c r="K793" s="8">
        <v>0</v>
      </c>
    </row>
    <row r="794" spans="1:11">
      <c r="A794" s="2" t="s">
        <v>1662</v>
      </c>
      <c r="B794" s="2" t="s">
        <v>1663</v>
      </c>
      <c r="C794" s="9">
        <v>10030564</v>
      </c>
      <c r="D794" s="2" t="s">
        <v>1665</v>
      </c>
      <c r="E794" s="10">
        <v>6</v>
      </c>
      <c r="F794" s="9" t="s">
        <v>768</v>
      </c>
      <c r="G794" s="11">
        <v>46238</v>
      </c>
      <c r="H794" s="12">
        <v>82.83</v>
      </c>
      <c r="I794" s="12">
        <v>73.33</v>
      </c>
      <c r="J794" s="9" t="s">
        <v>3</v>
      </c>
      <c r="K794" s="8">
        <v>0</v>
      </c>
    </row>
    <row r="795" spans="1:11">
      <c r="A795" s="2" t="s">
        <v>1662</v>
      </c>
      <c r="B795" s="2" t="s">
        <v>1663</v>
      </c>
      <c r="C795" s="9">
        <v>10030565</v>
      </c>
      <c r="D795" s="2" t="s">
        <v>1666</v>
      </c>
      <c r="E795" s="10">
        <v>6</v>
      </c>
      <c r="F795" s="9" t="s">
        <v>1667</v>
      </c>
      <c r="G795" s="11">
        <v>46238</v>
      </c>
      <c r="H795" s="12">
        <v>84.68</v>
      </c>
      <c r="I795" s="12">
        <v>74.930000000000007</v>
      </c>
      <c r="J795" s="9" t="s">
        <v>3</v>
      </c>
      <c r="K795" s="8">
        <v>0</v>
      </c>
    </row>
    <row r="796" spans="1:11">
      <c r="A796" s="2" t="s">
        <v>1662</v>
      </c>
      <c r="B796" s="2" t="s">
        <v>1663</v>
      </c>
      <c r="C796" s="9">
        <v>10030566</v>
      </c>
      <c r="D796" s="2" t="s">
        <v>1668</v>
      </c>
      <c r="E796" s="10">
        <v>6</v>
      </c>
      <c r="F796" s="9" t="s">
        <v>768</v>
      </c>
      <c r="G796" s="11">
        <v>46238</v>
      </c>
      <c r="H796" s="12">
        <v>82.83</v>
      </c>
      <c r="I796" s="12">
        <v>73.33</v>
      </c>
      <c r="J796" s="9" t="s">
        <v>3</v>
      </c>
      <c r="K796" s="8">
        <v>0</v>
      </c>
    </row>
    <row r="797" spans="1:11">
      <c r="A797" s="2" t="s">
        <v>1662</v>
      </c>
      <c r="B797" s="2" t="s">
        <v>1663</v>
      </c>
      <c r="C797" s="9">
        <v>10030568</v>
      </c>
      <c r="D797" s="2" t="s">
        <v>1669</v>
      </c>
      <c r="E797" s="10">
        <v>6</v>
      </c>
      <c r="F797" s="9" t="s">
        <v>1667</v>
      </c>
      <c r="G797" s="11">
        <v>46238</v>
      </c>
      <c r="H797" s="12">
        <v>82.83</v>
      </c>
      <c r="I797" s="12">
        <v>73.33</v>
      </c>
      <c r="J797" s="9" t="s">
        <v>3</v>
      </c>
      <c r="K797" s="8">
        <v>0</v>
      </c>
    </row>
    <row r="798" spans="1:11">
      <c r="A798" s="2" t="s">
        <v>1662</v>
      </c>
      <c r="B798" s="2" t="s">
        <v>1663</v>
      </c>
      <c r="C798" s="9">
        <v>10030569</v>
      </c>
      <c r="D798" s="2" t="s">
        <v>1670</v>
      </c>
      <c r="E798" s="10">
        <v>6</v>
      </c>
      <c r="F798" s="9" t="s">
        <v>768</v>
      </c>
      <c r="G798" s="11">
        <v>46238</v>
      </c>
      <c r="H798" s="12">
        <v>82.83</v>
      </c>
      <c r="I798" s="12">
        <v>73.33</v>
      </c>
      <c r="J798" s="9" t="s">
        <v>3</v>
      </c>
      <c r="K798" s="8">
        <v>0</v>
      </c>
    </row>
    <row r="799" spans="1:11">
      <c r="A799" s="2" t="s">
        <v>1662</v>
      </c>
      <c r="B799" s="2" t="s">
        <v>1663</v>
      </c>
      <c r="C799" s="9">
        <v>10030570</v>
      </c>
      <c r="D799" s="2" t="s">
        <v>1671</v>
      </c>
      <c r="E799" s="10">
        <v>6</v>
      </c>
      <c r="F799" s="9" t="s">
        <v>1667</v>
      </c>
      <c r="G799" s="11">
        <v>46238</v>
      </c>
      <c r="H799" s="12">
        <v>84.68</v>
      </c>
      <c r="I799" s="12">
        <v>74.930000000000007</v>
      </c>
      <c r="J799" s="9" t="s">
        <v>3</v>
      </c>
      <c r="K799" s="8">
        <v>0</v>
      </c>
    </row>
    <row r="800" spans="1:11">
      <c r="A800" s="2" t="s">
        <v>1662</v>
      </c>
      <c r="B800" s="2" t="s">
        <v>1663</v>
      </c>
      <c r="C800" s="9">
        <v>10030571</v>
      </c>
      <c r="D800" s="2" t="s">
        <v>1672</v>
      </c>
      <c r="E800" s="10">
        <v>6</v>
      </c>
      <c r="F800" s="9" t="s">
        <v>768</v>
      </c>
      <c r="G800" s="11">
        <v>46238</v>
      </c>
      <c r="H800" s="12">
        <v>82.83</v>
      </c>
      <c r="I800" s="12">
        <v>73.33</v>
      </c>
      <c r="J800" s="9" t="s">
        <v>3</v>
      </c>
      <c r="K800" s="8">
        <v>0</v>
      </c>
    </row>
    <row r="801" spans="1:11">
      <c r="A801" s="2" t="s">
        <v>1662</v>
      </c>
      <c r="B801" s="2" t="s">
        <v>1663</v>
      </c>
      <c r="C801" s="9">
        <v>10030572</v>
      </c>
      <c r="D801" s="2" t="s">
        <v>1673</v>
      </c>
      <c r="E801" s="10">
        <v>6</v>
      </c>
      <c r="F801" s="9" t="s">
        <v>768</v>
      </c>
      <c r="G801" s="11">
        <v>46238</v>
      </c>
      <c r="H801" s="12">
        <v>97.24</v>
      </c>
      <c r="I801" s="12">
        <v>86.09</v>
      </c>
      <c r="J801" s="9" t="s">
        <v>3</v>
      </c>
      <c r="K801" s="8">
        <v>0</v>
      </c>
    </row>
    <row r="802" spans="1:11">
      <c r="A802" s="2" t="s">
        <v>1662</v>
      </c>
      <c r="B802" s="2" t="s">
        <v>1663</v>
      </c>
      <c r="C802" s="9">
        <v>10030573</v>
      </c>
      <c r="D802" s="2" t="s">
        <v>1674</v>
      </c>
      <c r="E802" s="10">
        <v>12</v>
      </c>
      <c r="F802" s="9" t="s">
        <v>1675</v>
      </c>
      <c r="G802" s="11">
        <v>46238</v>
      </c>
      <c r="H802" s="12">
        <v>93.13</v>
      </c>
      <c r="I802" s="12">
        <v>82.89</v>
      </c>
      <c r="J802" s="9" t="s">
        <v>3</v>
      </c>
      <c r="K802" s="8">
        <v>0</v>
      </c>
    </row>
    <row r="803" spans="1:11">
      <c r="A803" s="2" t="s">
        <v>1662</v>
      </c>
      <c r="B803" s="2" t="s">
        <v>1663</v>
      </c>
      <c r="C803" s="9">
        <v>10030574</v>
      </c>
      <c r="D803" s="2" t="s">
        <v>1676</v>
      </c>
      <c r="E803" s="10">
        <v>12</v>
      </c>
      <c r="F803" s="9" t="s">
        <v>1675</v>
      </c>
      <c r="G803" s="11">
        <v>46238</v>
      </c>
      <c r="H803" s="12">
        <v>93.13</v>
      </c>
      <c r="I803" s="12">
        <v>82.89</v>
      </c>
      <c r="J803" s="9" t="s">
        <v>3</v>
      </c>
      <c r="K803" s="8">
        <v>0</v>
      </c>
    </row>
    <row r="804" spans="1:11">
      <c r="A804" s="2" t="s">
        <v>1662</v>
      </c>
      <c r="B804" s="2" t="s">
        <v>1663</v>
      </c>
      <c r="C804" s="9">
        <v>10030575</v>
      </c>
      <c r="D804" s="2" t="s">
        <v>1677</v>
      </c>
      <c r="E804" s="10">
        <v>12</v>
      </c>
      <c r="F804" s="9" t="s">
        <v>1675</v>
      </c>
      <c r="G804" s="11">
        <v>46238</v>
      </c>
      <c r="H804" s="12">
        <v>93.13</v>
      </c>
      <c r="I804" s="12">
        <v>82.89</v>
      </c>
      <c r="J804" s="9" t="s">
        <v>3</v>
      </c>
      <c r="K804" s="8">
        <v>0</v>
      </c>
    </row>
    <row r="805" spans="1:11">
      <c r="A805" s="2" t="s">
        <v>1662</v>
      </c>
      <c r="B805" s="2" t="s">
        <v>1663</v>
      </c>
      <c r="C805" s="9">
        <v>10030576</v>
      </c>
      <c r="D805" s="2" t="s">
        <v>1678</v>
      </c>
      <c r="E805" s="10">
        <v>12</v>
      </c>
      <c r="F805" s="9" t="s">
        <v>1675</v>
      </c>
      <c r="G805" s="11">
        <v>46238</v>
      </c>
      <c r="H805" s="12">
        <v>93.13</v>
      </c>
      <c r="I805" s="12">
        <v>82.89</v>
      </c>
      <c r="J805" s="9" t="s">
        <v>3</v>
      </c>
      <c r="K805" s="8">
        <v>0</v>
      </c>
    </row>
    <row r="806" spans="1:11">
      <c r="A806" s="2" t="s">
        <v>708</v>
      </c>
      <c r="B806" s="2" t="s">
        <v>1679</v>
      </c>
      <c r="C806" s="9">
        <v>10030614</v>
      </c>
      <c r="D806" s="2" t="s">
        <v>1680</v>
      </c>
      <c r="E806" s="10">
        <v>6</v>
      </c>
      <c r="F806" s="9" t="s">
        <v>1681</v>
      </c>
      <c r="G806" s="11">
        <v>46238</v>
      </c>
      <c r="H806" s="12">
        <v>55.09</v>
      </c>
      <c r="I806" s="12">
        <v>49.05</v>
      </c>
      <c r="J806" s="9" t="s">
        <v>3</v>
      </c>
      <c r="K806" s="8">
        <v>0</v>
      </c>
    </row>
    <row r="807" spans="1:11">
      <c r="A807" s="2" t="s">
        <v>708</v>
      </c>
      <c r="B807" s="2" t="s">
        <v>1679</v>
      </c>
      <c r="C807" s="9">
        <v>10030618</v>
      </c>
      <c r="D807" s="2" t="s">
        <v>1682</v>
      </c>
      <c r="E807" s="10">
        <v>6</v>
      </c>
      <c r="F807" s="9" t="s">
        <v>1683</v>
      </c>
      <c r="G807" s="11">
        <v>46238</v>
      </c>
      <c r="H807" s="12">
        <v>55.09</v>
      </c>
      <c r="I807" s="12">
        <v>49.05</v>
      </c>
      <c r="J807" s="9" t="s">
        <v>3</v>
      </c>
      <c r="K807" s="8">
        <v>0</v>
      </c>
    </row>
    <row r="808" spans="1:11">
      <c r="A808" s="2" t="s">
        <v>746</v>
      </c>
      <c r="B808" s="2" t="s">
        <v>1604</v>
      </c>
      <c r="C808" s="9">
        <v>10030627</v>
      </c>
      <c r="D808" s="2" t="s">
        <v>1684</v>
      </c>
      <c r="E808" s="10">
        <v>25</v>
      </c>
      <c r="F808" s="9" t="s">
        <v>1619</v>
      </c>
      <c r="G808" s="11">
        <v>46238</v>
      </c>
      <c r="H808" s="12">
        <v>52.89</v>
      </c>
      <c r="I808" s="12">
        <v>47.07</v>
      </c>
      <c r="J808" s="9" t="s">
        <v>3</v>
      </c>
      <c r="K808" s="8">
        <v>0</v>
      </c>
    </row>
    <row r="809" spans="1:11">
      <c r="A809" s="2" t="s">
        <v>663</v>
      </c>
      <c r="B809" s="2" t="s">
        <v>1685</v>
      </c>
      <c r="C809" s="9">
        <v>10031157</v>
      </c>
      <c r="D809" s="2" t="s">
        <v>1686</v>
      </c>
      <c r="E809" s="10">
        <v>6</v>
      </c>
      <c r="F809" s="9" t="s">
        <v>1687</v>
      </c>
      <c r="G809" s="11">
        <v>46238</v>
      </c>
      <c r="H809" s="12">
        <v>25.72</v>
      </c>
      <c r="I809" s="12">
        <v>22.89</v>
      </c>
      <c r="J809" s="9" t="s">
        <v>3</v>
      </c>
      <c r="K809" s="8">
        <v>0</v>
      </c>
    </row>
    <row r="810" spans="1:11">
      <c r="A810" s="2" t="s">
        <v>663</v>
      </c>
      <c r="B810" s="2" t="s">
        <v>1685</v>
      </c>
      <c r="C810" s="9">
        <v>10031159</v>
      </c>
      <c r="D810" s="2" t="s">
        <v>1688</v>
      </c>
      <c r="E810" s="10">
        <v>6</v>
      </c>
      <c r="F810" s="9" t="s">
        <v>1689</v>
      </c>
      <c r="G810" s="11">
        <v>46238</v>
      </c>
      <c r="H810" s="12">
        <v>25.72</v>
      </c>
      <c r="I810" s="12">
        <v>22.89</v>
      </c>
      <c r="J810" s="9" t="s">
        <v>3</v>
      </c>
      <c r="K810" s="8">
        <v>0</v>
      </c>
    </row>
    <row r="811" spans="1:11">
      <c r="A811" s="2" t="s">
        <v>663</v>
      </c>
      <c r="B811" s="2" t="s">
        <v>1685</v>
      </c>
      <c r="C811" s="9">
        <v>10031160</v>
      </c>
      <c r="D811" s="2" t="s">
        <v>1690</v>
      </c>
      <c r="E811" s="10">
        <v>6</v>
      </c>
      <c r="F811" s="9" t="s">
        <v>1691</v>
      </c>
      <c r="G811" s="11">
        <v>46238</v>
      </c>
      <c r="H811" s="12">
        <v>25.72</v>
      </c>
      <c r="I811" s="12">
        <v>22.89</v>
      </c>
      <c r="J811" s="9" t="s">
        <v>3</v>
      </c>
      <c r="K811" s="8">
        <v>0</v>
      </c>
    </row>
    <row r="812" spans="1:11">
      <c r="A812" s="2" t="s">
        <v>663</v>
      </c>
      <c r="B812" s="2" t="s">
        <v>1685</v>
      </c>
      <c r="C812" s="9">
        <v>10031162</v>
      </c>
      <c r="D812" s="2" t="s">
        <v>1692</v>
      </c>
      <c r="E812" s="10">
        <v>6</v>
      </c>
      <c r="F812" s="9" t="s">
        <v>1689</v>
      </c>
      <c r="G812" s="11">
        <v>46238</v>
      </c>
      <c r="H812" s="12">
        <v>25.72</v>
      </c>
      <c r="I812" s="12">
        <v>22.89</v>
      </c>
      <c r="J812" s="9" t="s">
        <v>3</v>
      </c>
      <c r="K812" s="8">
        <v>0</v>
      </c>
    </row>
    <row r="813" spans="1:11">
      <c r="A813" s="2" t="s">
        <v>663</v>
      </c>
      <c r="B813" s="2" t="s">
        <v>1685</v>
      </c>
      <c r="C813" s="9">
        <v>10031164</v>
      </c>
      <c r="D813" s="2" t="s">
        <v>1693</v>
      </c>
      <c r="E813" s="10">
        <v>6</v>
      </c>
      <c r="F813" s="9" t="s">
        <v>1691</v>
      </c>
      <c r="G813" s="11">
        <v>46238</v>
      </c>
      <c r="H813" s="12">
        <v>25.72</v>
      </c>
      <c r="I813" s="12">
        <v>22.89</v>
      </c>
      <c r="J813" s="9" t="s">
        <v>3</v>
      </c>
      <c r="K813" s="8">
        <v>0</v>
      </c>
    </row>
    <row r="814" spans="1:11">
      <c r="A814" s="2" t="s">
        <v>663</v>
      </c>
      <c r="B814" s="2" t="s">
        <v>1685</v>
      </c>
      <c r="C814" s="9">
        <v>10031165</v>
      </c>
      <c r="D814" s="2" t="s">
        <v>1694</v>
      </c>
      <c r="E814" s="10">
        <v>6</v>
      </c>
      <c r="F814" s="9" t="s">
        <v>1695</v>
      </c>
      <c r="G814" s="11">
        <v>46238</v>
      </c>
      <c r="H814" s="12">
        <v>25.72</v>
      </c>
      <c r="I814" s="12">
        <v>22.89</v>
      </c>
      <c r="J814" s="9" t="s">
        <v>3</v>
      </c>
      <c r="K814" s="8">
        <v>0</v>
      </c>
    </row>
    <row r="815" spans="1:11">
      <c r="A815" s="2" t="s">
        <v>607</v>
      </c>
      <c r="B815" s="2" t="s">
        <v>1696</v>
      </c>
      <c r="C815" s="9">
        <v>10031407</v>
      </c>
      <c r="D815" s="2" t="s">
        <v>1697</v>
      </c>
      <c r="E815" s="10">
        <v>6</v>
      </c>
      <c r="F815" s="9" t="s">
        <v>1698</v>
      </c>
      <c r="G815" s="11">
        <v>46238</v>
      </c>
      <c r="H815" s="12">
        <v>34.43</v>
      </c>
      <c r="I815" s="12">
        <v>30.64</v>
      </c>
      <c r="J815" s="9" t="s">
        <v>3</v>
      </c>
      <c r="K815" s="8">
        <v>0</v>
      </c>
    </row>
    <row r="816" spans="1:11">
      <c r="A816" s="2" t="s">
        <v>607</v>
      </c>
      <c r="B816" s="2" t="s">
        <v>1696</v>
      </c>
      <c r="C816" s="9">
        <v>10031410</v>
      </c>
      <c r="D816" s="2" t="s">
        <v>1699</v>
      </c>
      <c r="E816" s="10">
        <v>6</v>
      </c>
      <c r="F816" s="9" t="s">
        <v>1698</v>
      </c>
      <c r="G816" s="11">
        <v>46238</v>
      </c>
      <c r="H816" s="12">
        <v>34.43</v>
      </c>
      <c r="I816" s="12">
        <v>30.64</v>
      </c>
      <c r="J816" s="9" t="s">
        <v>3</v>
      </c>
      <c r="K816" s="8">
        <v>0</v>
      </c>
    </row>
    <row r="817" spans="1:11">
      <c r="A817" s="2" t="s">
        <v>607</v>
      </c>
      <c r="B817" s="2" t="s">
        <v>1696</v>
      </c>
      <c r="C817" s="9">
        <v>10031411</v>
      </c>
      <c r="D817" s="2" t="s">
        <v>1700</v>
      </c>
      <c r="E817" s="10">
        <v>6</v>
      </c>
      <c r="F817" s="9" t="s">
        <v>1698</v>
      </c>
      <c r="G817" s="11">
        <v>46238</v>
      </c>
      <c r="H817" s="12">
        <v>36.33</v>
      </c>
      <c r="I817" s="12">
        <v>32.33</v>
      </c>
      <c r="J817" s="9" t="s">
        <v>3</v>
      </c>
      <c r="K817" s="8">
        <v>0</v>
      </c>
    </row>
    <row r="818" spans="1:11">
      <c r="A818" s="2" t="s">
        <v>607</v>
      </c>
      <c r="B818" s="2" t="s">
        <v>1696</v>
      </c>
      <c r="C818" s="9">
        <v>10031413</v>
      </c>
      <c r="D818" s="2" t="s">
        <v>1701</v>
      </c>
      <c r="E818" s="10">
        <v>6</v>
      </c>
      <c r="F818" s="9" t="s">
        <v>1698</v>
      </c>
      <c r="G818" s="11">
        <v>46238</v>
      </c>
      <c r="H818" s="12">
        <v>34.43</v>
      </c>
      <c r="I818" s="12">
        <v>30.64</v>
      </c>
      <c r="J818" s="9" t="s">
        <v>3</v>
      </c>
      <c r="K818" s="8">
        <v>0</v>
      </c>
    </row>
    <row r="819" spans="1:11">
      <c r="A819" s="2" t="s">
        <v>607</v>
      </c>
      <c r="B819" s="2" t="s">
        <v>1696</v>
      </c>
      <c r="C819" s="9">
        <v>10031414</v>
      </c>
      <c r="D819" s="2" t="s">
        <v>1702</v>
      </c>
      <c r="E819" s="10">
        <v>6</v>
      </c>
      <c r="F819" s="9" t="s">
        <v>1698</v>
      </c>
      <c r="G819" s="11">
        <v>46238</v>
      </c>
      <c r="H819" s="12">
        <v>34.43</v>
      </c>
      <c r="I819" s="12">
        <v>30.64</v>
      </c>
      <c r="J819" s="9" t="s">
        <v>3</v>
      </c>
      <c r="K819" s="8">
        <v>0</v>
      </c>
    </row>
    <row r="820" spans="1:11">
      <c r="A820" s="2" t="s">
        <v>607</v>
      </c>
      <c r="B820" s="2" t="s">
        <v>1696</v>
      </c>
      <c r="C820" s="9">
        <v>10031415</v>
      </c>
      <c r="D820" s="2" t="s">
        <v>1703</v>
      </c>
      <c r="E820" s="10">
        <v>6</v>
      </c>
      <c r="F820" s="9" t="s">
        <v>1698</v>
      </c>
      <c r="G820" s="11">
        <v>46238</v>
      </c>
      <c r="H820" s="12">
        <v>34.43</v>
      </c>
      <c r="I820" s="12">
        <v>30.64</v>
      </c>
      <c r="J820" s="9" t="s">
        <v>3</v>
      </c>
      <c r="K820" s="8">
        <v>0</v>
      </c>
    </row>
    <row r="821" spans="1:11">
      <c r="A821" s="2" t="s">
        <v>607</v>
      </c>
      <c r="B821" s="2" t="s">
        <v>1696</v>
      </c>
      <c r="C821" s="9">
        <v>10031416</v>
      </c>
      <c r="D821" s="2" t="s">
        <v>1704</v>
      </c>
      <c r="E821" s="10">
        <v>6</v>
      </c>
      <c r="F821" s="9" t="s">
        <v>1698</v>
      </c>
      <c r="G821" s="11">
        <v>46238</v>
      </c>
      <c r="H821" s="12">
        <v>34.43</v>
      </c>
      <c r="I821" s="12">
        <v>30.64</v>
      </c>
      <c r="J821" s="9" t="s">
        <v>3</v>
      </c>
      <c r="K821" s="8">
        <v>0</v>
      </c>
    </row>
    <row r="822" spans="1:11">
      <c r="A822" s="2" t="s">
        <v>607</v>
      </c>
      <c r="B822" s="2" t="s">
        <v>1696</v>
      </c>
      <c r="C822" s="9">
        <v>10031417</v>
      </c>
      <c r="D822" s="2" t="s">
        <v>1705</v>
      </c>
      <c r="E822" s="10">
        <v>6</v>
      </c>
      <c r="F822" s="9" t="s">
        <v>1698</v>
      </c>
      <c r="G822" s="11">
        <v>46238</v>
      </c>
      <c r="H822" s="12">
        <v>34.43</v>
      </c>
      <c r="I822" s="12">
        <v>30.64</v>
      </c>
      <c r="J822" s="9" t="s">
        <v>3</v>
      </c>
      <c r="K822" s="8">
        <v>0</v>
      </c>
    </row>
    <row r="823" spans="1:11">
      <c r="A823" s="2" t="s">
        <v>607</v>
      </c>
      <c r="B823" s="2" t="s">
        <v>1696</v>
      </c>
      <c r="C823" s="9">
        <v>10031418</v>
      </c>
      <c r="D823" s="2" t="s">
        <v>1706</v>
      </c>
      <c r="E823" s="10">
        <v>6</v>
      </c>
      <c r="F823" s="9" t="s">
        <v>1698</v>
      </c>
      <c r="G823" s="11">
        <v>46238</v>
      </c>
      <c r="H823" s="12">
        <v>34.43</v>
      </c>
      <c r="I823" s="12">
        <v>30.64</v>
      </c>
      <c r="J823" s="9" t="s">
        <v>3</v>
      </c>
      <c r="K823" s="8">
        <v>0</v>
      </c>
    </row>
    <row r="824" spans="1:11">
      <c r="A824" s="2" t="s">
        <v>607</v>
      </c>
      <c r="B824" s="2" t="s">
        <v>1696</v>
      </c>
      <c r="C824" s="9">
        <v>10031419</v>
      </c>
      <c r="D824" s="2" t="s">
        <v>1707</v>
      </c>
      <c r="E824" s="10">
        <v>6</v>
      </c>
      <c r="F824" s="9" t="s">
        <v>1698</v>
      </c>
      <c r="G824" s="11">
        <v>46238</v>
      </c>
      <c r="H824" s="12">
        <v>34.43</v>
      </c>
      <c r="I824" s="12">
        <v>30.64</v>
      </c>
      <c r="J824" s="9" t="s">
        <v>3</v>
      </c>
      <c r="K824" s="8">
        <v>0</v>
      </c>
    </row>
    <row r="825" spans="1:11">
      <c r="A825" s="2" t="s">
        <v>607</v>
      </c>
      <c r="B825" s="2" t="s">
        <v>1696</v>
      </c>
      <c r="C825" s="9">
        <v>10031421</v>
      </c>
      <c r="D825" s="2" t="s">
        <v>1708</v>
      </c>
      <c r="E825" s="10">
        <v>6</v>
      </c>
      <c r="F825" s="9" t="s">
        <v>1698</v>
      </c>
      <c r="G825" s="11">
        <v>46238</v>
      </c>
      <c r="H825" s="12">
        <v>34.43</v>
      </c>
      <c r="I825" s="12">
        <v>30.64</v>
      </c>
      <c r="J825" s="9" t="s">
        <v>3</v>
      </c>
      <c r="K825" s="8">
        <v>0</v>
      </c>
    </row>
    <row r="826" spans="1:11">
      <c r="A826" s="2" t="s">
        <v>607</v>
      </c>
      <c r="B826" s="2" t="s">
        <v>1696</v>
      </c>
      <c r="C826" s="9">
        <v>10031423</v>
      </c>
      <c r="D826" s="2" t="s">
        <v>1709</v>
      </c>
      <c r="E826" s="10">
        <v>6</v>
      </c>
      <c r="F826" s="9" t="s">
        <v>1698</v>
      </c>
      <c r="G826" s="11">
        <v>46238</v>
      </c>
      <c r="H826" s="12">
        <v>34.43</v>
      </c>
      <c r="I826" s="12">
        <v>30.64</v>
      </c>
      <c r="J826" s="9" t="s">
        <v>3</v>
      </c>
      <c r="K826" s="8">
        <v>0</v>
      </c>
    </row>
    <row r="827" spans="1:11">
      <c r="A827" s="2" t="s">
        <v>607</v>
      </c>
      <c r="B827" s="2" t="s">
        <v>1696</v>
      </c>
      <c r="C827" s="9">
        <v>10031427</v>
      </c>
      <c r="D827" s="2" t="s">
        <v>1710</v>
      </c>
      <c r="E827" s="10">
        <v>6</v>
      </c>
      <c r="F827" s="9" t="s">
        <v>1698</v>
      </c>
      <c r="G827" s="11">
        <v>46238</v>
      </c>
      <c r="H827" s="12">
        <v>36.33</v>
      </c>
      <c r="I827" s="12">
        <v>32.33</v>
      </c>
      <c r="J827" s="9" t="s">
        <v>3</v>
      </c>
      <c r="K827" s="8">
        <v>0</v>
      </c>
    </row>
    <row r="828" spans="1:11">
      <c r="A828" s="2" t="s">
        <v>607</v>
      </c>
      <c r="B828" s="2" t="s">
        <v>1696</v>
      </c>
      <c r="C828" s="9">
        <v>10031428</v>
      </c>
      <c r="D828" s="2" t="s">
        <v>1711</v>
      </c>
      <c r="E828" s="10">
        <v>6</v>
      </c>
      <c r="F828" s="9" t="s">
        <v>1698</v>
      </c>
      <c r="G828" s="11">
        <v>46238</v>
      </c>
      <c r="H828" s="12">
        <v>36.33</v>
      </c>
      <c r="I828" s="12">
        <v>32.33</v>
      </c>
      <c r="J828" s="9" t="s">
        <v>3</v>
      </c>
      <c r="K828" s="8">
        <v>0</v>
      </c>
    </row>
    <row r="829" spans="1:11">
      <c r="A829" s="2" t="s">
        <v>708</v>
      </c>
      <c r="B829" s="2" t="s">
        <v>1679</v>
      </c>
      <c r="C829" s="9">
        <v>10031500</v>
      </c>
      <c r="D829" s="2" t="s">
        <v>1712</v>
      </c>
      <c r="E829" s="10">
        <v>6</v>
      </c>
      <c r="F829" s="9" t="s">
        <v>808</v>
      </c>
      <c r="G829" s="11">
        <v>46238</v>
      </c>
      <c r="H829" s="12">
        <v>55.09</v>
      </c>
      <c r="I829" s="12">
        <v>49.05</v>
      </c>
      <c r="J829" s="9" t="s">
        <v>3</v>
      </c>
      <c r="K829" s="8">
        <v>0</v>
      </c>
    </row>
    <row r="830" spans="1:11">
      <c r="A830" s="2" t="s">
        <v>708</v>
      </c>
      <c r="B830" s="2" t="s">
        <v>1679</v>
      </c>
      <c r="C830" s="9">
        <v>10031503</v>
      </c>
      <c r="D830" s="2" t="s">
        <v>1713</v>
      </c>
      <c r="E830" s="10">
        <v>6</v>
      </c>
      <c r="F830" s="9" t="s">
        <v>1714</v>
      </c>
      <c r="G830" s="11">
        <v>46238</v>
      </c>
      <c r="H830" s="12">
        <v>55.09</v>
      </c>
      <c r="I830" s="12">
        <v>49.05</v>
      </c>
      <c r="J830" s="9" t="s">
        <v>3</v>
      </c>
      <c r="K830" s="8">
        <v>0</v>
      </c>
    </row>
    <row r="831" spans="1:11">
      <c r="A831" s="2" t="s">
        <v>708</v>
      </c>
      <c r="B831" s="2" t="s">
        <v>1679</v>
      </c>
      <c r="C831" s="9">
        <v>10031504</v>
      </c>
      <c r="D831" s="2" t="s">
        <v>1715</v>
      </c>
      <c r="E831" s="10">
        <v>6</v>
      </c>
      <c r="F831" s="9" t="s">
        <v>1716</v>
      </c>
      <c r="G831" s="11">
        <v>46238</v>
      </c>
      <c r="H831" s="12">
        <v>63.69</v>
      </c>
      <c r="I831" s="12">
        <v>56.69</v>
      </c>
      <c r="J831" s="9" t="s">
        <v>3</v>
      </c>
      <c r="K831" s="8">
        <v>0</v>
      </c>
    </row>
    <row r="832" spans="1:11">
      <c r="A832" s="2" t="s">
        <v>708</v>
      </c>
      <c r="B832" s="2" t="s">
        <v>1679</v>
      </c>
      <c r="C832" s="9">
        <v>10031505</v>
      </c>
      <c r="D832" s="2" t="s">
        <v>1717</v>
      </c>
      <c r="E832" s="10">
        <v>6</v>
      </c>
      <c r="F832" s="9" t="s">
        <v>1718</v>
      </c>
      <c r="G832" s="11">
        <v>46238</v>
      </c>
      <c r="H832" s="12">
        <v>63.69</v>
      </c>
      <c r="I832" s="12">
        <v>56.69</v>
      </c>
      <c r="J832" s="9" t="s">
        <v>3</v>
      </c>
      <c r="K832" s="8">
        <v>0</v>
      </c>
    </row>
    <row r="833" spans="1:11">
      <c r="A833" s="2" t="s">
        <v>708</v>
      </c>
      <c r="B833" s="2" t="s">
        <v>1679</v>
      </c>
      <c r="C833" s="9">
        <v>10031506</v>
      </c>
      <c r="D833" s="2" t="s">
        <v>1719</v>
      </c>
      <c r="E833" s="10">
        <v>6</v>
      </c>
      <c r="F833" s="9" t="s">
        <v>1720</v>
      </c>
      <c r="G833" s="11">
        <v>46238</v>
      </c>
      <c r="H833" s="12">
        <v>55.09</v>
      </c>
      <c r="I833" s="12">
        <v>49.05</v>
      </c>
      <c r="J833" s="9" t="s">
        <v>3</v>
      </c>
      <c r="K833" s="8">
        <v>0</v>
      </c>
    </row>
    <row r="834" spans="1:11">
      <c r="A834" s="2" t="s">
        <v>708</v>
      </c>
      <c r="B834" s="2" t="s">
        <v>1679</v>
      </c>
      <c r="C834" s="9">
        <v>10031507</v>
      </c>
      <c r="D834" s="2" t="s">
        <v>1721</v>
      </c>
      <c r="E834" s="10">
        <v>6</v>
      </c>
      <c r="F834" s="9" t="s">
        <v>1722</v>
      </c>
      <c r="G834" s="11">
        <v>46238</v>
      </c>
      <c r="H834" s="12">
        <v>55.09</v>
      </c>
      <c r="I834" s="12">
        <v>49.05</v>
      </c>
      <c r="J834" s="9" t="s">
        <v>3</v>
      </c>
      <c r="K834" s="8">
        <v>0</v>
      </c>
    </row>
    <row r="835" spans="1:11">
      <c r="A835" s="2" t="s">
        <v>708</v>
      </c>
      <c r="B835" s="2" t="s">
        <v>1679</v>
      </c>
      <c r="C835" s="9">
        <v>10031508</v>
      </c>
      <c r="D835" s="2" t="s">
        <v>1723</v>
      </c>
      <c r="E835" s="10">
        <v>6</v>
      </c>
      <c r="F835" s="9" t="s">
        <v>1724</v>
      </c>
      <c r="G835" s="11">
        <v>46238</v>
      </c>
      <c r="H835" s="12">
        <v>55.09</v>
      </c>
      <c r="I835" s="12">
        <v>49.05</v>
      </c>
      <c r="J835" s="9" t="s">
        <v>3</v>
      </c>
      <c r="K835" s="8">
        <v>0</v>
      </c>
    </row>
    <row r="836" spans="1:11">
      <c r="A836" s="2" t="s">
        <v>708</v>
      </c>
      <c r="B836" s="2" t="s">
        <v>1679</v>
      </c>
      <c r="C836" s="9">
        <v>10031509</v>
      </c>
      <c r="D836" s="2" t="s">
        <v>1725</v>
      </c>
      <c r="E836" s="10">
        <v>6</v>
      </c>
      <c r="F836" s="9" t="s">
        <v>1726</v>
      </c>
      <c r="G836" s="11">
        <v>46238</v>
      </c>
      <c r="H836" s="12">
        <v>63.69</v>
      </c>
      <c r="I836" s="12">
        <v>56.69</v>
      </c>
      <c r="J836" s="9" t="s">
        <v>3</v>
      </c>
      <c r="K836" s="8">
        <v>0</v>
      </c>
    </row>
    <row r="837" spans="1:11">
      <c r="A837" s="2" t="s">
        <v>708</v>
      </c>
      <c r="B837" s="2" t="s">
        <v>1679</v>
      </c>
      <c r="C837" s="9">
        <v>10031510</v>
      </c>
      <c r="D837" s="2" t="s">
        <v>1727</v>
      </c>
      <c r="E837" s="10">
        <v>6</v>
      </c>
      <c r="F837" s="9" t="s">
        <v>1728</v>
      </c>
      <c r="G837" s="11">
        <v>46238</v>
      </c>
      <c r="H837" s="12">
        <v>63.69</v>
      </c>
      <c r="I837" s="12">
        <v>56.69</v>
      </c>
      <c r="J837" s="9" t="s">
        <v>3</v>
      </c>
      <c r="K837" s="8">
        <v>0</v>
      </c>
    </row>
    <row r="838" spans="1:11">
      <c r="A838" s="2" t="s">
        <v>708</v>
      </c>
      <c r="B838" s="2" t="s">
        <v>1679</v>
      </c>
      <c r="C838" s="9">
        <v>10031511</v>
      </c>
      <c r="D838" s="2" t="s">
        <v>1729</v>
      </c>
      <c r="E838" s="10">
        <v>6</v>
      </c>
      <c r="F838" s="9" t="s">
        <v>1730</v>
      </c>
      <c r="G838" s="11">
        <v>46238</v>
      </c>
      <c r="H838" s="12">
        <v>55.09</v>
      </c>
      <c r="I838" s="12">
        <v>49.05</v>
      </c>
      <c r="J838" s="9" t="s">
        <v>3</v>
      </c>
      <c r="K838" s="8">
        <v>0</v>
      </c>
    </row>
    <row r="839" spans="1:11">
      <c r="A839" s="2" t="s">
        <v>708</v>
      </c>
      <c r="B839" s="2" t="s">
        <v>1679</v>
      </c>
      <c r="C839" s="9">
        <v>10031513</v>
      </c>
      <c r="D839" s="2" t="s">
        <v>1731</v>
      </c>
      <c r="E839" s="10">
        <v>6</v>
      </c>
      <c r="F839" s="9" t="s">
        <v>1732</v>
      </c>
      <c r="G839" s="11">
        <v>46238</v>
      </c>
      <c r="H839" s="12">
        <v>55.09</v>
      </c>
      <c r="I839" s="12">
        <v>49.05</v>
      </c>
      <c r="J839" s="9" t="s">
        <v>3</v>
      </c>
      <c r="K839" s="8">
        <v>0</v>
      </c>
    </row>
    <row r="840" spans="1:11">
      <c r="A840" s="2" t="s">
        <v>708</v>
      </c>
      <c r="B840" s="2" t="s">
        <v>1679</v>
      </c>
      <c r="C840" s="9">
        <v>10031514</v>
      </c>
      <c r="D840" s="2" t="s">
        <v>1733</v>
      </c>
      <c r="E840" s="10">
        <v>6</v>
      </c>
      <c r="F840" s="9" t="s">
        <v>1734</v>
      </c>
      <c r="G840" s="11">
        <v>46238</v>
      </c>
      <c r="H840" s="12">
        <v>55.09</v>
      </c>
      <c r="I840" s="12">
        <v>49.05</v>
      </c>
      <c r="J840" s="9" t="s">
        <v>3</v>
      </c>
      <c r="K840" s="8">
        <v>0</v>
      </c>
    </row>
    <row r="841" spans="1:11">
      <c r="A841" s="2" t="s">
        <v>708</v>
      </c>
      <c r="B841" s="2" t="s">
        <v>1679</v>
      </c>
      <c r="C841" s="9">
        <v>10031515</v>
      </c>
      <c r="D841" s="2" t="s">
        <v>1735</v>
      </c>
      <c r="E841" s="10">
        <v>6</v>
      </c>
      <c r="F841" s="9" t="s">
        <v>1716</v>
      </c>
      <c r="G841" s="11">
        <v>46238</v>
      </c>
      <c r="H841" s="12">
        <v>63.69</v>
      </c>
      <c r="I841" s="12">
        <v>56.69</v>
      </c>
      <c r="J841" s="9" t="s">
        <v>3</v>
      </c>
      <c r="K841" s="8">
        <v>0</v>
      </c>
    </row>
    <row r="842" spans="1:11">
      <c r="A842" s="2" t="s">
        <v>708</v>
      </c>
      <c r="B842" s="2" t="s">
        <v>1679</v>
      </c>
      <c r="C842" s="9">
        <v>10031516</v>
      </c>
      <c r="D842" s="2" t="s">
        <v>1736</v>
      </c>
      <c r="E842" s="10">
        <v>6</v>
      </c>
      <c r="F842" s="9" t="s">
        <v>1718</v>
      </c>
      <c r="G842" s="11">
        <v>46238</v>
      </c>
      <c r="H842" s="12">
        <v>55.09</v>
      </c>
      <c r="I842" s="12">
        <v>49.05</v>
      </c>
      <c r="J842" s="9" t="s">
        <v>3</v>
      </c>
      <c r="K842" s="8">
        <v>0</v>
      </c>
    </row>
    <row r="843" spans="1:11">
      <c r="A843" s="2" t="s">
        <v>708</v>
      </c>
      <c r="B843" s="2" t="s">
        <v>1679</v>
      </c>
      <c r="C843" s="9">
        <v>10031517</v>
      </c>
      <c r="D843" s="2" t="s">
        <v>1737</v>
      </c>
      <c r="E843" s="10">
        <v>6</v>
      </c>
      <c r="F843" s="9" t="s">
        <v>1738</v>
      </c>
      <c r="G843" s="11">
        <v>46238</v>
      </c>
      <c r="H843" s="12">
        <v>55.09</v>
      </c>
      <c r="I843" s="12">
        <v>49.05</v>
      </c>
      <c r="J843" s="9" t="s">
        <v>3</v>
      </c>
      <c r="K843" s="8">
        <v>0</v>
      </c>
    </row>
    <row r="844" spans="1:11">
      <c r="A844" s="2" t="s">
        <v>708</v>
      </c>
      <c r="B844" s="2" t="s">
        <v>1679</v>
      </c>
      <c r="C844" s="9">
        <v>10031518</v>
      </c>
      <c r="D844" s="2" t="s">
        <v>1739</v>
      </c>
      <c r="E844" s="10">
        <v>6</v>
      </c>
      <c r="F844" s="9" t="s">
        <v>1730</v>
      </c>
      <c r="G844" s="11">
        <v>46238</v>
      </c>
      <c r="H844" s="12">
        <v>55.09</v>
      </c>
      <c r="I844" s="12">
        <v>49.05</v>
      </c>
      <c r="J844" s="9" t="s">
        <v>3</v>
      </c>
      <c r="K844" s="8">
        <v>0</v>
      </c>
    </row>
    <row r="845" spans="1:11">
      <c r="A845" s="2" t="s">
        <v>607</v>
      </c>
      <c r="B845" s="2" t="s">
        <v>1696</v>
      </c>
      <c r="C845" s="9">
        <v>10031524</v>
      </c>
      <c r="D845" s="2" t="s">
        <v>1740</v>
      </c>
      <c r="E845" s="10">
        <v>6</v>
      </c>
      <c r="F845" s="9" t="s">
        <v>1698</v>
      </c>
      <c r="G845" s="11">
        <v>46238</v>
      </c>
      <c r="H845" s="12">
        <v>34.43</v>
      </c>
      <c r="I845" s="12">
        <v>30.64</v>
      </c>
      <c r="J845" s="9" t="s">
        <v>3</v>
      </c>
      <c r="K845" s="8">
        <v>0</v>
      </c>
    </row>
    <row r="846" spans="1:11">
      <c r="A846" s="2" t="s">
        <v>607</v>
      </c>
      <c r="B846" s="2" t="s">
        <v>1696</v>
      </c>
      <c r="C846" s="9">
        <v>10031525</v>
      </c>
      <c r="D846" s="2" t="s">
        <v>1741</v>
      </c>
      <c r="E846" s="10">
        <v>6</v>
      </c>
      <c r="F846" s="9" t="s">
        <v>1698</v>
      </c>
      <c r="G846" s="11">
        <v>46238</v>
      </c>
      <c r="H846" s="12">
        <v>34.43</v>
      </c>
      <c r="I846" s="12">
        <v>30.64</v>
      </c>
      <c r="J846" s="9" t="s">
        <v>3</v>
      </c>
      <c r="K846" s="8">
        <v>0</v>
      </c>
    </row>
    <row r="847" spans="1:11">
      <c r="A847" s="2" t="s">
        <v>708</v>
      </c>
      <c r="B847" s="2" t="s">
        <v>1679</v>
      </c>
      <c r="C847" s="9">
        <v>10031526</v>
      </c>
      <c r="D847" s="2" t="s">
        <v>1742</v>
      </c>
      <c r="E847" s="10">
        <v>6</v>
      </c>
      <c r="F847" s="9" t="s">
        <v>1743</v>
      </c>
      <c r="G847" s="11">
        <v>46238</v>
      </c>
      <c r="H847" s="12">
        <v>55.09</v>
      </c>
      <c r="I847" s="12">
        <v>49.05</v>
      </c>
      <c r="J847" s="9" t="s">
        <v>3</v>
      </c>
      <c r="K847" s="8">
        <v>0</v>
      </c>
    </row>
    <row r="848" spans="1:11">
      <c r="A848" s="2" t="s">
        <v>708</v>
      </c>
      <c r="B848" s="2" t="s">
        <v>1679</v>
      </c>
      <c r="C848" s="9">
        <v>10031528</v>
      </c>
      <c r="D848" s="2" t="s">
        <v>1744</v>
      </c>
      <c r="E848" s="10">
        <v>6</v>
      </c>
      <c r="F848" s="9" t="s">
        <v>1732</v>
      </c>
      <c r="G848" s="11">
        <v>46238</v>
      </c>
      <c r="H848" s="12">
        <v>55.09</v>
      </c>
      <c r="I848" s="12">
        <v>49.05</v>
      </c>
      <c r="J848" s="9" t="s">
        <v>3</v>
      </c>
      <c r="K848" s="8">
        <v>0</v>
      </c>
    </row>
    <row r="849" spans="1:11">
      <c r="A849" s="2" t="s">
        <v>607</v>
      </c>
      <c r="B849" s="2" t="s">
        <v>1696</v>
      </c>
      <c r="C849" s="9">
        <v>10031549</v>
      </c>
      <c r="D849" s="2" t="s">
        <v>1745</v>
      </c>
      <c r="E849" s="10">
        <v>6</v>
      </c>
      <c r="F849" s="9" t="s">
        <v>1698</v>
      </c>
      <c r="G849" s="11">
        <v>46238</v>
      </c>
      <c r="H849" s="12">
        <v>34.43</v>
      </c>
      <c r="I849" s="12">
        <v>30.64</v>
      </c>
      <c r="J849" s="9" t="s">
        <v>3</v>
      </c>
      <c r="K849" s="8">
        <v>0</v>
      </c>
    </row>
    <row r="850" spans="1:11">
      <c r="A850" s="2" t="s">
        <v>708</v>
      </c>
      <c r="B850" s="2" t="s">
        <v>1679</v>
      </c>
      <c r="C850" s="9">
        <v>10031608</v>
      </c>
      <c r="D850" s="2" t="s">
        <v>1746</v>
      </c>
      <c r="E850" s="10">
        <v>6</v>
      </c>
      <c r="F850" s="9" t="s">
        <v>1747</v>
      </c>
      <c r="G850" s="11">
        <v>46238</v>
      </c>
      <c r="H850" s="12">
        <v>117.23</v>
      </c>
      <c r="I850" s="12">
        <v>104.33</v>
      </c>
      <c r="J850" s="9" t="s">
        <v>3</v>
      </c>
      <c r="K850" s="8">
        <v>0</v>
      </c>
    </row>
    <row r="851" spans="1:11">
      <c r="A851" s="2" t="s">
        <v>708</v>
      </c>
      <c r="B851" s="2" t="s">
        <v>1679</v>
      </c>
      <c r="C851" s="9">
        <v>10031609</v>
      </c>
      <c r="D851" s="2" t="s">
        <v>1748</v>
      </c>
      <c r="E851" s="10">
        <v>6</v>
      </c>
      <c r="F851" s="9" t="s">
        <v>1747</v>
      </c>
      <c r="G851" s="11">
        <v>46238</v>
      </c>
      <c r="H851" s="12">
        <v>117.23</v>
      </c>
      <c r="I851" s="12">
        <v>104.33</v>
      </c>
      <c r="J851" s="9" t="s">
        <v>3</v>
      </c>
      <c r="K851" s="8">
        <v>0</v>
      </c>
    </row>
    <row r="852" spans="1:11">
      <c r="A852" s="2" t="s">
        <v>708</v>
      </c>
      <c r="B852" s="2" t="s">
        <v>1679</v>
      </c>
      <c r="C852" s="9">
        <v>10031610</v>
      </c>
      <c r="D852" s="2" t="s">
        <v>1749</v>
      </c>
      <c r="E852" s="10">
        <v>6</v>
      </c>
      <c r="F852" s="9" t="s">
        <v>1718</v>
      </c>
      <c r="G852" s="11">
        <v>46238</v>
      </c>
      <c r="H852" s="12">
        <v>54.7</v>
      </c>
      <c r="I852" s="12">
        <v>48.67</v>
      </c>
      <c r="J852" s="9" t="s">
        <v>3</v>
      </c>
      <c r="K852" s="8">
        <v>0</v>
      </c>
    </row>
    <row r="853" spans="1:11">
      <c r="A853" s="2" t="s">
        <v>708</v>
      </c>
      <c r="B853" s="2" t="s">
        <v>1679</v>
      </c>
      <c r="C853" s="9">
        <v>10031611</v>
      </c>
      <c r="D853" s="2" t="s">
        <v>1750</v>
      </c>
      <c r="E853" s="10">
        <v>6</v>
      </c>
      <c r="F853" s="9" t="s">
        <v>1751</v>
      </c>
      <c r="G853" s="11">
        <v>46238</v>
      </c>
      <c r="H853" s="12">
        <v>54.7</v>
      </c>
      <c r="I853" s="12">
        <v>48.67</v>
      </c>
      <c r="J853" s="9" t="s">
        <v>3</v>
      </c>
      <c r="K853" s="8">
        <v>0</v>
      </c>
    </row>
    <row r="854" spans="1:11">
      <c r="A854" s="2" t="s">
        <v>708</v>
      </c>
      <c r="B854" s="2" t="s">
        <v>1679</v>
      </c>
      <c r="C854" s="9">
        <v>10031612</v>
      </c>
      <c r="D854" s="2" t="s">
        <v>1752</v>
      </c>
      <c r="E854" s="10">
        <v>6</v>
      </c>
      <c r="F854" s="9" t="s">
        <v>1753</v>
      </c>
      <c r="G854" s="11">
        <v>46238</v>
      </c>
      <c r="H854" s="12">
        <v>55.09</v>
      </c>
      <c r="I854" s="12">
        <v>49.05</v>
      </c>
      <c r="J854" s="9" t="s">
        <v>3</v>
      </c>
      <c r="K854" s="8">
        <v>0</v>
      </c>
    </row>
    <row r="855" spans="1:11">
      <c r="A855" s="2" t="s">
        <v>708</v>
      </c>
      <c r="B855" s="2" t="s">
        <v>1679</v>
      </c>
      <c r="C855" s="9">
        <v>10031623</v>
      </c>
      <c r="D855" s="2" t="s">
        <v>1754</v>
      </c>
      <c r="E855" s="10">
        <v>8</v>
      </c>
      <c r="F855" s="9" t="s">
        <v>811</v>
      </c>
      <c r="G855" s="11">
        <v>46238</v>
      </c>
      <c r="H855" s="12">
        <v>44.43</v>
      </c>
      <c r="I855" s="12">
        <v>39.549999999999997</v>
      </c>
      <c r="J855" s="9" t="s">
        <v>3</v>
      </c>
      <c r="K855" s="8">
        <v>0</v>
      </c>
    </row>
    <row r="856" spans="1:11">
      <c r="A856" s="2" t="s">
        <v>708</v>
      </c>
      <c r="B856" s="2" t="s">
        <v>1679</v>
      </c>
      <c r="C856" s="9">
        <v>10031624</v>
      </c>
      <c r="D856" s="2" t="s">
        <v>1755</v>
      </c>
      <c r="E856" s="10">
        <v>8</v>
      </c>
      <c r="F856" s="9" t="s">
        <v>1756</v>
      </c>
      <c r="G856" s="11">
        <v>46238</v>
      </c>
      <c r="H856" s="12">
        <v>44.43</v>
      </c>
      <c r="I856" s="12">
        <v>39.549999999999997</v>
      </c>
      <c r="J856" s="9" t="s">
        <v>3</v>
      </c>
      <c r="K856" s="8">
        <v>0</v>
      </c>
    </row>
    <row r="857" spans="1:11">
      <c r="A857" s="2" t="s">
        <v>708</v>
      </c>
      <c r="B857" s="2" t="s">
        <v>1679</v>
      </c>
      <c r="C857" s="9">
        <v>10031625</v>
      </c>
      <c r="D857" s="2" t="s">
        <v>1757</v>
      </c>
      <c r="E857" s="10">
        <v>8</v>
      </c>
      <c r="F857" s="9" t="s">
        <v>1758</v>
      </c>
      <c r="G857" s="11">
        <v>46238</v>
      </c>
      <c r="H857" s="12">
        <v>44.43</v>
      </c>
      <c r="I857" s="12">
        <v>39.549999999999997</v>
      </c>
      <c r="J857" s="9" t="s">
        <v>3</v>
      </c>
      <c r="K857" s="8">
        <v>0</v>
      </c>
    </row>
    <row r="858" spans="1:11">
      <c r="A858" s="2" t="s">
        <v>708</v>
      </c>
      <c r="B858" s="2" t="s">
        <v>1679</v>
      </c>
      <c r="C858" s="9">
        <v>10031626</v>
      </c>
      <c r="D858" s="2" t="s">
        <v>1759</v>
      </c>
      <c r="E858" s="10">
        <v>8</v>
      </c>
      <c r="F858" s="9" t="s">
        <v>1760</v>
      </c>
      <c r="G858" s="11">
        <v>46238</v>
      </c>
      <c r="H858" s="12">
        <v>44.43</v>
      </c>
      <c r="I858" s="12">
        <v>39.549999999999997</v>
      </c>
      <c r="J858" s="9" t="s">
        <v>3</v>
      </c>
      <c r="K858" s="8">
        <v>0</v>
      </c>
    </row>
    <row r="859" spans="1:11">
      <c r="A859" s="2" t="s">
        <v>708</v>
      </c>
      <c r="B859" s="2" t="s">
        <v>1679</v>
      </c>
      <c r="C859" s="9">
        <v>10031627</v>
      </c>
      <c r="D859" s="2" t="s">
        <v>1761</v>
      </c>
      <c r="E859" s="10">
        <v>8</v>
      </c>
      <c r="F859" s="9" t="s">
        <v>1762</v>
      </c>
      <c r="G859" s="11">
        <v>46238</v>
      </c>
      <c r="H859" s="12">
        <v>44.43</v>
      </c>
      <c r="I859" s="12">
        <v>39.549999999999997</v>
      </c>
      <c r="J859" s="9" t="s">
        <v>3</v>
      </c>
      <c r="K859" s="8">
        <v>0</v>
      </c>
    </row>
    <row r="860" spans="1:11">
      <c r="A860" s="2" t="s">
        <v>708</v>
      </c>
      <c r="B860" s="2" t="s">
        <v>1679</v>
      </c>
      <c r="C860" s="9">
        <v>10031628</v>
      </c>
      <c r="D860" s="2" t="s">
        <v>1763</v>
      </c>
      <c r="E860" s="10">
        <v>8</v>
      </c>
      <c r="F860" s="9" t="s">
        <v>1764</v>
      </c>
      <c r="G860" s="11">
        <v>46238</v>
      </c>
      <c r="H860" s="12">
        <v>44.43</v>
      </c>
      <c r="I860" s="12">
        <v>39.549999999999997</v>
      </c>
      <c r="J860" s="9" t="s">
        <v>3</v>
      </c>
      <c r="K860" s="8">
        <v>0</v>
      </c>
    </row>
    <row r="861" spans="1:11">
      <c r="A861" s="2" t="s">
        <v>708</v>
      </c>
      <c r="B861" s="2" t="s">
        <v>1679</v>
      </c>
      <c r="C861" s="9">
        <v>10031629</v>
      </c>
      <c r="D861" s="2" t="s">
        <v>1765</v>
      </c>
      <c r="E861" s="10">
        <v>8</v>
      </c>
      <c r="F861" s="9" t="s">
        <v>1534</v>
      </c>
      <c r="G861" s="11">
        <v>46238</v>
      </c>
      <c r="H861" s="12">
        <v>44.43</v>
      </c>
      <c r="I861" s="12">
        <v>39.549999999999997</v>
      </c>
      <c r="J861" s="9" t="s">
        <v>3</v>
      </c>
      <c r="K861" s="8">
        <v>0</v>
      </c>
    </row>
    <row r="862" spans="1:11">
      <c r="A862" s="2" t="s">
        <v>708</v>
      </c>
      <c r="B862" s="2" t="s">
        <v>1679</v>
      </c>
      <c r="C862" s="9">
        <v>10031630</v>
      </c>
      <c r="D862" s="2" t="s">
        <v>1766</v>
      </c>
      <c r="E862" s="10">
        <v>8</v>
      </c>
      <c r="F862" s="9" t="s">
        <v>811</v>
      </c>
      <c r="G862" s="11">
        <v>46238</v>
      </c>
      <c r="H862" s="12">
        <v>44.43</v>
      </c>
      <c r="I862" s="12">
        <v>39.549999999999997</v>
      </c>
      <c r="J862" s="9" t="s">
        <v>3</v>
      </c>
      <c r="K862" s="8">
        <v>0</v>
      </c>
    </row>
    <row r="863" spans="1:11">
      <c r="A863" s="2" t="s">
        <v>925</v>
      </c>
      <c r="B863" s="2" t="s">
        <v>1767</v>
      </c>
      <c r="C863" s="9">
        <v>10031862</v>
      </c>
      <c r="D863" s="2" t="s">
        <v>1768</v>
      </c>
      <c r="E863" s="10">
        <v>12</v>
      </c>
      <c r="F863" s="9" t="s">
        <v>1769</v>
      </c>
      <c r="G863" s="11">
        <v>46238</v>
      </c>
      <c r="H863" s="12">
        <v>72.680000000000007</v>
      </c>
      <c r="I863" s="12">
        <v>64.72</v>
      </c>
      <c r="J863" s="9" t="s">
        <v>3</v>
      </c>
      <c r="K863" s="8">
        <v>0</v>
      </c>
    </row>
    <row r="864" spans="1:11">
      <c r="A864" s="2" t="s">
        <v>925</v>
      </c>
      <c r="B864" s="2" t="s">
        <v>1767</v>
      </c>
      <c r="C864" s="9">
        <v>10031864</v>
      </c>
      <c r="D864" s="2" t="s">
        <v>1770</v>
      </c>
      <c r="E864" s="10">
        <v>12</v>
      </c>
      <c r="F864" s="9" t="s">
        <v>1546</v>
      </c>
      <c r="G864" s="11">
        <v>46238</v>
      </c>
      <c r="H864" s="12">
        <v>51.24</v>
      </c>
      <c r="I864" s="12">
        <v>45.59</v>
      </c>
      <c r="J864" s="9" t="s">
        <v>3</v>
      </c>
      <c r="K864" s="8">
        <v>0</v>
      </c>
    </row>
    <row r="865" spans="1:11">
      <c r="A865" s="2" t="s">
        <v>1120</v>
      </c>
      <c r="B865" s="2" t="s">
        <v>1771</v>
      </c>
      <c r="C865" s="9">
        <v>10032127</v>
      </c>
      <c r="D865" s="2" t="s">
        <v>1772</v>
      </c>
      <c r="E865" s="10">
        <v>12</v>
      </c>
      <c r="F865" s="9" t="s">
        <v>1315</v>
      </c>
      <c r="G865" s="11">
        <v>46238</v>
      </c>
      <c r="H865" s="12">
        <v>179.88</v>
      </c>
      <c r="I865" s="12">
        <v>160.07</v>
      </c>
      <c r="J865" s="9" t="s">
        <v>3</v>
      </c>
      <c r="K865" s="8">
        <v>0</v>
      </c>
    </row>
    <row r="866" spans="1:11">
      <c r="A866" s="2" t="s">
        <v>687</v>
      </c>
      <c r="B866" s="2" t="s">
        <v>1773</v>
      </c>
      <c r="C866" s="9">
        <v>10032600</v>
      </c>
      <c r="D866" s="2" t="s">
        <v>1774</v>
      </c>
      <c r="E866" s="10">
        <v>8</v>
      </c>
      <c r="F866" s="9" t="s">
        <v>690</v>
      </c>
      <c r="G866" s="11">
        <v>46238</v>
      </c>
      <c r="H866" s="12">
        <v>54.22</v>
      </c>
      <c r="I866" s="12">
        <v>48.26</v>
      </c>
      <c r="J866" s="9" t="s">
        <v>3</v>
      </c>
      <c r="K866" s="8">
        <v>0</v>
      </c>
    </row>
    <row r="867" spans="1:11">
      <c r="A867" s="2" t="s">
        <v>687</v>
      </c>
      <c r="B867" s="2" t="s">
        <v>1773</v>
      </c>
      <c r="C867" s="9">
        <v>10032601</v>
      </c>
      <c r="D867" s="2" t="s">
        <v>1775</v>
      </c>
      <c r="E867" s="10">
        <v>8</v>
      </c>
      <c r="F867" s="9" t="s">
        <v>690</v>
      </c>
      <c r="G867" s="11">
        <v>46238</v>
      </c>
      <c r="H867" s="12">
        <v>54.22</v>
      </c>
      <c r="I867" s="12">
        <v>48.26</v>
      </c>
      <c r="J867" s="9" t="s">
        <v>3</v>
      </c>
      <c r="K867" s="8">
        <v>0</v>
      </c>
    </row>
    <row r="868" spans="1:11">
      <c r="A868" s="2" t="s">
        <v>687</v>
      </c>
      <c r="B868" s="2" t="s">
        <v>1773</v>
      </c>
      <c r="C868" s="9">
        <v>10032602</v>
      </c>
      <c r="D868" s="2" t="s">
        <v>1776</v>
      </c>
      <c r="E868" s="10">
        <v>8</v>
      </c>
      <c r="F868" s="9" t="s">
        <v>690</v>
      </c>
      <c r="G868" s="11">
        <v>46238</v>
      </c>
      <c r="H868" s="12">
        <v>54.22</v>
      </c>
      <c r="I868" s="12">
        <v>48.26</v>
      </c>
      <c r="J868" s="9" t="s">
        <v>3</v>
      </c>
      <c r="K868" s="8">
        <v>0</v>
      </c>
    </row>
    <row r="869" spans="1:11">
      <c r="A869" s="2" t="s">
        <v>687</v>
      </c>
      <c r="B869" s="2" t="s">
        <v>1773</v>
      </c>
      <c r="C869" s="9">
        <v>10032603</v>
      </c>
      <c r="D869" s="2" t="s">
        <v>1777</v>
      </c>
      <c r="E869" s="10">
        <v>6</v>
      </c>
      <c r="F869" s="9" t="s">
        <v>1323</v>
      </c>
      <c r="G869" s="11">
        <v>46238</v>
      </c>
      <c r="H869" s="12">
        <v>48.03</v>
      </c>
      <c r="I869" s="12">
        <v>42.75</v>
      </c>
      <c r="J869" s="9" t="s">
        <v>3</v>
      </c>
      <c r="K869" s="8">
        <v>0</v>
      </c>
    </row>
    <row r="870" spans="1:11">
      <c r="A870" s="2" t="s">
        <v>687</v>
      </c>
      <c r="B870" s="2" t="s">
        <v>1773</v>
      </c>
      <c r="C870" s="9">
        <v>10032604</v>
      </c>
      <c r="D870" s="2" t="s">
        <v>1778</v>
      </c>
      <c r="E870" s="10">
        <v>6</v>
      </c>
      <c r="F870" s="9" t="s">
        <v>1323</v>
      </c>
      <c r="G870" s="11">
        <v>46238</v>
      </c>
      <c r="H870" s="12">
        <v>48.03</v>
      </c>
      <c r="I870" s="12">
        <v>42.75</v>
      </c>
      <c r="J870" s="9" t="s">
        <v>3</v>
      </c>
      <c r="K870" s="8">
        <v>0</v>
      </c>
    </row>
    <row r="871" spans="1:11">
      <c r="A871" s="2" t="s">
        <v>687</v>
      </c>
      <c r="B871" s="2" t="s">
        <v>1773</v>
      </c>
      <c r="C871" s="9">
        <v>10032605</v>
      </c>
      <c r="D871" s="2" t="s">
        <v>1779</v>
      </c>
      <c r="E871" s="10">
        <v>6</v>
      </c>
      <c r="F871" s="9" t="s">
        <v>1323</v>
      </c>
      <c r="G871" s="11">
        <v>46238</v>
      </c>
      <c r="H871" s="12">
        <v>48.03</v>
      </c>
      <c r="I871" s="12">
        <v>42.75</v>
      </c>
      <c r="J871" s="9" t="s">
        <v>3</v>
      </c>
      <c r="K871" s="8">
        <v>0</v>
      </c>
    </row>
    <row r="872" spans="1:11">
      <c r="A872" s="2" t="s">
        <v>687</v>
      </c>
      <c r="B872" s="2" t="s">
        <v>1773</v>
      </c>
      <c r="C872" s="9">
        <v>10032606</v>
      </c>
      <c r="D872" s="2" t="s">
        <v>1780</v>
      </c>
      <c r="E872" s="10">
        <v>6</v>
      </c>
      <c r="F872" s="9" t="s">
        <v>1323</v>
      </c>
      <c r="G872" s="11">
        <v>46238</v>
      </c>
      <c r="H872" s="12">
        <v>48.03</v>
      </c>
      <c r="I872" s="12">
        <v>42.75</v>
      </c>
      <c r="J872" s="9" t="s">
        <v>3</v>
      </c>
      <c r="K872" s="8">
        <v>0</v>
      </c>
    </row>
    <row r="873" spans="1:11">
      <c r="A873" s="2" t="s">
        <v>687</v>
      </c>
      <c r="B873" s="2" t="s">
        <v>1773</v>
      </c>
      <c r="C873" s="9">
        <v>10032607</v>
      </c>
      <c r="D873" s="2" t="s">
        <v>1781</v>
      </c>
      <c r="E873" s="10">
        <v>6</v>
      </c>
      <c r="F873" s="9" t="s">
        <v>1511</v>
      </c>
      <c r="G873" s="11">
        <v>46238</v>
      </c>
      <c r="H873" s="12">
        <v>57.74</v>
      </c>
      <c r="I873" s="12">
        <v>51.39</v>
      </c>
      <c r="J873" s="9" t="s">
        <v>3</v>
      </c>
      <c r="K873" s="8">
        <v>0</v>
      </c>
    </row>
    <row r="874" spans="1:11">
      <c r="A874" s="2" t="s">
        <v>687</v>
      </c>
      <c r="B874" s="2" t="s">
        <v>1773</v>
      </c>
      <c r="C874" s="9">
        <v>10032608</v>
      </c>
      <c r="D874" s="2" t="s">
        <v>1782</v>
      </c>
      <c r="E874" s="10">
        <v>6</v>
      </c>
      <c r="F874" s="9" t="s">
        <v>693</v>
      </c>
      <c r="G874" s="11">
        <v>46238</v>
      </c>
      <c r="H874" s="12">
        <v>43.85</v>
      </c>
      <c r="I874" s="12">
        <v>39.03</v>
      </c>
      <c r="J874" s="9" t="s">
        <v>3</v>
      </c>
      <c r="K874" s="8">
        <v>0</v>
      </c>
    </row>
    <row r="875" spans="1:11">
      <c r="A875" s="2" t="s">
        <v>687</v>
      </c>
      <c r="B875" s="2" t="s">
        <v>1773</v>
      </c>
      <c r="C875" s="9">
        <v>10032609</v>
      </c>
      <c r="D875" s="2" t="s">
        <v>1783</v>
      </c>
      <c r="E875" s="10">
        <v>6</v>
      </c>
      <c r="F875" s="9" t="s">
        <v>693</v>
      </c>
      <c r="G875" s="11">
        <v>46238</v>
      </c>
      <c r="H875" s="12">
        <v>43.85</v>
      </c>
      <c r="I875" s="12">
        <v>39.03</v>
      </c>
      <c r="J875" s="9" t="s">
        <v>3</v>
      </c>
      <c r="K875" s="8">
        <v>0</v>
      </c>
    </row>
    <row r="876" spans="1:11">
      <c r="A876" s="2" t="s">
        <v>687</v>
      </c>
      <c r="B876" s="2" t="s">
        <v>1773</v>
      </c>
      <c r="C876" s="9">
        <v>10032610</v>
      </c>
      <c r="D876" s="2" t="s">
        <v>1784</v>
      </c>
      <c r="E876" s="10">
        <v>6</v>
      </c>
      <c r="F876" s="9" t="s">
        <v>693</v>
      </c>
      <c r="G876" s="11">
        <v>46238</v>
      </c>
      <c r="H876" s="12">
        <v>40.74</v>
      </c>
      <c r="I876" s="12">
        <v>36.26</v>
      </c>
      <c r="J876" s="9" t="s">
        <v>3</v>
      </c>
      <c r="K876" s="8">
        <v>0</v>
      </c>
    </row>
    <row r="877" spans="1:11">
      <c r="A877" s="2" t="s">
        <v>687</v>
      </c>
      <c r="B877" s="2" t="s">
        <v>1773</v>
      </c>
      <c r="C877" s="9">
        <v>10032611</v>
      </c>
      <c r="D877" s="2" t="s">
        <v>1785</v>
      </c>
      <c r="E877" s="10">
        <v>6</v>
      </c>
      <c r="F877" s="9" t="s">
        <v>693</v>
      </c>
      <c r="G877" s="11">
        <v>46238</v>
      </c>
      <c r="H877" s="12">
        <v>40.74</v>
      </c>
      <c r="I877" s="12">
        <v>36.26</v>
      </c>
      <c r="J877" s="9" t="s">
        <v>3</v>
      </c>
      <c r="K877" s="8">
        <v>0</v>
      </c>
    </row>
    <row r="878" spans="1:11">
      <c r="A878" s="2" t="s">
        <v>1120</v>
      </c>
      <c r="B878" s="2" t="s">
        <v>1786</v>
      </c>
      <c r="C878" s="9">
        <v>10033002</v>
      </c>
      <c r="D878" s="2" t="s">
        <v>1787</v>
      </c>
      <c r="E878" s="10">
        <v>6</v>
      </c>
      <c r="F878" s="9" t="s">
        <v>1788</v>
      </c>
      <c r="G878" s="11">
        <v>46238</v>
      </c>
      <c r="H878" s="12">
        <v>116.09</v>
      </c>
      <c r="I878" s="12">
        <v>103.32</v>
      </c>
      <c r="J878" s="9" t="s">
        <v>3</v>
      </c>
      <c r="K878" s="8">
        <v>0</v>
      </c>
    </row>
    <row r="879" spans="1:11">
      <c r="A879" s="2" t="s">
        <v>1120</v>
      </c>
      <c r="B879" s="2" t="s">
        <v>1786</v>
      </c>
      <c r="C879" s="9">
        <v>10033005</v>
      </c>
      <c r="D879" s="2" t="s">
        <v>1789</v>
      </c>
      <c r="E879" s="10">
        <v>6</v>
      </c>
      <c r="F879" s="9" t="s">
        <v>1790</v>
      </c>
      <c r="G879" s="11">
        <v>46238</v>
      </c>
      <c r="H879" s="12">
        <v>133.15</v>
      </c>
      <c r="I879" s="12">
        <v>118.5</v>
      </c>
      <c r="J879" s="9" t="s">
        <v>3</v>
      </c>
      <c r="K879" s="8">
        <v>0</v>
      </c>
    </row>
    <row r="880" spans="1:11">
      <c r="A880" s="2" t="s">
        <v>842</v>
      </c>
      <c r="B880" s="2" t="s">
        <v>1791</v>
      </c>
      <c r="C880" s="9">
        <v>10033020</v>
      </c>
      <c r="D880" s="2" t="s">
        <v>1792</v>
      </c>
      <c r="E880" s="10">
        <v>8</v>
      </c>
      <c r="F880" s="9" t="s">
        <v>985</v>
      </c>
      <c r="G880" s="11">
        <v>46238</v>
      </c>
      <c r="H880" s="12">
        <v>53.57</v>
      </c>
      <c r="I880" s="12">
        <v>48.28</v>
      </c>
      <c r="J880" s="9" t="s">
        <v>3</v>
      </c>
      <c r="K880" s="8">
        <v>0</v>
      </c>
    </row>
    <row r="881" spans="1:11">
      <c r="A881" s="2" t="s">
        <v>842</v>
      </c>
      <c r="B881" s="2" t="s">
        <v>1791</v>
      </c>
      <c r="C881" s="9">
        <v>10033021</v>
      </c>
      <c r="D881" s="2" t="s">
        <v>1793</v>
      </c>
      <c r="E881" s="10">
        <v>8</v>
      </c>
      <c r="F881" s="9" t="s">
        <v>985</v>
      </c>
      <c r="G881" s="11">
        <v>46238</v>
      </c>
      <c r="H881" s="12">
        <v>53.57</v>
      </c>
      <c r="I881" s="12">
        <v>48.28</v>
      </c>
      <c r="J881" s="9" t="s">
        <v>3</v>
      </c>
      <c r="K881" s="8">
        <v>0</v>
      </c>
    </row>
    <row r="882" spans="1:11">
      <c r="A882" s="2" t="s">
        <v>842</v>
      </c>
      <c r="B882" s="2" t="s">
        <v>1791</v>
      </c>
      <c r="C882" s="9">
        <v>10033023</v>
      </c>
      <c r="D882" s="2" t="s">
        <v>1794</v>
      </c>
      <c r="E882" s="10">
        <v>8</v>
      </c>
      <c r="F882" s="9" t="s">
        <v>985</v>
      </c>
      <c r="G882" s="11">
        <v>46238</v>
      </c>
      <c r="H882" s="12">
        <v>53.57</v>
      </c>
      <c r="I882" s="12">
        <v>48.28</v>
      </c>
      <c r="J882" s="9" t="s">
        <v>3</v>
      </c>
      <c r="K882" s="8">
        <v>0</v>
      </c>
    </row>
    <row r="883" spans="1:11">
      <c r="A883" s="2" t="s">
        <v>834</v>
      </c>
      <c r="B883" s="2" t="s">
        <v>1795</v>
      </c>
      <c r="C883" s="9">
        <v>10033030</v>
      </c>
      <c r="D883" s="2" t="s">
        <v>1796</v>
      </c>
      <c r="E883" s="10">
        <v>12</v>
      </c>
      <c r="F883" s="9" t="s">
        <v>1797</v>
      </c>
      <c r="G883" s="11">
        <v>46238</v>
      </c>
      <c r="H883" s="12">
        <v>76.63</v>
      </c>
      <c r="I883" s="12">
        <v>70.5</v>
      </c>
      <c r="J883" s="9" t="s">
        <v>3</v>
      </c>
      <c r="K883" s="8">
        <v>0</v>
      </c>
    </row>
    <row r="884" spans="1:11">
      <c r="A884" s="2" t="s">
        <v>834</v>
      </c>
      <c r="B884" s="2" t="s">
        <v>1795</v>
      </c>
      <c r="C884" s="9">
        <v>10033031</v>
      </c>
      <c r="D884" s="2" t="s">
        <v>1798</v>
      </c>
      <c r="E884" s="10">
        <v>12</v>
      </c>
      <c r="F884" s="9" t="s">
        <v>1797</v>
      </c>
      <c r="G884" s="11">
        <v>46238</v>
      </c>
      <c r="H884" s="12">
        <v>81.75</v>
      </c>
      <c r="I884" s="12">
        <v>75.209999999999994</v>
      </c>
      <c r="J884" s="9" t="s">
        <v>3</v>
      </c>
      <c r="K884" s="8">
        <v>0</v>
      </c>
    </row>
    <row r="885" spans="1:11">
      <c r="A885" s="2" t="s">
        <v>834</v>
      </c>
      <c r="B885" s="2" t="s">
        <v>1795</v>
      </c>
      <c r="C885" s="9">
        <v>10033032</v>
      </c>
      <c r="D885" s="2" t="s">
        <v>1799</v>
      </c>
      <c r="E885" s="10">
        <v>12</v>
      </c>
      <c r="F885" s="9" t="s">
        <v>1797</v>
      </c>
      <c r="G885" s="11">
        <v>46238</v>
      </c>
      <c r="H885" s="12">
        <v>79.2</v>
      </c>
      <c r="I885" s="12">
        <v>72.86</v>
      </c>
      <c r="J885" s="9" t="s">
        <v>3</v>
      </c>
      <c r="K885" s="8">
        <v>0</v>
      </c>
    </row>
    <row r="886" spans="1:11">
      <c r="A886" s="2" t="s">
        <v>834</v>
      </c>
      <c r="B886" s="2" t="s">
        <v>1795</v>
      </c>
      <c r="C886" s="9">
        <v>10033033</v>
      </c>
      <c r="D886" s="2" t="s">
        <v>1800</v>
      </c>
      <c r="E886" s="10">
        <v>12</v>
      </c>
      <c r="F886" s="9" t="s">
        <v>1797</v>
      </c>
      <c r="G886" s="11">
        <v>46238</v>
      </c>
      <c r="H886" s="12">
        <v>79.2</v>
      </c>
      <c r="I886" s="12">
        <v>72.86</v>
      </c>
      <c r="J886" s="9" t="s">
        <v>3</v>
      </c>
      <c r="K886" s="8">
        <v>0</v>
      </c>
    </row>
    <row r="887" spans="1:11">
      <c r="A887" s="2" t="s">
        <v>834</v>
      </c>
      <c r="B887" s="2" t="s">
        <v>1795</v>
      </c>
      <c r="C887" s="9">
        <v>10033034</v>
      </c>
      <c r="D887" s="2" t="s">
        <v>1801</v>
      </c>
      <c r="E887" s="10">
        <v>12</v>
      </c>
      <c r="F887" s="9" t="s">
        <v>1797</v>
      </c>
      <c r="G887" s="11">
        <v>46238</v>
      </c>
      <c r="H887" s="12">
        <v>79.2</v>
      </c>
      <c r="I887" s="12">
        <v>72.86</v>
      </c>
      <c r="J887" s="9" t="s">
        <v>3</v>
      </c>
      <c r="K887" s="8">
        <v>0</v>
      </c>
    </row>
    <row r="888" spans="1:11">
      <c r="A888" s="2" t="s">
        <v>834</v>
      </c>
      <c r="B888" s="2" t="s">
        <v>1795</v>
      </c>
      <c r="C888" s="9">
        <v>10033035</v>
      </c>
      <c r="D888" s="2" t="s">
        <v>1802</v>
      </c>
      <c r="E888" s="10">
        <v>12</v>
      </c>
      <c r="F888" s="9" t="s">
        <v>1797</v>
      </c>
      <c r="G888" s="11">
        <v>46238</v>
      </c>
      <c r="H888" s="12">
        <v>85.02</v>
      </c>
      <c r="I888" s="12">
        <v>78.22</v>
      </c>
      <c r="J888" s="9" t="s">
        <v>3</v>
      </c>
      <c r="K888" s="8">
        <v>0</v>
      </c>
    </row>
    <row r="889" spans="1:11">
      <c r="A889" s="2" t="s">
        <v>834</v>
      </c>
      <c r="B889" s="2" t="s">
        <v>1795</v>
      </c>
      <c r="C889" s="9">
        <v>10033036</v>
      </c>
      <c r="D889" s="2" t="s">
        <v>1803</v>
      </c>
      <c r="E889" s="10">
        <v>12</v>
      </c>
      <c r="F889" s="9" t="s">
        <v>1797</v>
      </c>
      <c r="G889" s="11">
        <v>46238</v>
      </c>
      <c r="H889" s="12">
        <v>79.2</v>
      </c>
      <c r="I889" s="12">
        <v>72.86</v>
      </c>
      <c r="J889" s="9" t="s">
        <v>3</v>
      </c>
      <c r="K889" s="8">
        <v>0</v>
      </c>
    </row>
    <row r="890" spans="1:11">
      <c r="A890" s="2" t="s">
        <v>834</v>
      </c>
      <c r="B890" s="2" t="s">
        <v>1795</v>
      </c>
      <c r="C890" s="9">
        <v>10033037</v>
      </c>
      <c r="D890" s="2" t="s">
        <v>1804</v>
      </c>
      <c r="E890" s="10">
        <v>12</v>
      </c>
      <c r="F890" s="9" t="s">
        <v>1797</v>
      </c>
      <c r="G890" s="11">
        <v>46238</v>
      </c>
      <c r="H890" s="12">
        <v>79.2</v>
      </c>
      <c r="I890" s="12">
        <v>72.86</v>
      </c>
      <c r="J890" s="9" t="s">
        <v>3</v>
      </c>
      <c r="K890" s="8">
        <v>0</v>
      </c>
    </row>
    <row r="891" spans="1:11">
      <c r="A891" s="2" t="s">
        <v>834</v>
      </c>
      <c r="B891" s="2" t="s">
        <v>1795</v>
      </c>
      <c r="C891" s="9">
        <v>10033038</v>
      </c>
      <c r="D891" s="2" t="s">
        <v>1805</v>
      </c>
      <c r="E891" s="10">
        <v>12</v>
      </c>
      <c r="F891" s="9" t="s">
        <v>1806</v>
      </c>
      <c r="G891" s="11">
        <v>46238</v>
      </c>
      <c r="H891" s="12">
        <v>71.650000000000006</v>
      </c>
      <c r="I891" s="12">
        <v>65.92</v>
      </c>
      <c r="J891" s="9" t="s">
        <v>3</v>
      </c>
      <c r="K891" s="8">
        <v>0</v>
      </c>
    </row>
    <row r="892" spans="1:11">
      <c r="A892" s="2" t="s">
        <v>834</v>
      </c>
      <c r="B892" s="2" t="s">
        <v>1795</v>
      </c>
      <c r="C892" s="9">
        <v>10033039</v>
      </c>
      <c r="D892" s="2" t="s">
        <v>1807</v>
      </c>
      <c r="E892" s="10">
        <v>12</v>
      </c>
      <c r="F892" s="9" t="s">
        <v>1797</v>
      </c>
      <c r="G892" s="11">
        <v>46238</v>
      </c>
      <c r="H892" s="12">
        <v>76.63</v>
      </c>
      <c r="I892" s="12">
        <v>70.5</v>
      </c>
      <c r="J892" s="9" t="s">
        <v>3</v>
      </c>
      <c r="K892" s="8">
        <v>0</v>
      </c>
    </row>
    <row r="893" spans="1:11">
      <c r="A893" s="2" t="s">
        <v>834</v>
      </c>
      <c r="B893" s="2" t="s">
        <v>1795</v>
      </c>
      <c r="C893" s="9">
        <v>10033040</v>
      </c>
      <c r="D893" s="2" t="s">
        <v>1808</v>
      </c>
      <c r="E893" s="10">
        <v>12</v>
      </c>
      <c r="F893" s="9" t="s">
        <v>1806</v>
      </c>
      <c r="G893" s="11">
        <v>46238</v>
      </c>
      <c r="H893" s="12">
        <v>73.790000000000006</v>
      </c>
      <c r="I893" s="12">
        <v>67.89</v>
      </c>
      <c r="J893" s="9" t="s">
        <v>3</v>
      </c>
      <c r="K893" s="8">
        <v>0</v>
      </c>
    </row>
    <row r="894" spans="1:11">
      <c r="A894" s="2" t="s">
        <v>834</v>
      </c>
      <c r="B894" s="2" t="s">
        <v>1795</v>
      </c>
      <c r="C894" s="9">
        <v>10033042</v>
      </c>
      <c r="D894" s="2" t="s">
        <v>1809</v>
      </c>
      <c r="E894" s="10">
        <v>12</v>
      </c>
      <c r="F894" s="9" t="s">
        <v>1797</v>
      </c>
      <c r="G894" s="11">
        <v>46238</v>
      </c>
      <c r="H894" s="12">
        <v>81.75</v>
      </c>
      <c r="I894" s="12">
        <v>75.209999999999994</v>
      </c>
      <c r="J894" s="9" t="s">
        <v>3</v>
      </c>
      <c r="K894" s="8">
        <v>0</v>
      </c>
    </row>
    <row r="895" spans="1:11">
      <c r="A895" s="2" t="s">
        <v>906</v>
      </c>
      <c r="B895" s="2" t="s">
        <v>1810</v>
      </c>
      <c r="C895" s="9">
        <v>10033053</v>
      </c>
      <c r="D895" s="2" t="s">
        <v>1811</v>
      </c>
      <c r="E895" s="10">
        <v>1</v>
      </c>
      <c r="F895" s="9" t="s">
        <v>1023</v>
      </c>
      <c r="G895" s="11">
        <v>46238</v>
      </c>
      <c r="H895" s="12">
        <v>43.99</v>
      </c>
      <c r="I895" s="12">
        <v>40.47</v>
      </c>
      <c r="J895" s="9" t="s">
        <v>3</v>
      </c>
      <c r="K895" s="8">
        <v>1</v>
      </c>
    </row>
    <row r="896" spans="1:11">
      <c r="A896" s="2" t="s">
        <v>906</v>
      </c>
      <c r="B896" s="2" t="s">
        <v>1810</v>
      </c>
      <c r="C896" s="9">
        <v>10033054</v>
      </c>
      <c r="D896" s="2" t="s">
        <v>1812</v>
      </c>
      <c r="E896" s="10">
        <v>1</v>
      </c>
      <c r="F896" s="9" t="s">
        <v>863</v>
      </c>
      <c r="G896" s="11">
        <v>46238</v>
      </c>
      <c r="H896" s="12">
        <v>43.99</v>
      </c>
      <c r="I896" s="12">
        <v>40.47</v>
      </c>
      <c r="J896" s="9" t="s">
        <v>3</v>
      </c>
      <c r="K896" s="8">
        <v>1</v>
      </c>
    </row>
    <row r="897" spans="1:11">
      <c r="A897" s="2" t="s">
        <v>906</v>
      </c>
      <c r="B897" s="2" t="s">
        <v>1810</v>
      </c>
      <c r="C897" s="9">
        <v>10033055</v>
      </c>
      <c r="D897" s="2" t="s">
        <v>1813</v>
      </c>
      <c r="E897" s="10">
        <v>1</v>
      </c>
      <c r="F897" s="9" t="s">
        <v>1428</v>
      </c>
      <c r="G897" s="11">
        <v>46238</v>
      </c>
      <c r="H897" s="12">
        <v>42.38</v>
      </c>
      <c r="I897" s="12">
        <v>38.99</v>
      </c>
      <c r="J897" s="9" t="s">
        <v>3</v>
      </c>
      <c r="K897" s="8">
        <v>1</v>
      </c>
    </row>
    <row r="898" spans="1:11">
      <c r="A898" s="2" t="s">
        <v>906</v>
      </c>
      <c r="B898" s="2" t="s">
        <v>1810</v>
      </c>
      <c r="C898" s="9">
        <v>10033056</v>
      </c>
      <c r="D898" s="2" t="s">
        <v>1814</v>
      </c>
      <c r="E898" s="10">
        <v>2</v>
      </c>
      <c r="F898" s="9" t="s">
        <v>1023</v>
      </c>
      <c r="G898" s="11">
        <v>46238</v>
      </c>
      <c r="H898" s="12">
        <v>35.25</v>
      </c>
      <c r="I898" s="12">
        <v>32.43</v>
      </c>
      <c r="J898" s="9" t="s">
        <v>3</v>
      </c>
      <c r="K898" s="8">
        <v>1</v>
      </c>
    </row>
    <row r="899" spans="1:11">
      <c r="A899" s="2" t="s">
        <v>906</v>
      </c>
      <c r="B899" s="2" t="s">
        <v>1810</v>
      </c>
      <c r="C899" s="9">
        <v>10033058</v>
      </c>
      <c r="D899" s="2" t="s">
        <v>1815</v>
      </c>
      <c r="E899" s="10">
        <v>2</v>
      </c>
      <c r="F899" s="9" t="s">
        <v>1055</v>
      </c>
      <c r="G899" s="11">
        <v>46238</v>
      </c>
      <c r="H899" s="12">
        <v>37.51</v>
      </c>
      <c r="I899" s="12">
        <v>34.51</v>
      </c>
      <c r="J899" s="9" t="s">
        <v>3</v>
      </c>
      <c r="K899" s="8">
        <v>1</v>
      </c>
    </row>
    <row r="900" spans="1:11">
      <c r="A900" s="2" t="s">
        <v>906</v>
      </c>
      <c r="B900" s="2" t="s">
        <v>1810</v>
      </c>
      <c r="C900" s="9">
        <v>10033060</v>
      </c>
      <c r="D900" s="2" t="s">
        <v>1816</v>
      </c>
      <c r="E900" s="10">
        <v>20</v>
      </c>
      <c r="F900" s="9" t="s">
        <v>866</v>
      </c>
      <c r="G900" s="11">
        <v>46238</v>
      </c>
      <c r="H900" s="12">
        <v>129.09</v>
      </c>
      <c r="I900" s="12">
        <v>118.76</v>
      </c>
      <c r="J900" s="9" t="s">
        <v>3</v>
      </c>
      <c r="K900" s="8">
        <v>0</v>
      </c>
    </row>
    <row r="901" spans="1:11">
      <c r="A901" s="2" t="s">
        <v>906</v>
      </c>
      <c r="B901" s="2" t="s">
        <v>1810</v>
      </c>
      <c r="C901" s="9">
        <v>10033061</v>
      </c>
      <c r="D901" s="2" t="s">
        <v>1817</v>
      </c>
      <c r="E901" s="10">
        <v>20</v>
      </c>
      <c r="F901" s="9" t="s">
        <v>866</v>
      </c>
      <c r="G901" s="11">
        <v>46238</v>
      </c>
      <c r="H901" s="12">
        <v>129.09</v>
      </c>
      <c r="I901" s="12">
        <v>118.76</v>
      </c>
      <c r="J901" s="9" t="s">
        <v>3</v>
      </c>
      <c r="K901" s="8">
        <v>0</v>
      </c>
    </row>
    <row r="902" spans="1:11">
      <c r="A902" s="2" t="s">
        <v>906</v>
      </c>
      <c r="B902" s="2" t="s">
        <v>1810</v>
      </c>
      <c r="C902" s="9">
        <v>10033062</v>
      </c>
      <c r="D902" s="2" t="s">
        <v>1818</v>
      </c>
      <c r="E902" s="10">
        <v>20</v>
      </c>
      <c r="F902" s="9" t="s">
        <v>866</v>
      </c>
      <c r="G902" s="11">
        <v>46238</v>
      </c>
      <c r="H902" s="12">
        <v>129.09</v>
      </c>
      <c r="I902" s="12">
        <v>118.76</v>
      </c>
      <c r="J902" s="9" t="s">
        <v>3</v>
      </c>
      <c r="K902" s="8">
        <v>0</v>
      </c>
    </row>
    <row r="903" spans="1:11">
      <c r="A903" s="2" t="s">
        <v>906</v>
      </c>
      <c r="B903" s="2" t="s">
        <v>1810</v>
      </c>
      <c r="C903" s="9">
        <v>10033087</v>
      </c>
      <c r="D903" s="2" t="s">
        <v>1819</v>
      </c>
      <c r="E903" s="10">
        <v>10</v>
      </c>
      <c r="F903" s="9" t="s">
        <v>985</v>
      </c>
      <c r="G903" s="11">
        <v>46238</v>
      </c>
      <c r="H903" s="12">
        <v>81.680000000000007</v>
      </c>
      <c r="I903" s="12">
        <v>75.150000000000006</v>
      </c>
      <c r="J903" s="9" t="s">
        <v>3</v>
      </c>
      <c r="K903" s="8">
        <v>0</v>
      </c>
    </row>
    <row r="904" spans="1:11">
      <c r="A904" s="2" t="s">
        <v>906</v>
      </c>
      <c r="B904" s="2" t="s">
        <v>1810</v>
      </c>
      <c r="C904" s="9">
        <v>10033090</v>
      </c>
      <c r="D904" s="2" t="s">
        <v>1820</v>
      </c>
      <c r="E904" s="10">
        <v>10</v>
      </c>
      <c r="F904" s="9" t="s">
        <v>985</v>
      </c>
      <c r="G904" s="11">
        <v>46238</v>
      </c>
      <c r="H904" s="12">
        <v>72.2</v>
      </c>
      <c r="I904" s="12">
        <v>66.42</v>
      </c>
      <c r="J904" s="9" t="s">
        <v>3</v>
      </c>
      <c r="K904" s="8">
        <v>0</v>
      </c>
    </row>
    <row r="905" spans="1:11">
      <c r="A905" s="2" t="s">
        <v>906</v>
      </c>
      <c r="B905" s="2" t="s">
        <v>1810</v>
      </c>
      <c r="C905" s="9">
        <v>10033091</v>
      </c>
      <c r="D905" s="2" t="s">
        <v>1821</v>
      </c>
      <c r="E905" s="10">
        <v>10</v>
      </c>
      <c r="F905" s="9" t="s">
        <v>985</v>
      </c>
      <c r="G905" s="11">
        <v>46238</v>
      </c>
      <c r="H905" s="12">
        <v>72.2</v>
      </c>
      <c r="I905" s="12">
        <v>66.42</v>
      </c>
      <c r="J905" s="9" t="s">
        <v>3</v>
      </c>
      <c r="K905" s="8">
        <v>0</v>
      </c>
    </row>
    <row r="906" spans="1:11">
      <c r="A906" s="2" t="s">
        <v>906</v>
      </c>
      <c r="B906" s="2" t="s">
        <v>1810</v>
      </c>
      <c r="C906" s="9">
        <v>10033092</v>
      </c>
      <c r="D906" s="2" t="s">
        <v>1822</v>
      </c>
      <c r="E906" s="10">
        <v>10</v>
      </c>
      <c r="F906" s="9" t="s">
        <v>985</v>
      </c>
      <c r="G906" s="11">
        <v>46238</v>
      </c>
      <c r="H906" s="12">
        <v>75.510000000000005</v>
      </c>
      <c r="I906" s="12">
        <v>69.47</v>
      </c>
      <c r="J906" s="9" t="s">
        <v>3</v>
      </c>
      <c r="K906" s="8">
        <v>0</v>
      </c>
    </row>
    <row r="907" spans="1:11">
      <c r="A907" s="2" t="s">
        <v>906</v>
      </c>
      <c r="B907" s="2" t="s">
        <v>1823</v>
      </c>
      <c r="C907" s="9">
        <v>10033105</v>
      </c>
      <c r="D907" s="2" t="s">
        <v>1824</v>
      </c>
      <c r="E907" s="10">
        <v>15</v>
      </c>
      <c r="F907" s="9" t="s">
        <v>969</v>
      </c>
      <c r="G907" s="11">
        <v>46238</v>
      </c>
      <c r="H907" s="12">
        <v>70.77</v>
      </c>
      <c r="I907" s="12">
        <v>65.11</v>
      </c>
      <c r="J907" s="9" t="s">
        <v>3</v>
      </c>
      <c r="K907" s="8">
        <v>0</v>
      </c>
    </row>
    <row r="908" spans="1:11">
      <c r="A908" s="2" t="s">
        <v>906</v>
      </c>
      <c r="B908" s="2" t="s">
        <v>1823</v>
      </c>
      <c r="C908" s="9">
        <v>10033108</v>
      </c>
      <c r="D908" s="2" t="s">
        <v>1825</v>
      </c>
      <c r="E908" s="10">
        <v>15</v>
      </c>
      <c r="F908" s="9" t="s">
        <v>969</v>
      </c>
      <c r="G908" s="11">
        <v>46238</v>
      </c>
      <c r="H908" s="12">
        <v>76.599999999999994</v>
      </c>
      <c r="I908" s="12">
        <v>70.47</v>
      </c>
      <c r="J908" s="9" t="s">
        <v>3</v>
      </c>
      <c r="K908" s="8">
        <v>0</v>
      </c>
    </row>
    <row r="909" spans="1:11">
      <c r="A909" s="2" t="s">
        <v>906</v>
      </c>
      <c r="B909" s="2" t="s">
        <v>1823</v>
      </c>
      <c r="C909" s="9">
        <v>10033110</v>
      </c>
      <c r="D909" s="2" t="s">
        <v>1826</v>
      </c>
      <c r="E909" s="10">
        <v>15</v>
      </c>
      <c r="F909" s="9" t="s">
        <v>969</v>
      </c>
      <c r="G909" s="11">
        <v>46238</v>
      </c>
      <c r="H909" s="12">
        <v>76.599999999999994</v>
      </c>
      <c r="I909" s="12">
        <v>70.47</v>
      </c>
      <c r="J909" s="9" t="s">
        <v>3</v>
      </c>
      <c r="K909" s="8">
        <v>0</v>
      </c>
    </row>
    <row r="910" spans="1:11">
      <c r="A910" s="2" t="s">
        <v>906</v>
      </c>
      <c r="B910" s="2" t="s">
        <v>1823</v>
      </c>
      <c r="C910" s="9">
        <v>10033113</v>
      </c>
      <c r="D910" s="2" t="s">
        <v>1827</v>
      </c>
      <c r="E910" s="10">
        <v>15</v>
      </c>
      <c r="F910" s="9" t="s">
        <v>969</v>
      </c>
      <c r="G910" s="11">
        <v>46238</v>
      </c>
      <c r="H910" s="12">
        <v>76.599999999999994</v>
      </c>
      <c r="I910" s="12">
        <v>70.47</v>
      </c>
      <c r="J910" s="9" t="s">
        <v>3</v>
      </c>
      <c r="K910" s="8">
        <v>0</v>
      </c>
    </row>
    <row r="911" spans="1:11">
      <c r="A911" s="2" t="s">
        <v>906</v>
      </c>
      <c r="B911" s="2" t="s">
        <v>1823</v>
      </c>
      <c r="C911" s="9">
        <v>10033114</v>
      </c>
      <c r="D911" s="2" t="s">
        <v>1828</v>
      </c>
      <c r="E911" s="10">
        <v>15</v>
      </c>
      <c r="F911" s="9" t="s">
        <v>969</v>
      </c>
      <c r="G911" s="11">
        <v>46238</v>
      </c>
      <c r="H911" s="12">
        <v>76.599999999999994</v>
      </c>
      <c r="I911" s="12">
        <v>70.47</v>
      </c>
      <c r="J911" s="9" t="s">
        <v>3</v>
      </c>
      <c r="K911" s="8">
        <v>0</v>
      </c>
    </row>
    <row r="912" spans="1:11">
      <c r="A912" s="2" t="s">
        <v>906</v>
      </c>
      <c r="B912" s="2" t="s">
        <v>1823</v>
      </c>
      <c r="C912" s="9">
        <v>10033115</v>
      </c>
      <c r="D912" s="2" t="s">
        <v>1829</v>
      </c>
      <c r="E912" s="10">
        <v>15</v>
      </c>
      <c r="F912" s="9" t="s">
        <v>969</v>
      </c>
      <c r="G912" s="11">
        <v>46238</v>
      </c>
      <c r="H912" s="12">
        <v>76.42</v>
      </c>
      <c r="I912" s="12">
        <v>70.31</v>
      </c>
      <c r="J912" s="9" t="s">
        <v>3</v>
      </c>
      <c r="K912" s="8">
        <v>0</v>
      </c>
    </row>
    <row r="913" spans="1:11">
      <c r="A913" s="2" t="s">
        <v>906</v>
      </c>
      <c r="B913" s="2" t="s">
        <v>1823</v>
      </c>
      <c r="C913" s="9">
        <v>10033119</v>
      </c>
      <c r="D913" s="2" t="s">
        <v>1830</v>
      </c>
      <c r="E913" s="10">
        <v>15</v>
      </c>
      <c r="F913" s="9" t="s">
        <v>969</v>
      </c>
      <c r="G913" s="11">
        <v>46238</v>
      </c>
      <c r="H913" s="12">
        <v>87.39</v>
      </c>
      <c r="I913" s="12">
        <v>80.400000000000006</v>
      </c>
      <c r="J913" s="9" t="s">
        <v>3</v>
      </c>
      <c r="K913" s="8">
        <v>0</v>
      </c>
    </row>
    <row r="914" spans="1:11">
      <c r="A914" s="2" t="s">
        <v>906</v>
      </c>
      <c r="B914" s="2" t="s">
        <v>1823</v>
      </c>
      <c r="C914" s="9">
        <v>10033120</v>
      </c>
      <c r="D914" s="2" t="s">
        <v>1831</v>
      </c>
      <c r="E914" s="10">
        <v>15</v>
      </c>
      <c r="F914" s="9" t="s">
        <v>969</v>
      </c>
      <c r="G914" s="11">
        <v>46238</v>
      </c>
      <c r="H914" s="12">
        <v>86.88</v>
      </c>
      <c r="I914" s="12">
        <v>79.930000000000007</v>
      </c>
      <c r="J914" s="9" t="s">
        <v>3</v>
      </c>
      <c r="K914" s="8">
        <v>0</v>
      </c>
    </row>
    <row r="915" spans="1:11">
      <c r="A915" s="2" t="s">
        <v>906</v>
      </c>
      <c r="B915" s="2" t="s">
        <v>1823</v>
      </c>
      <c r="C915" s="9">
        <v>10033121</v>
      </c>
      <c r="D915" s="2" t="s">
        <v>1832</v>
      </c>
      <c r="E915" s="10">
        <v>15</v>
      </c>
      <c r="F915" s="9" t="s">
        <v>969</v>
      </c>
      <c r="G915" s="11">
        <v>46238</v>
      </c>
      <c r="H915" s="12">
        <v>96.13</v>
      </c>
      <c r="I915" s="12">
        <v>88.44</v>
      </c>
      <c r="J915" s="9" t="s">
        <v>3</v>
      </c>
      <c r="K915" s="8">
        <v>0</v>
      </c>
    </row>
    <row r="916" spans="1:11">
      <c r="A916" s="2" t="s">
        <v>906</v>
      </c>
      <c r="B916" s="2" t="s">
        <v>1823</v>
      </c>
      <c r="C916" s="9">
        <v>10033123</v>
      </c>
      <c r="D916" s="2" t="s">
        <v>1833</v>
      </c>
      <c r="E916" s="10">
        <v>15</v>
      </c>
      <c r="F916" s="9" t="s">
        <v>969</v>
      </c>
      <c r="G916" s="11">
        <v>46238</v>
      </c>
      <c r="H916" s="12">
        <v>124.58</v>
      </c>
      <c r="I916" s="12">
        <v>114.61</v>
      </c>
      <c r="J916" s="9" t="s">
        <v>3</v>
      </c>
      <c r="K916" s="8">
        <v>0</v>
      </c>
    </row>
    <row r="917" spans="1:11">
      <c r="A917" s="2" t="s">
        <v>906</v>
      </c>
      <c r="B917" s="2" t="s">
        <v>1823</v>
      </c>
      <c r="C917" s="9">
        <v>10033127</v>
      </c>
      <c r="D917" s="2" t="s">
        <v>1834</v>
      </c>
      <c r="E917" s="10">
        <v>2</v>
      </c>
      <c r="F917" s="9" t="s">
        <v>1023</v>
      </c>
      <c r="G917" s="11">
        <v>46238</v>
      </c>
      <c r="H917" s="12">
        <v>27.33</v>
      </c>
      <c r="I917" s="12">
        <v>25.14</v>
      </c>
      <c r="J917" s="9" t="s">
        <v>3</v>
      </c>
      <c r="K917" s="8">
        <v>1</v>
      </c>
    </row>
    <row r="918" spans="1:11">
      <c r="A918" s="2" t="s">
        <v>906</v>
      </c>
      <c r="B918" s="2" t="s">
        <v>1823</v>
      </c>
      <c r="C918" s="9">
        <v>10033128</v>
      </c>
      <c r="D918" s="2" t="s">
        <v>1835</v>
      </c>
      <c r="E918" s="10">
        <v>2</v>
      </c>
      <c r="F918" s="9" t="s">
        <v>1023</v>
      </c>
      <c r="G918" s="11">
        <v>46238</v>
      </c>
      <c r="H918" s="12">
        <v>24.38</v>
      </c>
      <c r="I918" s="12">
        <v>22.43</v>
      </c>
      <c r="J918" s="9" t="s">
        <v>3</v>
      </c>
      <c r="K918" s="8">
        <v>1</v>
      </c>
    </row>
    <row r="919" spans="1:11">
      <c r="A919" s="2" t="s">
        <v>906</v>
      </c>
      <c r="B919" s="2" t="s">
        <v>1823</v>
      </c>
      <c r="C919" s="9">
        <v>10033129</v>
      </c>
      <c r="D919" s="2" t="s">
        <v>1836</v>
      </c>
      <c r="E919" s="10">
        <v>2</v>
      </c>
      <c r="F919" s="9" t="s">
        <v>1023</v>
      </c>
      <c r="G919" s="11">
        <v>46238</v>
      </c>
      <c r="H919" s="12">
        <v>24.38</v>
      </c>
      <c r="I919" s="12">
        <v>22.43</v>
      </c>
      <c r="J919" s="9" t="s">
        <v>3</v>
      </c>
      <c r="K919" s="8">
        <v>1</v>
      </c>
    </row>
    <row r="920" spans="1:11">
      <c r="A920" s="2" t="s">
        <v>906</v>
      </c>
      <c r="B920" s="2" t="s">
        <v>1823</v>
      </c>
      <c r="C920" s="9">
        <v>10033130</v>
      </c>
      <c r="D920" s="2" t="s">
        <v>1837</v>
      </c>
      <c r="E920" s="10">
        <v>2</v>
      </c>
      <c r="F920" s="9" t="s">
        <v>1023</v>
      </c>
      <c r="G920" s="11">
        <v>46238</v>
      </c>
      <c r="H920" s="12">
        <v>23.03</v>
      </c>
      <c r="I920" s="12">
        <v>21.19</v>
      </c>
      <c r="J920" s="9" t="s">
        <v>3</v>
      </c>
      <c r="K920" s="8">
        <v>1</v>
      </c>
    </row>
    <row r="921" spans="1:11">
      <c r="A921" s="2" t="s">
        <v>906</v>
      </c>
      <c r="B921" s="2" t="s">
        <v>1823</v>
      </c>
      <c r="C921" s="9">
        <v>10033135</v>
      </c>
      <c r="D921" s="2" t="s">
        <v>1838</v>
      </c>
      <c r="E921" s="10">
        <v>2</v>
      </c>
      <c r="F921" s="9" t="s">
        <v>1023</v>
      </c>
      <c r="G921" s="11">
        <v>46238</v>
      </c>
      <c r="H921" s="12">
        <v>42.86</v>
      </c>
      <c r="I921" s="12">
        <v>39.43</v>
      </c>
      <c r="J921" s="9" t="s">
        <v>3</v>
      </c>
      <c r="K921" s="8">
        <v>1</v>
      </c>
    </row>
    <row r="922" spans="1:11">
      <c r="A922" s="2" t="s">
        <v>906</v>
      </c>
      <c r="B922" s="2" t="s">
        <v>1823</v>
      </c>
      <c r="C922" s="9">
        <v>10033139</v>
      </c>
      <c r="D922" s="2" t="s">
        <v>1839</v>
      </c>
      <c r="E922" s="10">
        <v>2</v>
      </c>
      <c r="F922" s="9" t="s">
        <v>1840</v>
      </c>
      <c r="G922" s="11">
        <v>46238</v>
      </c>
      <c r="H922" s="12">
        <v>30.04</v>
      </c>
      <c r="I922" s="12">
        <v>27.64</v>
      </c>
      <c r="J922" s="9" t="s">
        <v>3</v>
      </c>
      <c r="K922" s="8">
        <v>1</v>
      </c>
    </row>
    <row r="923" spans="1:11">
      <c r="A923" s="2" t="s">
        <v>906</v>
      </c>
      <c r="B923" s="2" t="s">
        <v>1823</v>
      </c>
      <c r="C923" s="9">
        <v>10033145</v>
      </c>
      <c r="D923" s="2" t="s">
        <v>1841</v>
      </c>
      <c r="E923" s="10">
        <v>12</v>
      </c>
      <c r="F923" s="9" t="s">
        <v>1263</v>
      </c>
      <c r="G923" s="11">
        <v>46238</v>
      </c>
      <c r="H923" s="12">
        <v>79.650000000000006</v>
      </c>
      <c r="I923" s="12">
        <v>73.28</v>
      </c>
      <c r="J923" s="9" t="s">
        <v>3</v>
      </c>
      <c r="K923" s="8">
        <v>0</v>
      </c>
    </row>
    <row r="924" spans="1:11">
      <c r="A924" s="2" t="s">
        <v>906</v>
      </c>
      <c r="B924" s="2" t="s">
        <v>1823</v>
      </c>
      <c r="C924" s="9">
        <v>10033146</v>
      </c>
      <c r="D924" s="2" t="s">
        <v>1842</v>
      </c>
      <c r="E924" s="10">
        <v>12</v>
      </c>
      <c r="F924" s="9" t="s">
        <v>1263</v>
      </c>
      <c r="G924" s="11">
        <v>46238</v>
      </c>
      <c r="H924" s="12">
        <v>79.650000000000006</v>
      </c>
      <c r="I924" s="12">
        <v>73.28</v>
      </c>
      <c r="J924" s="9" t="s">
        <v>3</v>
      </c>
      <c r="K924" s="8">
        <v>0</v>
      </c>
    </row>
    <row r="925" spans="1:11">
      <c r="A925" s="2" t="s">
        <v>906</v>
      </c>
      <c r="B925" s="2" t="s">
        <v>1823</v>
      </c>
      <c r="C925" s="9">
        <v>10033154</v>
      </c>
      <c r="D925" s="2" t="s">
        <v>1843</v>
      </c>
      <c r="E925" s="10">
        <v>12</v>
      </c>
      <c r="F925" s="9" t="s">
        <v>768</v>
      </c>
      <c r="G925" s="11">
        <v>46238</v>
      </c>
      <c r="H925" s="12">
        <v>164.37</v>
      </c>
      <c r="I925" s="12">
        <v>151.22</v>
      </c>
      <c r="J925" s="9" t="s">
        <v>3</v>
      </c>
      <c r="K925" s="8">
        <v>0</v>
      </c>
    </row>
    <row r="926" spans="1:11">
      <c r="A926" s="2" t="s">
        <v>1120</v>
      </c>
      <c r="B926" s="2" t="s">
        <v>1844</v>
      </c>
      <c r="C926" s="9">
        <v>10033157</v>
      </c>
      <c r="D926" s="2" t="s">
        <v>1845</v>
      </c>
      <c r="E926" s="10">
        <v>6</v>
      </c>
      <c r="F926" s="9" t="s">
        <v>1718</v>
      </c>
      <c r="G926" s="11">
        <v>46238</v>
      </c>
      <c r="H926" s="12">
        <v>23.33</v>
      </c>
      <c r="I926" s="12">
        <v>20.76</v>
      </c>
      <c r="J926" s="9" t="s">
        <v>3</v>
      </c>
      <c r="K926" s="8">
        <v>0</v>
      </c>
    </row>
    <row r="927" spans="1:11">
      <c r="A927" s="2" t="s">
        <v>1120</v>
      </c>
      <c r="B927" s="2" t="s">
        <v>1844</v>
      </c>
      <c r="C927" s="9">
        <v>10033158</v>
      </c>
      <c r="D927" s="2" t="s">
        <v>1846</v>
      </c>
      <c r="E927" s="10">
        <v>6</v>
      </c>
      <c r="F927" s="9" t="s">
        <v>1718</v>
      </c>
      <c r="G927" s="11">
        <v>46238</v>
      </c>
      <c r="H927" s="12">
        <v>23.33</v>
      </c>
      <c r="I927" s="12">
        <v>20.76</v>
      </c>
      <c r="J927" s="9" t="s">
        <v>3</v>
      </c>
      <c r="K927" s="8">
        <v>0</v>
      </c>
    </row>
    <row r="928" spans="1:11">
      <c r="A928" s="2" t="s">
        <v>1120</v>
      </c>
      <c r="B928" s="2" t="s">
        <v>1844</v>
      </c>
      <c r="C928" s="9">
        <v>10033159</v>
      </c>
      <c r="D928" s="2" t="s">
        <v>1847</v>
      </c>
      <c r="E928" s="10">
        <v>6</v>
      </c>
      <c r="F928" s="9" t="s">
        <v>1718</v>
      </c>
      <c r="G928" s="11">
        <v>46238</v>
      </c>
      <c r="H928" s="12">
        <v>33.51</v>
      </c>
      <c r="I928" s="12">
        <v>29.82</v>
      </c>
      <c r="J928" s="9" t="s">
        <v>3</v>
      </c>
      <c r="K928" s="8">
        <v>0</v>
      </c>
    </row>
    <row r="929" spans="1:11">
      <c r="A929" s="2" t="s">
        <v>906</v>
      </c>
      <c r="B929" s="2" t="s">
        <v>1823</v>
      </c>
      <c r="C929" s="9">
        <v>10033171</v>
      </c>
      <c r="D929" s="2" t="s">
        <v>1848</v>
      </c>
      <c r="E929" s="10">
        <v>12</v>
      </c>
      <c r="F929" s="9" t="s">
        <v>1849</v>
      </c>
      <c r="G929" s="11">
        <v>46238</v>
      </c>
      <c r="H929" s="12">
        <v>154.77000000000001</v>
      </c>
      <c r="I929" s="12">
        <v>142.38999999999999</v>
      </c>
      <c r="J929" s="9" t="s">
        <v>3</v>
      </c>
      <c r="K929" s="8">
        <v>0</v>
      </c>
    </row>
    <row r="930" spans="1:11">
      <c r="A930" s="2" t="s">
        <v>906</v>
      </c>
      <c r="B930" s="2" t="s">
        <v>1823</v>
      </c>
      <c r="C930" s="9">
        <v>10033172</v>
      </c>
      <c r="D930" s="2" t="s">
        <v>1850</v>
      </c>
      <c r="E930" s="10">
        <v>12</v>
      </c>
      <c r="F930" s="9" t="s">
        <v>1849</v>
      </c>
      <c r="G930" s="11">
        <v>46238</v>
      </c>
      <c r="H930" s="12">
        <v>153.82</v>
      </c>
      <c r="I930" s="12">
        <v>141.51</v>
      </c>
      <c r="J930" s="9" t="s">
        <v>3</v>
      </c>
      <c r="K930" s="8">
        <v>0</v>
      </c>
    </row>
    <row r="931" spans="1:11">
      <c r="A931" s="2" t="s">
        <v>906</v>
      </c>
      <c r="B931" s="2" t="s">
        <v>1823</v>
      </c>
      <c r="C931" s="9">
        <v>10033173</v>
      </c>
      <c r="D931" s="2" t="s">
        <v>1851</v>
      </c>
      <c r="E931" s="10">
        <v>12</v>
      </c>
      <c r="F931" s="9" t="s">
        <v>1849</v>
      </c>
      <c r="G931" s="11">
        <v>46238</v>
      </c>
      <c r="H931" s="12">
        <v>158.88</v>
      </c>
      <c r="I931" s="12">
        <v>146.16999999999999</v>
      </c>
      <c r="J931" s="9" t="s">
        <v>3</v>
      </c>
      <c r="K931" s="8">
        <v>0</v>
      </c>
    </row>
    <row r="932" spans="1:11">
      <c r="A932" s="2" t="s">
        <v>906</v>
      </c>
      <c r="B932" s="2" t="s">
        <v>1823</v>
      </c>
      <c r="C932" s="9">
        <v>10033174</v>
      </c>
      <c r="D932" s="2" t="s">
        <v>1852</v>
      </c>
      <c r="E932" s="10">
        <v>12</v>
      </c>
      <c r="F932" s="9" t="s">
        <v>1849</v>
      </c>
      <c r="G932" s="11">
        <v>46238</v>
      </c>
      <c r="H932" s="12">
        <v>158.88</v>
      </c>
      <c r="I932" s="12">
        <v>146.16999999999999</v>
      </c>
      <c r="J932" s="9" t="s">
        <v>3</v>
      </c>
      <c r="K932" s="8">
        <v>0</v>
      </c>
    </row>
    <row r="933" spans="1:11">
      <c r="A933" s="2" t="s">
        <v>906</v>
      </c>
      <c r="B933" s="2" t="s">
        <v>1823</v>
      </c>
      <c r="C933" s="9">
        <v>10033175</v>
      </c>
      <c r="D933" s="2" t="s">
        <v>1853</v>
      </c>
      <c r="E933" s="10">
        <v>12</v>
      </c>
      <c r="F933" s="9" t="s">
        <v>1849</v>
      </c>
      <c r="G933" s="11">
        <v>46238</v>
      </c>
      <c r="H933" s="12">
        <v>163.96</v>
      </c>
      <c r="I933" s="12">
        <v>150.84</v>
      </c>
      <c r="J933" s="9" t="s">
        <v>3</v>
      </c>
      <c r="K933" s="8">
        <v>0</v>
      </c>
    </row>
    <row r="934" spans="1:11">
      <c r="A934" s="2" t="s">
        <v>906</v>
      </c>
      <c r="B934" s="2" t="s">
        <v>1823</v>
      </c>
      <c r="C934" s="9">
        <v>10033176</v>
      </c>
      <c r="D934" s="2" t="s">
        <v>1854</v>
      </c>
      <c r="E934" s="10">
        <v>12</v>
      </c>
      <c r="F934" s="9" t="s">
        <v>1849</v>
      </c>
      <c r="G934" s="11">
        <v>46238</v>
      </c>
      <c r="H934" s="12">
        <v>173.41</v>
      </c>
      <c r="I934" s="12">
        <v>159.54</v>
      </c>
      <c r="J934" s="9" t="s">
        <v>3</v>
      </c>
      <c r="K934" s="8">
        <v>0</v>
      </c>
    </row>
    <row r="935" spans="1:11">
      <c r="A935" s="2" t="s">
        <v>906</v>
      </c>
      <c r="B935" s="2" t="s">
        <v>1823</v>
      </c>
      <c r="C935" s="9">
        <v>10033182</v>
      </c>
      <c r="D935" s="2" t="s">
        <v>1855</v>
      </c>
      <c r="E935" s="10">
        <v>2</v>
      </c>
      <c r="F935" s="9" t="s">
        <v>1023</v>
      </c>
      <c r="G935" s="11">
        <v>46238</v>
      </c>
      <c r="H935" s="12">
        <v>23.85</v>
      </c>
      <c r="I935" s="12">
        <v>21.94</v>
      </c>
      <c r="J935" s="9" t="s">
        <v>3</v>
      </c>
      <c r="K935" s="8">
        <v>1</v>
      </c>
    </row>
    <row r="936" spans="1:11">
      <c r="A936" s="2" t="s">
        <v>906</v>
      </c>
      <c r="B936" s="2" t="s">
        <v>1823</v>
      </c>
      <c r="C936" s="9">
        <v>10033183</v>
      </c>
      <c r="D936" s="2" t="s">
        <v>1856</v>
      </c>
      <c r="E936" s="10">
        <v>2</v>
      </c>
      <c r="F936" s="9" t="s">
        <v>1023</v>
      </c>
      <c r="G936" s="11">
        <v>46238</v>
      </c>
      <c r="H936" s="12">
        <v>25.23</v>
      </c>
      <c r="I936" s="12">
        <v>23.21</v>
      </c>
      <c r="J936" s="9" t="s">
        <v>3</v>
      </c>
      <c r="K936" s="8">
        <v>1</v>
      </c>
    </row>
    <row r="937" spans="1:11">
      <c r="A937" s="2" t="s">
        <v>906</v>
      </c>
      <c r="B937" s="2" t="s">
        <v>1823</v>
      </c>
      <c r="C937" s="9">
        <v>10033185</v>
      </c>
      <c r="D937" s="2" t="s">
        <v>1857</v>
      </c>
      <c r="E937" s="10">
        <v>2</v>
      </c>
      <c r="F937" s="9" t="s">
        <v>1023</v>
      </c>
      <c r="G937" s="11">
        <v>46238</v>
      </c>
      <c r="H937" s="12">
        <v>22.66</v>
      </c>
      <c r="I937" s="12">
        <v>20.85</v>
      </c>
      <c r="J937" s="9" t="s">
        <v>3</v>
      </c>
      <c r="K937" s="8">
        <v>1</v>
      </c>
    </row>
    <row r="938" spans="1:11">
      <c r="A938" s="2" t="s">
        <v>906</v>
      </c>
      <c r="B938" s="2" t="s">
        <v>1823</v>
      </c>
      <c r="C938" s="9">
        <v>10033218</v>
      </c>
      <c r="D938" s="2" t="s">
        <v>1858</v>
      </c>
      <c r="E938" s="10">
        <v>12</v>
      </c>
      <c r="F938" s="9" t="s">
        <v>1849</v>
      </c>
      <c r="G938" s="11">
        <v>46238</v>
      </c>
      <c r="H938" s="12">
        <v>184.79</v>
      </c>
      <c r="I938" s="12">
        <v>170.01</v>
      </c>
      <c r="J938" s="9" t="s">
        <v>3</v>
      </c>
      <c r="K938" s="8">
        <v>0</v>
      </c>
    </row>
    <row r="939" spans="1:11">
      <c r="A939" s="2" t="s">
        <v>906</v>
      </c>
      <c r="B939" s="2" t="s">
        <v>1823</v>
      </c>
      <c r="C939" s="9">
        <v>10033246</v>
      </c>
      <c r="D939" s="2" t="s">
        <v>1859</v>
      </c>
      <c r="E939" s="10">
        <v>6</v>
      </c>
      <c r="F939" s="9" t="s">
        <v>991</v>
      </c>
      <c r="G939" s="11">
        <v>46238</v>
      </c>
      <c r="H939" s="12">
        <v>149.57</v>
      </c>
      <c r="I939" s="12">
        <v>137.6</v>
      </c>
      <c r="J939" s="9" t="s">
        <v>3</v>
      </c>
      <c r="K939" s="8">
        <v>0</v>
      </c>
    </row>
    <row r="940" spans="1:11">
      <c r="A940" s="2" t="s">
        <v>1120</v>
      </c>
      <c r="B940" s="2" t="s">
        <v>1844</v>
      </c>
      <c r="C940" s="9">
        <v>10033247</v>
      </c>
      <c r="D940" s="2" t="s">
        <v>1860</v>
      </c>
      <c r="E940" s="10">
        <v>6</v>
      </c>
      <c r="F940" s="9" t="s">
        <v>1718</v>
      </c>
      <c r="G940" s="11">
        <v>46238</v>
      </c>
      <c r="H940" s="12">
        <v>22.59</v>
      </c>
      <c r="I940" s="12">
        <v>20.16</v>
      </c>
      <c r="J940" s="9" t="s">
        <v>3</v>
      </c>
      <c r="K940" s="8">
        <v>0</v>
      </c>
    </row>
    <row r="941" spans="1:11">
      <c r="A941" s="2" t="s">
        <v>906</v>
      </c>
      <c r="B941" s="2" t="s">
        <v>1823</v>
      </c>
      <c r="C941" s="9">
        <v>10033251</v>
      </c>
      <c r="D941" s="2" t="s">
        <v>1861</v>
      </c>
      <c r="E941" s="10">
        <v>12</v>
      </c>
      <c r="F941" s="9" t="s">
        <v>768</v>
      </c>
      <c r="G941" s="11">
        <v>46238</v>
      </c>
      <c r="H941" s="12">
        <v>164.37</v>
      </c>
      <c r="I941" s="12">
        <v>151.22</v>
      </c>
      <c r="J941" s="9" t="s">
        <v>3</v>
      </c>
      <c r="K941" s="8">
        <v>0</v>
      </c>
    </row>
    <row r="942" spans="1:11">
      <c r="A942" s="2" t="s">
        <v>906</v>
      </c>
      <c r="B942" s="2" t="s">
        <v>1823</v>
      </c>
      <c r="C942" s="9">
        <v>10033253</v>
      </c>
      <c r="D942" s="2" t="s">
        <v>1862</v>
      </c>
      <c r="E942" s="10">
        <v>1</v>
      </c>
      <c r="F942" s="9" t="s">
        <v>969</v>
      </c>
      <c r="G942" s="11">
        <v>46238</v>
      </c>
      <c r="H942" s="12">
        <v>37.01</v>
      </c>
      <c r="I942" s="12">
        <v>34.049999999999997</v>
      </c>
      <c r="J942" s="9" t="s">
        <v>3</v>
      </c>
      <c r="K942" s="8">
        <v>1</v>
      </c>
    </row>
    <row r="943" spans="1:11">
      <c r="A943" s="2" t="s">
        <v>906</v>
      </c>
      <c r="B943" s="2" t="s">
        <v>1823</v>
      </c>
      <c r="C943" s="9">
        <v>10033262</v>
      </c>
      <c r="D943" s="2" t="s">
        <v>1863</v>
      </c>
      <c r="E943" s="10">
        <v>2</v>
      </c>
      <c r="F943" s="9" t="s">
        <v>991</v>
      </c>
      <c r="G943" s="11">
        <v>46238</v>
      </c>
      <c r="H943" s="12">
        <v>58.74</v>
      </c>
      <c r="I943" s="12">
        <v>54.04</v>
      </c>
      <c r="J943" s="9" t="s">
        <v>3</v>
      </c>
      <c r="K943" s="8">
        <v>0</v>
      </c>
    </row>
    <row r="944" spans="1:11">
      <c r="A944" s="2" t="s">
        <v>925</v>
      </c>
      <c r="B944" s="2" t="s">
        <v>1864</v>
      </c>
      <c r="C944" s="9">
        <v>10033264</v>
      </c>
      <c r="D944" s="2" t="s">
        <v>1865</v>
      </c>
      <c r="E944" s="10">
        <v>24</v>
      </c>
      <c r="F944" s="9" t="s">
        <v>1405</v>
      </c>
      <c r="G944" s="11">
        <v>46238</v>
      </c>
      <c r="H944" s="12">
        <v>133.55000000000001</v>
      </c>
      <c r="I944" s="12">
        <v>118.86</v>
      </c>
      <c r="J944" s="9" t="s">
        <v>3</v>
      </c>
      <c r="K944" s="8">
        <v>0</v>
      </c>
    </row>
    <row r="945" spans="1:11">
      <c r="A945" s="2" t="s">
        <v>906</v>
      </c>
      <c r="B945" s="2" t="s">
        <v>1823</v>
      </c>
      <c r="C945" s="9">
        <v>10033277</v>
      </c>
      <c r="D945" s="2" t="s">
        <v>1866</v>
      </c>
      <c r="E945" s="10">
        <v>8</v>
      </c>
      <c r="F945" s="9" t="s">
        <v>991</v>
      </c>
      <c r="G945" s="11">
        <v>46238</v>
      </c>
      <c r="H945" s="12">
        <v>88.55</v>
      </c>
      <c r="I945" s="12">
        <v>81.47</v>
      </c>
      <c r="J945" s="9" t="s">
        <v>3</v>
      </c>
      <c r="K945" s="8">
        <v>0</v>
      </c>
    </row>
    <row r="946" spans="1:11">
      <c r="A946" s="2" t="s">
        <v>906</v>
      </c>
      <c r="B946" s="2" t="s">
        <v>1810</v>
      </c>
      <c r="C946" s="9">
        <v>10033278</v>
      </c>
      <c r="D946" s="2" t="s">
        <v>1867</v>
      </c>
      <c r="E946" s="10">
        <v>1</v>
      </c>
      <c r="F946" s="9" t="s">
        <v>997</v>
      </c>
      <c r="G946" s="11">
        <v>46238</v>
      </c>
      <c r="H946" s="12">
        <v>45.3</v>
      </c>
      <c r="I946" s="12">
        <v>41.68</v>
      </c>
      <c r="J946" s="9" t="s">
        <v>3</v>
      </c>
      <c r="K946" s="8">
        <v>1</v>
      </c>
    </row>
    <row r="947" spans="1:11">
      <c r="A947" s="2" t="s">
        <v>906</v>
      </c>
      <c r="B947" s="2" t="s">
        <v>1823</v>
      </c>
      <c r="C947" s="9">
        <v>10033279</v>
      </c>
      <c r="D947" s="2" t="s">
        <v>1868</v>
      </c>
      <c r="E947" s="10">
        <v>10</v>
      </c>
      <c r="F947" s="9" t="s">
        <v>866</v>
      </c>
      <c r="G947" s="11">
        <v>46238</v>
      </c>
      <c r="H947" s="12">
        <v>75.510000000000005</v>
      </c>
      <c r="I947" s="12">
        <v>69.47</v>
      </c>
      <c r="J947" s="9" t="s">
        <v>3</v>
      </c>
      <c r="K947" s="8">
        <v>0</v>
      </c>
    </row>
    <row r="948" spans="1:11">
      <c r="A948" s="2" t="s">
        <v>906</v>
      </c>
      <c r="B948" s="2" t="s">
        <v>1823</v>
      </c>
      <c r="C948" s="9">
        <v>10033281</v>
      </c>
      <c r="D948" s="2" t="s">
        <v>1869</v>
      </c>
      <c r="E948" s="10">
        <v>10</v>
      </c>
      <c r="F948" s="9" t="s">
        <v>866</v>
      </c>
      <c r="G948" s="11">
        <v>46238</v>
      </c>
      <c r="H948" s="12">
        <v>78.02</v>
      </c>
      <c r="I948" s="12">
        <v>71.78</v>
      </c>
      <c r="J948" s="9" t="s">
        <v>3</v>
      </c>
      <c r="K948" s="8">
        <v>0</v>
      </c>
    </row>
    <row r="949" spans="1:11">
      <c r="A949" s="2" t="s">
        <v>925</v>
      </c>
      <c r="B949" s="2" t="s">
        <v>1864</v>
      </c>
      <c r="C949" s="9">
        <v>10033286</v>
      </c>
      <c r="D949" s="2" t="s">
        <v>1870</v>
      </c>
      <c r="E949" s="10">
        <v>12</v>
      </c>
      <c r="F949" s="9" t="s">
        <v>982</v>
      </c>
      <c r="G949" s="11">
        <v>46238</v>
      </c>
      <c r="H949" s="12">
        <v>95.58</v>
      </c>
      <c r="I949" s="12">
        <v>85.07</v>
      </c>
      <c r="J949" s="9" t="s">
        <v>3</v>
      </c>
      <c r="K949" s="8">
        <v>0</v>
      </c>
    </row>
    <row r="950" spans="1:11">
      <c r="A950" s="2" t="s">
        <v>906</v>
      </c>
      <c r="B950" s="2" t="s">
        <v>1810</v>
      </c>
      <c r="C950" s="9">
        <v>10033290</v>
      </c>
      <c r="D950" s="2" t="s">
        <v>1871</v>
      </c>
      <c r="E950" s="10">
        <v>10</v>
      </c>
      <c r="F950" s="9" t="s">
        <v>995</v>
      </c>
      <c r="G950" s="11">
        <v>46238</v>
      </c>
      <c r="H950" s="12">
        <v>71.17</v>
      </c>
      <c r="I950" s="12">
        <v>65.48</v>
      </c>
      <c r="J950" s="9" t="s">
        <v>3</v>
      </c>
      <c r="K950" s="8">
        <v>0</v>
      </c>
    </row>
    <row r="951" spans="1:11">
      <c r="A951" s="2" t="s">
        <v>906</v>
      </c>
      <c r="B951" s="2" t="s">
        <v>1810</v>
      </c>
      <c r="C951" s="9">
        <v>10033291</v>
      </c>
      <c r="D951" s="2" t="s">
        <v>1872</v>
      </c>
      <c r="E951" s="10">
        <v>12</v>
      </c>
      <c r="F951" s="9" t="s">
        <v>1689</v>
      </c>
      <c r="G951" s="11">
        <v>46238</v>
      </c>
      <c r="H951" s="12">
        <v>56.26</v>
      </c>
      <c r="I951" s="12">
        <v>50.07</v>
      </c>
      <c r="J951" s="9" t="s">
        <v>3</v>
      </c>
      <c r="K951" s="8">
        <v>0</v>
      </c>
    </row>
    <row r="952" spans="1:11">
      <c r="A952" s="2" t="s">
        <v>842</v>
      </c>
      <c r="B952" s="2" t="s">
        <v>1791</v>
      </c>
      <c r="C952" s="9">
        <v>10033298</v>
      </c>
      <c r="D952" s="2" t="s">
        <v>1873</v>
      </c>
      <c r="E952" s="10">
        <v>8</v>
      </c>
      <c r="F952" s="9" t="s">
        <v>985</v>
      </c>
      <c r="G952" s="11">
        <v>46238</v>
      </c>
      <c r="H952" s="12">
        <v>53.57</v>
      </c>
      <c r="I952" s="12">
        <v>48.28</v>
      </c>
      <c r="J952" s="9" t="s">
        <v>3</v>
      </c>
      <c r="K952" s="8">
        <v>0</v>
      </c>
    </row>
    <row r="953" spans="1:11">
      <c r="A953" s="2" t="s">
        <v>906</v>
      </c>
      <c r="B953" s="2" t="s">
        <v>1810</v>
      </c>
      <c r="C953" s="9">
        <v>10033339</v>
      </c>
      <c r="D953" s="2" t="s">
        <v>1874</v>
      </c>
      <c r="E953" s="10">
        <v>10</v>
      </c>
      <c r="F953" s="9" t="s">
        <v>982</v>
      </c>
      <c r="G953" s="11">
        <v>46238</v>
      </c>
      <c r="H953" s="12">
        <v>77.34</v>
      </c>
      <c r="I953" s="12">
        <v>71.150000000000006</v>
      </c>
      <c r="J953" s="9" t="s">
        <v>3</v>
      </c>
      <c r="K953" s="8">
        <v>0</v>
      </c>
    </row>
    <row r="954" spans="1:11">
      <c r="A954" s="2" t="s">
        <v>906</v>
      </c>
      <c r="B954" s="2" t="s">
        <v>1875</v>
      </c>
      <c r="C954" s="9">
        <v>10033340</v>
      </c>
      <c r="D954" s="2" t="s">
        <v>1876</v>
      </c>
      <c r="E954" s="10">
        <v>12</v>
      </c>
      <c r="F954" s="9" t="s">
        <v>697</v>
      </c>
      <c r="G954" s="11">
        <v>46238</v>
      </c>
      <c r="H954" s="12">
        <v>57.58</v>
      </c>
      <c r="I954" s="12">
        <v>52.97</v>
      </c>
      <c r="J954" s="9" t="s">
        <v>3</v>
      </c>
      <c r="K954" s="8">
        <v>0</v>
      </c>
    </row>
    <row r="955" spans="1:11">
      <c r="A955" s="2" t="s">
        <v>1174</v>
      </c>
      <c r="B955" s="2" t="s">
        <v>1175</v>
      </c>
      <c r="C955" s="9">
        <v>10033494</v>
      </c>
      <c r="D955" s="2" t="s">
        <v>1877</v>
      </c>
      <c r="E955" s="10">
        <v>12</v>
      </c>
      <c r="F955" s="9" t="s">
        <v>917</v>
      </c>
      <c r="G955" s="11">
        <v>46238</v>
      </c>
      <c r="H955" s="12">
        <v>61.87</v>
      </c>
      <c r="I955" s="12">
        <v>55.06</v>
      </c>
      <c r="J955" s="9" t="s">
        <v>3</v>
      </c>
      <c r="K955" s="8">
        <v>0</v>
      </c>
    </row>
    <row r="956" spans="1:11">
      <c r="A956" s="2" t="s">
        <v>1174</v>
      </c>
      <c r="B956" s="2" t="s">
        <v>1175</v>
      </c>
      <c r="C956" s="9">
        <v>10033497</v>
      </c>
      <c r="D956" s="2" t="s">
        <v>1878</v>
      </c>
      <c r="E956" s="10">
        <v>12</v>
      </c>
      <c r="F956" s="9" t="s">
        <v>917</v>
      </c>
      <c r="G956" s="11">
        <v>46238</v>
      </c>
      <c r="H956" s="12">
        <v>61.87</v>
      </c>
      <c r="I956" s="12">
        <v>55.06</v>
      </c>
      <c r="J956" s="9" t="s">
        <v>3</v>
      </c>
      <c r="K956" s="8">
        <v>0</v>
      </c>
    </row>
    <row r="957" spans="1:11">
      <c r="A957" s="2" t="s">
        <v>1246</v>
      </c>
      <c r="B957" s="2" t="s">
        <v>1879</v>
      </c>
      <c r="C957" s="9">
        <v>10033700</v>
      </c>
      <c r="D957" s="2" t="s">
        <v>1880</v>
      </c>
      <c r="E957" s="10">
        <v>6</v>
      </c>
      <c r="F957" s="9" t="s">
        <v>1881</v>
      </c>
      <c r="G957" s="11">
        <v>46238</v>
      </c>
      <c r="H957" s="12">
        <v>70.599999999999994</v>
      </c>
      <c r="I957" s="12">
        <v>62.82</v>
      </c>
      <c r="J957" s="9" t="s">
        <v>3</v>
      </c>
      <c r="K957" s="8">
        <v>0</v>
      </c>
    </row>
    <row r="958" spans="1:11">
      <c r="A958" s="2" t="s">
        <v>1246</v>
      </c>
      <c r="B958" s="2" t="s">
        <v>1879</v>
      </c>
      <c r="C958" s="9">
        <v>10033701</v>
      </c>
      <c r="D958" s="2" t="s">
        <v>1882</v>
      </c>
      <c r="E958" s="10">
        <v>6</v>
      </c>
      <c r="F958" s="9" t="s">
        <v>1881</v>
      </c>
      <c r="G958" s="11">
        <v>46238</v>
      </c>
      <c r="H958" s="12">
        <v>70.599999999999994</v>
      </c>
      <c r="I958" s="12">
        <v>62.82</v>
      </c>
      <c r="J958" s="9" t="s">
        <v>3</v>
      </c>
      <c r="K958" s="8">
        <v>0</v>
      </c>
    </row>
    <row r="959" spans="1:11">
      <c r="A959" s="2" t="s">
        <v>1246</v>
      </c>
      <c r="B959" s="2" t="s">
        <v>1879</v>
      </c>
      <c r="C959" s="9">
        <v>10033702</v>
      </c>
      <c r="D959" s="2" t="s">
        <v>1883</v>
      </c>
      <c r="E959" s="10">
        <v>6</v>
      </c>
      <c r="F959" s="9" t="s">
        <v>1881</v>
      </c>
      <c r="G959" s="11">
        <v>46238</v>
      </c>
      <c r="H959" s="12">
        <v>70.599999999999994</v>
      </c>
      <c r="I959" s="12">
        <v>62.82</v>
      </c>
      <c r="J959" s="9" t="s">
        <v>3</v>
      </c>
      <c r="K959" s="8">
        <v>0</v>
      </c>
    </row>
    <row r="960" spans="1:11">
      <c r="A960" s="2" t="s">
        <v>1246</v>
      </c>
      <c r="B960" s="2" t="s">
        <v>1879</v>
      </c>
      <c r="C960" s="9">
        <v>10033703</v>
      </c>
      <c r="D960" s="2" t="s">
        <v>1884</v>
      </c>
      <c r="E960" s="10">
        <v>6</v>
      </c>
      <c r="F960" s="9" t="s">
        <v>1885</v>
      </c>
      <c r="G960" s="11">
        <v>46238</v>
      </c>
      <c r="H960" s="12">
        <v>45.7</v>
      </c>
      <c r="I960" s="12">
        <v>40.68</v>
      </c>
      <c r="J960" s="9" t="s">
        <v>3</v>
      </c>
      <c r="K960" s="8">
        <v>0</v>
      </c>
    </row>
    <row r="961" spans="1:11">
      <c r="A961" s="2" t="s">
        <v>1246</v>
      </c>
      <c r="B961" s="2" t="s">
        <v>1879</v>
      </c>
      <c r="C961" s="9">
        <v>10033704</v>
      </c>
      <c r="D961" s="2" t="s">
        <v>1886</v>
      </c>
      <c r="E961" s="10">
        <v>6</v>
      </c>
      <c r="F961" s="9" t="s">
        <v>1885</v>
      </c>
      <c r="G961" s="11">
        <v>46238</v>
      </c>
      <c r="H961" s="12">
        <v>45.7</v>
      </c>
      <c r="I961" s="12">
        <v>40.68</v>
      </c>
      <c r="J961" s="9" t="s">
        <v>3</v>
      </c>
      <c r="K961" s="8">
        <v>0</v>
      </c>
    </row>
    <row r="962" spans="1:11">
      <c r="A962" s="2" t="s">
        <v>1246</v>
      </c>
      <c r="B962" s="2" t="s">
        <v>1879</v>
      </c>
      <c r="C962" s="9">
        <v>10033705</v>
      </c>
      <c r="D962" s="2" t="s">
        <v>1887</v>
      </c>
      <c r="E962" s="10">
        <v>6</v>
      </c>
      <c r="F962" s="9" t="s">
        <v>1885</v>
      </c>
      <c r="G962" s="11">
        <v>46238</v>
      </c>
      <c r="H962" s="12">
        <v>45.7</v>
      </c>
      <c r="I962" s="12">
        <v>40.68</v>
      </c>
      <c r="J962" s="9" t="s">
        <v>3</v>
      </c>
      <c r="K962" s="8">
        <v>0</v>
      </c>
    </row>
    <row r="963" spans="1:11">
      <c r="A963" s="2" t="s">
        <v>1246</v>
      </c>
      <c r="B963" s="2" t="s">
        <v>1879</v>
      </c>
      <c r="C963" s="9">
        <v>10033706</v>
      </c>
      <c r="D963" s="2" t="s">
        <v>1888</v>
      </c>
      <c r="E963" s="10">
        <v>6</v>
      </c>
      <c r="F963" s="9" t="s">
        <v>763</v>
      </c>
      <c r="G963" s="11">
        <v>46238</v>
      </c>
      <c r="H963" s="12">
        <v>80.599999999999994</v>
      </c>
      <c r="I963" s="12">
        <v>71.760000000000005</v>
      </c>
      <c r="J963" s="9" t="s">
        <v>3</v>
      </c>
      <c r="K963" s="8">
        <v>0</v>
      </c>
    </row>
    <row r="964" spans="1:11">
      <c r="A964" s="2" t="s">
        <v>1246</v>
      </c>
      <c r="B964" s="2" t="s">
        <v>1879</v>
      </c>
      <c r="C964" s="9">
        <v>10033707</v>
      </c>
      <c r="D964" s="2" t="s">
        <v>1889</v>
      </c>
      <c r="E964" s="10">
        <v>6</v>
      </c>
      <c r="F964" s="9" t="s">
        <v>763</v>
      </c>
      <c r="G964" s="11">
        <v>46238</v>
      </c>
      <c r="H964" s="12">
        <v>80.599999999999994</v>
      </c>
      <c r="I964" s="12">
        <v>71.760000000000005</v>
      </c>
      <c r="J964" s="9" t="s">
        <v>3</v>
      </c>
      <c r="K964" s="8">
        <v>0</v>
      </c>
    </row>
    <row r="965" spans="1:11">
      <c r="A965" s="2" t="s">
        <v>1246</v>
      </c>
      <c r="B965" s="2" t="s">
        <v>1879</v>
      </c>
      <c r="C965" s="9">
        <v>10033708</v>
      </c>
      <c r="D965" s="2" t="s">
        <v>1890</v>
      </c>
      <c r="E965" s="10">
        <v>6</v>
      </c>
      <c r="F965" s="9" t="s">
        <v>763</v>
      </c>
      <c r="G965" s="11">
        <v>46238</v>
      </c>
      <c r="H965" s="12">
        <v>80.599999999999994</v>
      </c>
      <c r="I965" s="12">
        <v>71.760000000000005</v>
      </c>
      <c r="J965" s="9" t="s">
        <v>3</v>
      </c>
      <c r="K965" s="8">
        <v>0</v>
      </c>
    </row>
    <row r="966" spans="1:11">
      <c r="A966" s="2" t="s">
        <v>1246</v>
      </c>
      <c r="B966" s="2" t="s">
        <v>1879</v>
      </c>
      <c r="C966" s="9">
        <v>10033709</v>
      </c>
      <c r="D966" s="2" t="s">
        <v>1891</v>
      </c>
      <c r="E966" s="10">
        <v>6</v>
      </c>
      <c r="F966" s="9" t="s">
        <v>763</v>
      </c>
      <c r="G966" s="11">
        <v>46238</v>
      </c>
      <c r="H966" s="12">
        <v>80.599999999999994</v>
      </c>
      <c r="I966" s="12">
        <v>71.760000000000005</v>
      </c>
      <c r="J966" s="9" t="s">
        <v>3</v>
      </c>
      <c r="K966" s="8">
        <v>0</v>
      </c>
    </row>
    <row r="967" spans="1:11">
      <c r="A967" s="2" t="s">
        <v>1246</v>
      </c>
      <c r="B967" s="2" t="s">
        <v>1879</v>
      </c>
      <c r="C967" s="9">
        <v>10033710</v>
      </c>
      <c r="D967" s="2" t="s">
        <v>1892</v>
      </c>
      <c r="E967" s="10">
        <v>6</v>
      </c>
      <c r="F967" s="9" t="s">
        <v>763</v>
      </c>
      <c r="G967" s="11">
        <v>46238</v>
      </c>
      <c r="H967" s="12">
        <v>80.599999999999994</v>
      </c>
      <c r="I967" s="12">
        <v>71.760000000000005</v>
      </c>
      <c r="J967" s="9" t="s">
        <v>3</v>
      </c>
      <c r="K967" s="8">
        <v>0</v>
      </c>
    </row>
    <row r="968" spans="1:11">
      <c r="A968" s="2" t="s">
        <v>1246</v>
      </c>
      <c r="B968" s="2" t="s">
        <v>1879</v>
      </c>
      <c r="C968" s="9">
        <v>10033711</v>
      </c>
      <c r="D968" s="2" t="s">
        <v>1893</v>
      </c>
      <c r="E968" s="10">
        <v>6</v>
      </c>
      <c r="F968" s="9" t="s">
        <v>763</v>
      </c>
      <c r="G968" s="11">
        <v>46238</v>
      </c>
      <c r="H968" s="12">
        <v>80.599999999999994</v>
      </c>
      <c r="I968" s="12">
        <v>71.760000000000005</v>
      </c>
      <c r="J968" s="9" t="s">
        <v>3</v>
      </c>
      <c r="K968" s="8">
        <v>0</v>
      </c>
    </row>
    <row r="969" spans="1:11">
      <c r="A969" s="2" t="s">
        <v>1174</v>
      </c>
      <c r="B969" s="2" t="s">
        <v>1175</v>
      </c>
      <c r="C969" s="9">
        <v>10034535</v>
      </c>
      <c r="D969" s="2" t="s">
        <v>1894</v>
      </c>
      <c r="E969" s="10">
        <v>1</v>
      </c>
      <c r="F969" s="9" t="s">
        <v>745</v>
      </c>
      <c r="G969" s="11">
        <v>46238</v>
      </c>
      <c r="H969" s="12">
        <v>153.66</v>
      </c>
      <c r="I969" s="12">
        <v>136.76</v>
      </c>
      <c r="J969" s="9" t="s">
        <v>3</v>
      </c>
      <c r="K969" s="8">
        <v>0</v>
      </c>
    </row>
    <row r="970" spans="1:11">
      <c r="A970" s="2" t="s">
        <v>1174</v>
      </c>
      <c r="B970" s="2" t="s">
        <v>1175</v>
      </c>
      <c r="C970" s="9">
        <v>10034602</v>
      </c>
      <c r="D970" s="2" t="s">
        <v>1895</v>
      </c>
      <c r="E970" s="10">
        <v>12</v>
      </c>
      <c r="F970" s="9" t="s">
        <v>969</v>
      </c>
      <c r="G970" s="11">
        <v>46238</v>
      </c>
      <c r="H970" s="12">
        <v>72.27</v>
      </c>
      <c r="I970" s="12">
        <v>64.319999999999993</v>
      </c>
      <c r="J970" s="9" t="s">
        <v>3</v>
      </c>
      <c r="K970" s="8">
        <v>0</v>
      </c>
    </row>
    <row r="971" spans="1:11">
      <c r="A971" s="2" t="s">
        <v>1174</v>
      </c>
      <c r="B971" s="2" t="s">
        <v>1175</v>
      </c>
      <c r="C971" s="9">
        <v>10034604</v>
      </c>
      <c r="D971" s="2" t="s">
        <v>1896</v>
      </c>
      <c r="E971" s="10">
        <v>12</v>
      </c>
      <c r="F971" s="9" t="s">
        <v>969</v>
      </c>
      <c r="G971" s="11">
        <v>46238</v>
      </c>
      <c r="H971" s="12">
        <v>72.27</v>
      </c>
      <c r="I971" s="12">
        <v>64.319999999999993</v>
      </c>
      <c r="J971" s="9" t="s">
        <v>3</v>
      </c>
      <c r="K971" s="8">
        <v>0</v>
      </c>
    </row>
    <row r="972" spans="1:11">
      <c r="A972" s="2" t="s">
        <v>1174</v>
      </c>
      <c r="B972" s="2" t="s">
        <v>1175</v>
      </c>
      <c r="C972" s="9">
        <v>10034605</v>
      </c>
      <c r="D972" s="2" t="s">
        <v>1897</v>
      </c>
      <c r="E972" s="10">
        <v>12</v>
      </c>
      <c r="F972" s="9" t="s">
        <v>969</v>
      </c>
      <c r="G972" s="11">
        <v>46238</v>
      </c>
      <c r="H972" s="12">
        <v>72.27</v>
      </c>
      <c r="I972" s="12">
        <v>64.319999999999993</v>
      </c>
      <c r="J972" s="9" t="s">
        <v>3</v>
      </c>
      <c r="K972" s="8">
        <v>0</v>
      </c>
    </row>
    <row r="973" spans="1:11">
      <c r="A973" s="2" t="s">
        <v>1174</v>
      </c>
      <c r="B973" s="2" t="s">
        <v>1175</v>
      </c>
      <c r="C973" s="9">
        <v>10034607</v>
      </c>
      <c r="D973" s="2" t="s">
        <v>1898</v>
      </c>
      <c r="E973" s="10">
        <v>12</v>
      </c>
      <c r="F973" s="9" t="s">
        <v>969</v>
      </c>
      <c r="G973" s="11">
        <v>46238</v>
      </c>
      <c r="H973" s="12">
        <v>72.27</v>
      </c>
      <c r="I973" s="12">
        <v>64.319999999999993</v>
      </c>
      <c r="J973" s="9" t="s">
        <v>3</v>
      </c>
      <c r="K973" s="8">
        <v>0</v>
      </c>
    </row>
    <row r="974" spans="1:11">
      <c r="A974" s="2" t="s">
        <v>1174</v>
      </c>
      <c r="B974" s="2" t="s">
        <v>1175</v>
      </c>
      <c r="C974" s="9">
        <v>10034608</v>
      </c>
      <c r="D974" s="2" t="s">
        <v>1899</v>
      </c>
      <c r="E974" s="10">
        <v>12</v>
      </c>
      <c r="F974" s="9" t="s">
        <v>969</v>
      </c>
      <c r="G974" s="11">
        <v>46238</v>
      </c>
      <c r="H974" s="12">
        <v>72.27</v>
      </c>
      <c r="I974" s="12">
        <v>64.319999999999993</v>
      </c>
      <c r="J974" s="9" t="s">
        <v>3</v>
      </c>
      <c r="K974" s="8">
        <v>0</v>
      </c>
    </row>
    <row r="975" spans="1:11">
      <c r="A975" s="2" t="s">
        <v>1174</v>
      </c>
      <c r="B975" s="2" t="s">
        <v>1175</v>
      </c>
      <c r="C975" s="9">
        <v>10034610</v>
      </c>
      <c r="D975" s="2" t="s">
        <v>1900</v>
      </c>
      <c r="E975" s="10">
        <v>12</v>
      </c>
      <c r="F975" s="9" t="s">
        <v>969</v>
      </c>
      <c r="G975" s="11">
        <v>46238</v>
      </c>
      <c r="H975" s="12">
        <v>72.27</v>
      </c>
      <c r="I975" s="12">
        <v>64.319999999999993</v>
      </c>
      <c r="J975" s="9" t="s">
        <v>3</v>
      </c>
      <c r="K975" s="8">
        <v>0</v>
      </c>
    </row>
    <row r="976" spans="1:11">
      <c r="A976" s="2" t="s">
        <v>1174</v>
      </c>
      <c r="B976" s="2" t="s">
        <v>1175</v>
      </c>
      <c r="C976" s="9">
        <v>10034611</v>
      </c>
      <c r="D976" s="2" t="s">
        <v>1901</v>
      </c>
      <c r="E976" s="10">
        <v>12</v>
      </c>
      <c r="F976" s="9" t="s">
        <v>969</v>
      </c>
      <c r="G976" s="11">
        <v>46238</v>
      </c>
      <c r="H976" s="12">
        <v>72.27</v>
      </c>
      <c r="I976" s="12">
        <v>64.319999999999993</v>
      </c>
      <c r="J976" s="9" t="s">
        <v>3</v>
      </c>
      <c r="K976" s="8">
        <v>0</v>
      </c>
    </row>
    <row r="977" spans="1:11">
      <c r="A977" s="2" t="s">
        <v>746</v>
      </c>
      <c r="B977" s="2" t="s">
        <v>1509</v>
      </c>
      <c r="C977" s="9">
        <v>10034619</v>
      </c>
      <c r="D977" s="2" t="s">
        <v>1902</v>
      </c>
      <c r="E977" s="10">
        <v>288</v>
      </c>
      <c r="F977" s="9" t="s">
        <v>1511</v>
      </c>
      <c r="G977" s="11">
        <v>46238</v>
      </c>
      <c r="H977" s="12">
        <v>1220.96</v>
      </c>
      <c r="I977" s="12">
        <v>1086.6500000000001</v>
      </c>
      <c r="J977" s="9" t="s">
        <v>3</v>
      </c>
      <c r="K977" s="8">
        <v>0</v>
      </c>
    </row>
    <row r="978" spans="1:11">
      <c r="A978" s="2" t="s">
        <v>1174</v>
      </c>
      <c r="B978" s="2" t="s">
        <v>1175</v>
      </c>
      <c r="C978" s="9">
        <v>10034620</v>
      </c>
      <c r="D978" s="2" t="s">
        <v>1903</v>
      </c>
      <c r="E978" s="10">
        <v>6</v>
      </c>
      <c r="F978" s="9" t="s">
        <v>759</v>
      </c>
      <c r="G978" s="11">
        <v>46238</v>
      </c>
      <c r="H978" s="12">
        <v>90.39</v>
      </c>
      <c r="I978" s="12">
        <v>80.45</v>
      </c>
      <c r="J978" s="9" t="s">
        <v>3</v>
      </c>
      <c r="K978" s="8">
        <v>0</v>
      </c>
    </row>
    <row r="979" spans="1:11">
      <c r="A979" s="2" t="s">
        <v>1174</v>
      </c>
      <c r="B979" s="2" t="s">
        <v>1175</v>
      </c>
      <c r="C979" s="9">
        <v>10034621</v>
      </c>
      <c r="D979" s="2" t="s">
        <v>1904</v>
      </c>
      <c r="E979" s="10">
        <v>6</v>
      </c>
      <c r="F979" s="9" t="s">
        <v>759</v>
      </c>
      <c r="G979" s="11">
        <v>46238</v>
      </c>
      <c r="H979" s="12">
        <v>90.39</v>
      </c>
      <c r="I979" s="12">
        <v>80.45</v>
      </c>
      <c r="J979" s="9" t="s">
        <v>3</v>
      </c>
      <c r="K979" s="8">
        <v>0</v>
      </c>
    </row>
    <row r="980" spans="1:11">
      <c r="A980" s="2" t="s">
        <v>1174</v>
      </c>
      <c r="B980" s="2" t="s">
        <v>1175</v>
      </c>
      <c r="C980" s="9">
        <v>10034622</v>
      </c>
      <c r="D980" s="2" t="s">
        <v>1905</v>
      </c>
      <c r="E980" s="10">
        <v>6</v>
      </c>
      <c r="F980" s="9" t="s">
        <v>1906</v>
      </c>
      <c r="G980" s="11">
        <v>46238</v>
      </c>
      <c r="H980" s="12">
        <v>66.03</v>
      </c>
      <c r="I980" s="12">
        <v>58.77</v>
      </c>
      <c r="J980" s="9" t="s">
        <v>3</v>
      </c>
      <c r="K980" s="8">
        <v>0</v>
      </c>
    </row>
    <row r="981" spans="1:11">
      <c r="A981" s="2" t="s">
        <v>1174</v>
      </c>
      <c r="B981" s="2" t="s">
        <v>1175</v>
      </c>
      <c r="C981" s="9">
        <v>10034623</v>
      </c>
      <c r="D981" s="2" t="s">
        <v>1907</v>
      </c>
      <c r="E981" s="10">
        <v>6</v>
      </c>
      <c r="F981" s="9" t="s">
        <v>1906</v>
      </c>
      <c r="G981" s="11">
        <v>46238</v>
      </c>
      <c r="H981" s="12">
        <v>66.03</v>
      </c>
      <c r="I981" s="12">
        <v>58.77</v>
      </c>
      <c r="J981" s="9" t="s">
        <v>3</v>
      </c>
      <c r="K981" s="8">
        <v>0</v>
      </c>
    </row>
    <row r="982" spans="1:11">
      <c r="A982" s="2" t="s">
        <v>721</v>
      </c>
      <c r="B982" s="2" t="s">
        <v>1908</v>
      </c>
      <c r="C982" s="9">
        <v>10036097</v>
      </c>
      <c r="D982" s="2" t="s">
        <v>1909</v>
      </c>
      <c r="E982" s="10">
        <v>6</v>
      </c>
      <c r="F982" s="9" t="s">
        <v>1910</v>
      </c>
      <c r="G982" s="11">
        <v>46238</v>
      </c>
      <c r="H982" s="12">
        <v>33.24</v>
      </c>
      <c r="I982" s="12">
        <v>29.58</v>
      </c>
      <c r="J982" s="9" t="s">
        <v>3</v>
      </c>
      <c r="K982" s="8">
        <v>0</v>
      </c>
    </row>
    <row r="983" spans="1:11">
      <c r="A983" s="2" t="s">
        <v>721</v>
      </c>
      <c r="B983" s="2" t="s">
        <v>1908</v>
      </c>
      <c r="C983" s="9">
        <v>10036098</v>
      </c>
      <c r="D983" s="2" t="s">
        <v>1911</v>
      </c>
      <c r="E983" s="10">
        <v>6</v>
      </c>
      <c r="F983" s="9" t="s">
        <v>1910</v>
      </c>
      <c r="G983" s="11">
        <v>46238</v>
      </c>
      <c r="H983" s="12">
        <v>33.24</v>
      </c>
      <c r="I983" s="12">
        <v>29.58</v>
      </c>
      <c r="J983" s="9" t="s">
        <v>3</v>
      </c>
      <c r="K983" s="8">
        <v>0</v>
      </c>
    </row>
    <row r="984" spans="1:11">
      <c r="A984" s="2" t="s">
        <v>721</v>
      </c>
      <c r="B984" s="2" t="s">
        <v>1908</v>
      </c>
      <c r="C984" s="9">
        <v>10036099</v>
      </c>
      <c r="D984" s="2" t="s">
        <v>1912</v>
      </c>
      <c r="E984" s="10">
        <v>6</v>
      </c>
      <c r="F984" s="9" t="s">
        <v>1910</v>
      </c>
      <c r="G984" s="11">
        <v>46238</v>
      </c>
      <c r="H984" s="12">
        <v>33.24</v>
      </c>
      <c r="I984" s="12">
        <v>29.58</v>
      </c>
      <c r="J984" s="9" t="s">
        <v>3</v>
      </c>
      <c r="K984" s="8">
        <v>0</v>
      </c>
    </row>
    <row r="985" spans="1:11">
      <c r="A985" s="2" t="s">
        <v>906</v>
      </c>
      <c r="B985" s="2" t="s">
        <v>1000</v>
      </c>
      <c r="C985" s="9">
        <v>10036400</v>
      </c>
      <c r="D985" s="2" t="s">
        <v>1913</v>
      </c>
      <c r="E985" s="10">
        <v>12</v>
      </c>
      <c r="F985" s="9" t="s">
        <v>985</v>
      </c>
      <c r="G985" s="11">
        <v>46238</v>
      </c>
      <c r="H985" s="12">
        <v>84.03</v>
      </c>
      <c r="I985" s="12">
        <v>77.31</v>
      </c>
      <c r="J985" s="9" t="s">
        <v>3</v>
      </c>
      <c r="K985" s="8">
        <v>0</v>
      </c>
    </row>
    <row r="986" spans="1:11">
      <c r="A986" s="2" t="s">
        <v>906</v>
      </c>
      <c r="B986" s="2" t="s">
        <v>977</v>
      </c>
      <c r="C986" s="9">
        <v>10036401</v>
      </c>
      <c r="D986" s="2" t="s">
        <v>1913</v>
      </c>
      <c r="E986" s="10">
        <v>2</v>
      </c>
      <c r="F986" s="9" t="s">
        <v>1023</v>
      </c>
      <c r="G986" s="11">
        <v>46238</v>
      </c>
      <c r="H986" s="12">
        <v>42.32</v>
      </c>
      <c r="I986" s="12">
        <v>38.93</v>
      </c>
      <c r="J986" s="9" t="s">
        <v>3</v>
      </c>
      <c r="K986" s="8">
        <v>1</v>
      </c>
    </row>
    <row r="987" spans="1:11">
      <c r="A987" s="2" t="s">
        <v>708</v>
      </c>
      <c r="B987" s="2" t="s">
        <v>1914</v>
      </c>
      <c r="C987" s="9">
        <v>10038044</v>
      </c>
      <c r="D987" s="2" t="s">
        <v>1915</v>
      </c>
      <c r="E987" s="10">
        <v>12</v>
      </c>
      <c r="F987" s="9" t="s">
        <v>982</v>
      </c>
      <c r="G987" s="11">
        <v>46238</v>
      </c>
      <c r="H987" s="12">
        <v>67.459999999999994</v>
      </c>
      <c r="I987" s="12">
        <v>60.04</v>
      </c>
      <c r="J987" s="9" t="s">
        <v>3</v>
      </c>
      <c r="K987" s="8">
        <v>0</v>
      </c>
    </row>
    <row r="988" spans="1:11">
      <c r="A988" s="2" t="s">
        <v>708</v>
      </c>
      <c r="B988" s="2" t="s">
        <v>1914</v>
      </c>
      <c r="C988" s="9">
        <v>10038088</v>
      </c>
      <c r="D988" s="2" t="s">
        <v>1916</v>
      </c>
      <c r="E988" s="10">
        <v>6</v>
      </c>
      <c r="F988" s="9" t="s">
        <v>1430</v>
      </c>
      <c r="G988" s="11">
        <v>46238</v>
      </c>
      <c r="H988" s="12">
        <v>28.73</v>
      </c>
      <c r="I988" s="12">
        <v>25.57</v>
      </c>
      <c r="J988" s="9" t="s">
        <v>3</v>
      </c>
      <c r="K988" s="8">
        <v>0</v>
      </c>
    </row>
    <row r="989" spans="1:11">
      <c r="A989" s="2" t="s">
        <v>708</v>
      </c>
      <c r="B989" s="2" t="s">
        <v>1914</v>
      </c>
      <c r="C989" s="9">
        <v>10038092</v>
      </c>
      <c r="D989" s="2" t="s">
        <v>1917</v>
      </c>
      <c r="E989" s="10">
        <v>12</v>
      </c>
      <c r="F989" s="9" t="s">
        <v>985</v>
      </c>
      <c r="G989" s="11">
        <v>46238</v>
      </c>
      <c r="H989" s="12">
        <v>63.6</v>
      </c>
      <c r="I989" s="12">
        <v>56.64</v>
      </c>
      <c r="J989" s="9" t="s">
        <v>3</v>
      </c>
      <c r="K989" s="8">
        <v>0</v>
      </c>
    </row>
    <row r="990" spans="1:11">
      <c r="A990" s="2" t="s">
        <v>708</v>
      </c>
      <c r="B990" s="2" t="s">
        <v>1914</v>
      </c>
      <c r="C990" s="9">
        <v>10038095</v>
      </c>
      <c r="D990" s="2" t="s">
        <v>1918</v>
      </c>
      <c r="E990" s="10">
        <v>6</v>
      </c>
      <c r="F990" s="9" t="s">
        <v>1171</v>
      </c>
      <c r="G990" s="11">
        <v>46238</v>
      </c>
      <c r="H990" s="12">
        <v>28.73</v>
      </c>
      <c r="I990" s="12">
        <v>25.57</v>
      </c>
      <c r="J990" s="9" t="s">
        <v>3</v>
      </c>
      <c r="K990" s="8">
        <v>0</v>
      </c>
    </row>
    <row r="991" spans="1:11">
      <c r="A991" s="2" t="s">
        <v>708</v>
      </c>
      <c r="B991" s="2" t="s">
        <v>1914</v>
      </c>
      <c r="C991" s="9">
        <v>10038126</v>
      </c>
      <c r="D991" s="2" t="s">
        <v>1919</v>
      </c>
      <c r="E991" s="10">
        <v>5</v>
      </c>
      <c r="F991" s="9" t="s">
        <v>866</v>
      </c>
      <c r="G991" s="11">
        <v>46238</v>
      </c>
      <c r="H991" s="12">
        <v>26.97</v>
      </c>
      <c r="I991" s="12">
        <v>24</v>
      </c>
      <c r="J991" s="9" t="s">
        <v>3</v>
      </c>
      <c r="K991" s="8">
        <v>0</v>
      </c>
    </row>
    <row r="992" spans="1:11">
      <c r="A992" s="2" t="s">
        <v>708</v>
      </c>
      <c r="B992" s="2" t="s">
        <v>1914</v>
      </c>
      <c r="C992" s="9">
        <v>10038127</v>
      </c>
      <c r="D992" s="2" t="s">
        <v>1920</v>
      </c>
      <c r="E992" s="10">
        <v>5</v>
      </c>
      <c r="F992" s="9" t="s">
        <v>1263</v>
      </c>
      <c r="G992" s="11">
        <v>46238</v>
      </c>
      <c r="H992" s="12">
        <v>26.97</v>
      </c>
      <c r="I992" s="12">
        <v>24</v>
      </c>
      <c r="J992" s="9" t="s">
        <v>3</v>
      </c>
      <c r="K992" s="8">
        <v>0</v>
      </c>
    </row>
    <row r="993" spans="1:11">
      <c r="A993" s="2" t="s">
        <v>708</v>
      </c>
      <c r="B993" s="2" t="s">
        <v>1914</v>
      </c>
      <c r="C993" s="9">
        <v>10038128</v>
      </c>
      <c r="D993" s="2" t="s">
        <v>1921</v>
      </c>
      <c r="E993" s="10">
        <v>6</v>
      </c>
      <c r="F993" s="9" t="s">
        <v>985</v>
      </c>
      <c r="G993" s="11">
        <v>46238</v>
      </c>
      <c r="H993" s="12">
        <v>43.52</v>
      </c>
      <c r="I993" s="12">
        <v>38.729999999999997</v>
      </c>
      <c r="J993" s="9" t="s">
        <v>3</v>
      </c>
      <c r="K993" s="8">
        <v>0</v>
      </c>
    </row>
    <row r="994" spans="1:11">
      <c r="A994" s="2" t="s">
        <v>708</v>
      </c>
      <c r="B994" s="2" t="s">
        <v>1914</v>
      </c>
      <c r="C994" s="9">
        <v>10038129</v>
      </c>
      <c r="D994" s="2" t="s">
        <v>1922</v>
      </c>
      <c r="E994" s="10">
        <v>5</v>
      </c>
      <c r="F994" s="9" t="s">
        <v>1756</v>
      </c>
      <c r="G994" s="11">
        <v>46238</v>
      </c>
      <c r="H994" s="12">
        <v>34.07</v>
      </c>
      <c r="I994" s="12">
        <v>30.32</v>
      </c>
      <c r="J994" s="9" t="s">
        <v>3</v>
      </c>
      <c r="K994" s="8">
        <v>0</v>
      </c>
    </row>
    <row r="995" spans="1:11">
      <c r="A995" s="2" t="s">
        <v>708</v>
      </c>
      <c r="B995" s="2" t="s">
        <v>1914</v>
      </c>
      <c r="C995" s="9">
        <v>10038130</v>
      </c>
      <c r="D995" s="2" t="s">
        <v>1923</v>
      </c>
      <c r="E995" s="10">
        <v>5</v>
      </c>
      <c r="F995" s="9" t="s">
        <v>1756</v>
      </c>
      <c r="G995" s="11">
        <v>46238</v>
      </c>
      <c r="H995" s="12">
        <v>34.07</v>
      </c>
      <c r="I995" s="12">
        <v>30.32</v>
      </c>
      <c r="J995" s="9" t="s">
        <v>3</v>
      </c>
      <c r="K995" s="8">
        <v>0</v>
      </c>
    </row>
    <row r="996" spans="1:11">
      <c r="A996" s="2" t="s">
        <v>708</v>
      </c>
      <c r="B996" s="2" t="s">
        <v>1914</v>
      </c>
      <c r="C996" s="9">
        <v>10038131</v>
      </c>
      <c r="D996" s="2" t="s">
        <v>1924</v>
      </c>
      <c r="E996" s="10">
        <v>5</v>
      </c>
      <c r="F996" s="9" t="s">
        <v>1756</v>
      </c>
      <c r="G996" s="11">
        <v>46238</v>
      </c>
      <c r="H996" s="12">
        <v>34.07</v>
      </c>
      <c r="I996" s="12">
        <v>30.32</v>
      </c>
      <c r="J996" s="9" t="s">
        <v>3</v>
      </c>
      <c r="K996" s="8">
        <v>0</v>
      </c>
    </row>
    <row r="997" spans="1:11">
      <c r="A997" s="2" t="s">
        <v>708</v>
      </c>
      <c r="B997" s="2" t="s">
        <v>1914</v>
      </c>
      <c r="C997" s="9">
        <v>10038132</v>
      </c>
      <c r="D997" s="2" t="s">
        <v>1925</v>
      </c>
      <c r="E997" s="10">
        <v>8</v>
      </c>
      <c r="F997" s="9" t="s">
        <v>1367</v>
      </c>
      <c r="G997" s="11">
        <v>46238</v>
      </c>
      <c r="H997" s="12">
        <v>56.38</v>
      </c>
      <c r="I997" s="12">
        <v>50.18</v>
      </c>
      <c r="J997" s="9" t="s">
        <v>3</v>
      </c>
      <c r="K997" s="8">
        <v>0</v>
      </c>
    </row>
    <row r="998" spans="1:11">
      <c r="A998" s="2" t="s">
        <v>708</v>
      </c>
      <c r="B998" s="2" t="s">
        <v>1914</v>
      </c>
      <c r="C998" s="9">
        <v>10038133</v>
      </c>
      <c r="D998" s="2" t="s">
        <v>1926</v>
      </c>
      <c r="E998" s="10">
        <v>8</v>
      </c>
      <c r="F998" s="9" t="s">
        <v>1367</v>
      </c>
      <c r="G998" s="11">
        <v>46238</v>
      </c>
      <c r="H998" s="12">
        <v>56.38</v>
      </c>
      <c r="I998" s="12">
        <v>50.18</v>
      </c>
      <c r="J998" s="9" t="s">
        <v>3</v>
      </c>
      <c r="K998" s="8">
        <v>0</v>
      </c>
    </row>
    <row r="999" spans="1:11">
      <c r="A999" s="2" t="s">
        <v>708</v>
      </c>
      <c r="B999" s="2" t="s">
        <v>1914</v>
      </c>
      <c r="C999" s="9">
        <v>10038134</v>
      </c>
      <c r="D999" s="2" t="s">
        <v>1927</v>
      </c>
      <c r="E999" s="10">
        <v>8</v>
      </c>
      <c r="F999" s="9" t="s">
        <v>1367</v>
      </c>
      <c r="G999" s="11">
        <v>46238</v>
      </c>
      <c r="H999" s="12">
        <v>56.38</v>
      </c>
      <c r="I999" s="12">
        <v>50.18</v>
      </c>
      <c r="J999" s="9" t="s">
        <v>3</v>
      </c>
      <c r="K999" s="8">
        <v>0</v>
      </c>
    </row>
    <row r="1000" spans="1:11">
      <c r="A1000" s="2" t="s">
        <v>708</v>
      </c>
      <c r="B1000" s="2" t="s">
        <v>1914</v>
      </c>
      <c r="C1000" s="9">
        <v>10038135</v>
      </c>
      <c r="D1000" s="2" t="s">
        <v>1928</v>
      </c>
      <c r="E1000" s="10">
        <v>5</v>
      </c>
      <c r="F1000" s="9" t="s">
        <v>982</v>
      </c>
      <c r="G1000" s="11">
        <v>46238</v>
      </c>
      <c r="H1000" s="12">
        <v>32.1</v>
      </c>
      <c r="I1000" s="12">
        <v>28.55</v>
      </c>
      <c r="J1000" s="9" t="s">
        <v>3</v>
      </c>
      <c r="K1000" s="8">
        <v>0</v>
      </c>
    </row>
    <row r="1001" spans="1:11">
      <c r="A1001" s="2" t="s">
        <v>708</v>
      </c>
      <c r="B1001" s="2" t="s">
        <v>1914</v>
      </c>
      <c r="C1001" s="9">
        <v>10038136</v>
      </c>
      <c r="D1001" s="2" t="s">
        <v>1929</v>
      </c>
      <c r="E1001" s="10">
        <v>5</v>
      </c>
      <c r="F1001" s="9" t="s">
        <v>985</v>
      </c>
      <c r="G1001" s="11">
        <v>46238</v>
      </c>
      <c r="H1001" s="12">
        <v>35.24</v>
      </c>
      <c r="I1001" s="12">
        <v>31.36</v>
      </c>
      <c r="J1001" s="9" t="s">
        <v>3</v>
      </c>
      <c r="K1001" s="8">
        <v>0</v>
      </c>
    </row>
    <row r="1002" spans="1:11">
      <c r="A1002" s="2" t="s">
        <v>708</v>
      </c>
      <c r="B1002" s="2" t="s">
        <v>1914</v>
      </c>
      <c r="C1002" s="9">
        <v>10038137</v>
      </c>
      <c r="D1002" s="2" t="s">
        <v>1930</v>
      </c>
      <c r="E1002" s="10">
        <v>5</v>
      </c>
      <c r="F1002" s="9" t="s">
        <v>985</v>
      </c>
      <c r="G1002" s="11">
        <v>46238</v>
      </c>
      <c r="H1002" s="12">
        <v>35.24</v>
      </c>
      <c r="I1002" s="12">
        <v>31.36</v>
      </c>
      <c r="J1002" s="9" t="s">
        <v>3</v>
      </c>
      <c r="K1002" s="8">
        <v>0</v>
      </c>
    </row>
    <row r="1003" spans="1:11">
      <c r="A1003" s="2" t="s">
        <v>708</v>
      </c>
      <c r="B1003" s="2" t="s">
        <v>1914</v>
      </c>
      <c r="C1003" s="9">
        <v>10038138</v>
      </c>
      <c r="D1003" s="2" t="s">
        <v>1931</v>
      </c>
      <c r="E1003" s="10">
        <v>14</v>
      </c>
      <c r="F1003" s="9" t="s">
        <v>1932</v>
      </c>
      <c r="G1003" s="11">
        <v>46238</v>
      </c>
      <c r="H1003" s="12">
        <v>67.03</v>
      </c>
      <c r="I1003" s="12">
        <v>59.66</v>
      </c>
      <c r="J1003" s="9" t="s">
        <v>3</v>
      </c>
      <c r="K1003" s="8">
        <v>0</v>
      </c>
    </row>
    <row r="1004" spans="1:11">
      <c r="A1004" s="2" t="s">
        <v>708</v>
      </c>
      <c r="B1004" s="2" t="s">
        <v>1914</v>
      </c>
      <c r="C1004" s="9">
        <v>10038139</v>
      </c>
      <c r="D1004" s="2" t="s">
        <v>1933</v>
      </c>
      <c r="E1004" s="10">
        <v>4</v>
      </c>
      <c r="F1004" s="9" t="s">
        <v>776</v>
      </c>
      <c r="G1004" s="11">
        <v>46238</v>
      </c>
      <c r="H1004" s="12">
        <v>38.43</v>
      </c>
      <c r="I1004" s="12">
        <v>34.200000000000003</v>
      </c>
      <c r="J1004" s="9" t="s">
        <v>3</v>
      </c>
      <c r="K1004" s="8">
        <v>0</v>
      </c>
    </row>
    <row r="1005" spans="1:11">
      <c r="A1005" s="2" t="s">
        <v>708</v>
      </c>
      <c r="B1005" s="2" t="s">
        <v>1914</v>
      </c>
      <c r="C1005" s="9">
        <v>10038140</v>
      </c>
      <c r="D1005" s="2" t="s">
        <v>1934</v>
      </c>
      <c r="E1005" s="10">
        <v>6</v>
      </c>
      <c r="F1005" s="9" t="s">
        <v>774</v>
      </c>
      <c r="G1005" s="11">
        <v>46238</v>
      </c>
      <c r="H1005" s="12">
        <v>42.29</v>
      </c>
      <c r="I1005" s="12">
        <v>37.64</v>
      </c>
      <c r="J1005" s="9" t="s">
        <v>3</v>
      </c>
      <c r="K1005" s="8">
        <v>0</v>
      </c>
    </row>
    <row r="1006" spans="1:11">
      <c r="A1006" s="2" t="s">
        <v>708</v>
      </c>
      <c r="B1006" s="2" t="s">
        <v>1914</v>
      </c>
      <c r="C1006" s="9">
        <v>10038141</v>
      </c>
      <c r="D1006" s="2" t="s">
        <v>1935</v>
      </c>
      <c r="E1006" s="10">
        <v>5</v>
      </c>
      <c r="F1006" s="9" t="s">
        <v>1797</v>
      </c>
      <c r="G1006" s="11">
        <v>46238</v>
      </c>
      <c r="H1006" s="12">
        <v>25.13</v>
      </c>
      <c r="I1006" s="12">
        <v>22.37</v>
      </c>
      <c r="J1006" s="9" t="s">
        <v>3</v>
      </c>
      <c r="K1006" s="8">
        <v>0</v>
      </c>
    </row>
    <row r="1007" spans="1:11">
      <c r="A1007" s="2" t="s">
        <v>708</v>
      </c>
      <c r="B1007" s="2" t="s">
        <v>1914</v>
      </c>
      <c r="C1007" s="9">
        <v>10038142</v>
      </c>
      <c r="D1007" s="2" t="s">
        <v>1936</v>
      </c>
      <c r="E1007" s="10">
        <v>4</v>
      </c>
      <c r="F1007" s="9" t="s">
        <v>1937</v>
      </c>
      <c r="G1007" s="11">
        <v>46238</v>
      </c>
      <c r="H1007" s="12">
        <v>28.19</v>
      </c>
      <c r="I1007" s="12">
        <v>25.09</v>
      </c>
      <c r="J1007" s="9" t="s">
        <v>3</v>
      </c>
      <c r="K1007" s="8">
        <v>0</v>
      </c>
    </row>
    <row r="1008" spans="1:11">
      <c r="A1008" s="2" t="s">
        <v>708</v>
      </c>
      <c r="B1008" s="2" t="s">
        <v>1914</v>
      </c>
      <c r="C1008" s="9">
        <v>10038143</v>
      </c>
      <c r="D1008" s="2" t="s">
        <v>1938</v>
      </c>
      <c r="E1008" s="10">
        <v>4</v>
      </c>
      <c r="F1008" s="9" t="s">
        <v>776</v>
      </c>
      <c r="G1008" s="11">
        <v>46238</v>
      </c>
      <c r="H1008" s="12">
        <v>28.19</v>
      </c>
      <c r="I1008" s="12">
        <v>25.09</v>
      </c>
      <c r="J1008" s="9" t="s">
        <v>3</v>
      </c>
      <c r="K1008" s="8">
        <v>0</v>
      </c>
    </row>
    <row r="1009" spans="1:11">
      <c r="A1009" s="2" t="s">
        <v>708</v>
      </c>
      <c r="B1009" s="2" t="s">
        <v>1914</v>
      </c>
      <c r="C1009" s="9">
        <v>10038145</v>
      </c>
      <c r="D1009" s="2" t="s">
        <v>1939</v>
      </c>
      <c r="E1009" s="10">
        <v>6</v>
      </c>
      <c r="F1009" s="9" t="s">
        <v>1940</v>
      </c>
      <c r="G1009" s="11">
        <v>46238</v>
      </c>
      <c r="H1009" s="12">
        <v>91.97</v>
      </c>
      <c r="I1009" s="12">
        <v>81.849999999999994</v>
      </c>
      <c r="J1009" s="9" t="s">
        <v>3</v>
      </c>
      <c r="K1009" s="8">
        <v>0</v>
      </c>
    </row>
    <row r="1010" spans="1:11">
      <c r="A1010" s="2" t="s">
        <v>708</v>
      </c>
      <c r="B1010" s="2" t="s">
        <v>1914</v>
      </c>
      <c r="C1010" s="9">
        <v>10038149</v>
      </c>
      <c r="D1010" s="2" t="s">
        <v>1941</v>
      </c>
      <c r="E1010" s="10">
        <v>7</v>
      </c>
      <c r="F1010" s="9" t="s">
        <v>982</v>
      </c>
      <c r="G1010" s="11">
        <v>46238</v>
      </c>
      <c r="H1010" s="12">
        <v>37.75</v>
      </c>
      <c r="I1010" s="12">
        <v>33.6</v>
      </c>
      <c r="J1010" s="9" t="s">
        <v>3</v>
      </c>
      <c r="K1010" s="8">
        <v>0</v>
      </c>
    </row>
    <row r="1011" spans="1:11">
      <c r="A1011" s="2" t="s">
        <v>708</v>
      </c>
      <c r="B1011" s="2" t="s">
        <v>1914</v>
      </c>
      <c r="C1011" s="9">
        <v>10038152</v>
      </c>
      <c r="D1011" s="2" t="s">
        <v>1942</v>
      </c>
      <c r="E1011" s="10">
        <v>6</v>
      </c>
      <c r="F1011" s="9" t="s">
        <v>697</v>
      </c>
      <c r="G1011" s="11">
        <v>46238</v>
      </c>
      <c r="H1011" s="12">
        <v>30.01</v>
      </c>
      <c r="I1011" s="12">
        <v>26.71</v>
      </c>
      <c r="J1011" s="9" t="s">
        <v>3</v>
      </c>
      <c r="K1011" s="8">
        <v>0</v>
      </c>
    </row>
    <row r="1012" spans="1:11">
      <c r="A1012" s="2" t="s">
        <v>708</v>
      </c>
      <c r="B1012" s="2" t="s">
        <v>1914</v>
      </c>
      <c r="C1012" s="9">
        <v>10038153</v>
      </c>
      <c r="D1012" s="2" t="s">
        <v>1943</v>
      </c>
      <c r="E1012" s="10">
        <v>4</v>
      </c>
      <c r="F1012" s="9" t="s">
        <v>1944</v>
      </c>
      <c r="G1012" s="11">
        <v>46238</v>
      </c>
      <c r="H1012" s="12">
        <v>27.63</v>
      </c>
      <c r="I1012" s="12">
        <v>24.59</v>
      </c>
      <c r="J1012" s="9" t="s">
        <v>3</v>
      </c>
      <c r="K1012" s="8">
        <v>0</v>
      </c>
    </row>
    <row r="1013" spans="1:11">
      <c r="A1013" s="2" t="s">
        <v>708</v>
      </c>
      <c r="B1013" s="2" t="s">
        <v>1914</v>
      </c>
      <c r="C1013" s="9">
        <v>10038154</v>
      </c>
      <c r="D1013" s="2" t="s">
        <v>1945</v>
      </c>
      <c r="E1013" s="10">
        <v>4</v>
      </c>
      <c r="F1013" s="9" t="s">
        <v>1944</v>
      </c>
      <c r="G1013" s="11">
        <v>46238</v>
      </c>
      <c r="H1013" s="12">
        <v>27.63</v>
      </c>
      <c r="I1013" s="12">
        <v>24.59</v>
      </c>
      <c r="J1013" s="9" t="s">
        <v>3</v>
      </c>
      <c r="K1013" s="8">
        <v>0</v>
      </c>
    </row>
    <row r="1014" spans="1:11">
      <c r="A1014" s="2" t="s">
        <v>708</v>
      </c>
      <c r="B1014" s="2" t="s">
        <v>1914</v>
      </c>
      <c r="C1014" s="9">
        <v>10038155</v>
      </c>
      <c r="D1014" s="2" t="s">
        <v>1946</v>
      </c>
      <c r="E1014" s="10">
        <v>4</v>
      </c>
      <c r="F1014" s="9" t="s">
        <v>1944</v>
      </c>
      <c r="G1014" s="11">
        <v>46238</v>
      </c>
      <c r="H1014" s="12">
        <v>27.63</v>
      </c>
      <c r="I1014" s="12">
        <v>24.59</v>
      </c>
      <c r="J1014" s="9" t="s">
        <v>3</v>
      </c>
      <c r="K1014" s="8">
        <v>0</v>
      </c>
    </row>
    <row r="1015" spans="1:11">
      <c r="A1015" s="2" t="s">
        <v>721</v>
      </c>
      <c r="B1015" s="2" t="s">
        <v>1947</v>
      </c>
      <c r="C1015" s="9">
        <v>10039433</v>
      </c>
      <c r="D1015" s="2" t="s">
        <v>1948</v>
      </c>
      <c r="E1015" s="10">
        <v>6</v>
      </c>
      <c r="F1015" s="9" t="s">
        <v>1367</v>
      </c>
      <c r="G1015" s="11">
        <v>46238</v>
      </c>
      <c r="H1015" s="12">
        <v>28.38</v>
      </c>
      <c r="I1015" s="12">
        <v>25.26</v>
      </c>
      <c r="J1015" s="9" t="s">
        <v>3</v>
      </c>
      <c r="K1015" s="8">
        <v>0</v>
      </c>
    </row>
    <row r="1016" spans="1:11">
      <c r="A1016" s="2" t="s">
        <v>721</v>
      </c>
      <c r="B1016" s="2" t="s">
        <v>1947</v>
      </c>
      <c r="C1016" s="9">
        <v>10039434</v>
      </c>
      <c r="D1016" s="2" t="s">
        <v>1949</v>
      </c>
      <c r="E1016" s="10">
        <v>6</v>
      </c>
      <c r="F1016" s="9" t="s">
        <v>1367</v>
      </c>
      <c r="G1016" s="11">
        <v>46238</v>
      </c>
      <c r="H1016" s="12">
        <v>28.38</v>
      </c>
      <c r="I1016" s="12">
        <v>25.26</v>
      </c>
      <c r="J1016" s="9" t="s">
        <v>3</v>
      </c>
      <c r="K1016" s="8">
        <v>0</v>
      </c>
    </row>
    <row r="1017" spans="1:11">
      <c r="A1017" s="2" t="s">
        <v>721</v>
      </c>
      <c r="B1017" s="2" t="s">
        <v>1947</v>
      </c>
      <c r="C1017" s="9">
        <v>10039435</v>
      </c>
      <c r="D1017" s="2" t="s">
        <v>1950</v>
      </c>
      <c r="E1017" s="10">
        <v>6</v>
      </c>
      <c r="F1017" s="9" t="s">
        <v>1367</v>
      </c>
      <c r="G1017" s="11">
        <v>46238</v>
      </c>
      <c r="H1017" s="12">
        <v>28.38</v>
      </c>
      <c r="I1017" s="12">
        <v>25.26</v>
      </c>
      <c r="J1017" s="9" t="s">
        <v>3</v>
      </c>
      <c r="K1017" s="8">
        <v>0</v>
      </c>
    </row>
    <row r="1018" spans="1:11">
      <c r="A1018" s="2" t="s">
        <v>721</v>
      </c>
      <c r="B1018" s="2" t="s">
        <v>1947</v>
      </c>
      <c r="C1018" s="9">
        <v>10039439</v>
      </c>
      <c r="D1018" s="2" t="s">
        <v>1951</v>
      </c>
      <c r="E1018" s="10">
        <v>6</v>
      </c>
      <c r="F1018" s="9" t="s">
        <v>1367</v>
      </c>
      <c r="G1018" s="11">
        <v>46238</v>
      </c>
      <c r="H1018" s="12">
        <v>28.38</v>
      </c>
      <c r="I1018" s="12">
        <v>25.26</v>
      </c>
      <c r="J1018" s="9" t="s">
        <v>3</v>
      </c>
      <c r="K1018" s="8">
        <v>0</v>
      </c>
    </row>
    <row r="1019" spans="1:11">
      <c r="A1019" s="2" t="s">
        <v>721</v>
      </c>
      <c r="B1019" s="2" t="s">
        <v>1947</v>
      </c>
      <c r="C1019" s="9">
        <v>10039446</v>
      </c>
      <c r="D1019" s="2" t="s">
        <v>1952</v>
      </c>
      <c r="E1019" s="10">
        <v>6</v>
      </c>
      <c r="F1019" s="9" t="s">
        <v>1095</v>
      </c>
      <c r="G1019" s="11">
        <v>46238</v>
      </c>
      <c r="H1019" s="12">
        <v>33.42</v>
      </c>
      <c r="I1019" s="12">
        <v>29.76</v>
      </c>
      <c r="J1019" s="9" t="s">
        <v>3</v>
      </c>
      <c r="K1019" s="8">
        <v>0</v>
      </c>
    </row>
    <row r="1020" spans="1:11">
      <c r="A1020" s="2" t="s">
        <v>721</v>
      </c>
      <c r="B1020" s="2" t="s">
        <v>1947</v>
      </c>
      <c r="C1020" s="9">
        <v>10039447</v>
      </c>
      <c r="D1020" s="2" t="s">
        <v>1953</v>
      </c>
      <c r="E1020" s="10">
        <v>6</v>
      </c>
      <c r="F1020" s="9" t="s">
        <v>1095</v>
      </c>
      <c r="G1020" s="11">
        <v>46238</v>
      </c>
      <c r="H1020" s="12">
        <v>33.42</v>
      </c>
      <c r="I1020" s="12">
        <v>29.76</v>
      </c>
      <c r="J1020" s="9" t="s">
        <v>3</v>
      </c>
      <c r="K1020" s="8">
        <v>0</v>
      </c>
    </row>
    <row r="1021" spans="1:11">
      <c r="A1021" s="2" t="s">
        <v>721</v>
      </c>
      <c r="B1021" s="2" t="s">
        <v>1947</v>
      </c>
      <c r="C1021" s="9">
        <v>10039448</v>
      </c>
      <c r="D1021" s="2" t="s">
        <v>1954</v>
      </c>
      <c r="E1021" s="10">
        <v>6</v>
      </c>
      <c r="F1021" s="9" t="s">
        <v>1095</v>
      </c>
      <c r="G1021" s="11">
        <v>46238</v>
      </c>
      <c r="H1021" s="12">
        <v>33.42</v>
      </c>
      <c r="I1021" s="12">
        <v>29.76</v>
      </c>
      <c r="J1021" s="9" t="s">
        <v>3</v>
      </c>
      <c r="K1021" s="8">
        <v>0</v>
      </c>
    </row>
    <row r="1022" spans="1:11">
      <c r="A1022" s="2" t="s">
        <v>721</v>
      </c>
      <c r="B1022" s="2" t="s">
        <v>1947</v>
      </c>
      <c r="C1022" s="9">
        <v>10039449</v>
      </c>
      <c r="D1022" s="2" t="s">
        <v>1955</v>
      </c>
      <c r="E1022" s="10">
        <v>6</v>
      </c>
      <c r="F1022" s="9" t="s">
        <v>917</v>
      </c>
      <c r="G1022" s="11">
        <v>46238</v>
      </c>
      <c r="H1022" s="12">
        <v>25.32</v>
      </c>
      <c r="I1022" s="12">
        <v>22.56</v>
      </c>
      <c r="J1022" s="9" t="s">
        <v>3</v>
      </c>
      <c r="K1022" s="8">
        <v>0</v>
      </c>
    </row>
    <row r="1023" spans="1:11">
      <c r="A1023" s="2" t="s">
        <v>721</v>
      </c>
      <c r="B1023" s="2" t="s">
        <v>1947</v>
      </c>
      <c r="C1023" s="9">
        <v>10039450</v>
      </c>
      <c r="D1023" s="2" t="s">
        <v>1956</v>
      </c>
      <c r="E1023" s="10">
        <v>6</v>
      </c>
      <c r="F1023" s="9" t="s">
        <v>917</v>
      </c>
      <c r="G1023" s="11">
        <v>46238</v>
      </c>
      <c r="H1023" s="12">
        <v>25.32</v>
      </c>
      <c r="I1023" s="12">
        <v>22.56</v>
      </c>
      <c r="J1023" s="9" t="s">
        <v>3</v>
      </c>
      <c r="K1023" s="8">
        <v>0</v>
      </c>
    </row>
    <row r="1024" spans="1:11">
      <c r="A1024" s="2" t="s">
        <v>721</v>
      </c>
      <c r="B1024" s="2" t="s">
        <v>1947</v>
      </c>
      <c r="C1024" s="9">
        <v>10039451</v>
      </c>
      <c r="D1024" s="2" t="s">
        <v>1957</v>
      </c>
      <c r="E1024" s="10">
        <v>6</v>
      </c>
      <c r="F1024" s="9" t="s">
        <v>917</v>
      </c>
      <c r="G1024" s="11">
        <v>46238</v>
      </c>
      <c r="H1024" s="12">
        <v>25.32</v>
      </c>
      <c r="I1024" s="12">
        <v>22.56</v>
      </c>
      <c r="J1024" s="9" t="s">
        <v>3</v>
      </c>
      <c r="K1024" s="8">
        <v>0</v>
      </c>
    </row>
    <row r="1025" spans="1:11">
      <c r="A1025" s="2" t="s">
        <v>721</v>
      </c>
      <c r="B1025" s="2" t="s">
        <v>1947</v>
      </c>
      <c r="C1025" s="9">
        <v>10040088</v>
      </c>
      <c r="D1025" s="2" t="s">
        <v>1958</v>
      </c>
      <c r="E1025" s="10">
        <v>6</v>
      </c>
      <c r="F1025" s="9" t="s">
        <v>985</v>
      </c>
      <c r="G1025" s="11">
        <v>46238</v>
      </c>
      <c r="H1025" s="12">
        <v>26.58</v>
      </c>
      <c r="I1025" s="12">
        <v>23.64</v>
      </c>
      <c r="J1025" s="9" t="s">
        <v>3</v>
      </c>
      <c r="K1025" s="8">
        <v>0</v>
      </c>
    </row>
    <row r="1026" spans="1:11">
      <c r="A1026" s="2" t="s">
        <v>721</v>
      </c>
      <c r="B1026" s="2" t="s">
        <v>1947</v>
      </c>
      <c r="C1026" s="9">
        <v>10040089</v>
      </c>
      <c r="D1026" s="2" t="s">
        <v>1959</v>
      </c>
      <c r="E1026" s="10">
        <v>6</v>
      </c>
      <c r="F1026" s="9" t="s">
        <v>985</v>
      </c>
      <c r="G1026" s="11">
        <v>46238</v>
      </c>
      <c r="H1026" s="12">
        <v>26.58</v>
      </c>
      <c r="I1026" s="12">
        <v>23.64</v>
      </c>
      <c r="J1026" s="9" t="s">
        <v>3</v>
      </c>
      <c r="K1026" s="8">
        <v>0</v>
      </c>
    </row>
    <row r="1027" spans="1:11">
      <c r="A1027" s="2" t="s">
        <v>721</v>
      </c>
      <c r="B1027" s="2" t="s">
        <v>1947</v>
      </c>
      <c r="C1027" s="9">
        <v>10040091</v>
      </c>
      <c r="D1027" s="2" t="s">
        <v>1960</v>
      </c>
      <c r="E1027" s="10">
        <v>6</v>
      </c>
      <c r="F1027" s="9" t="s">
        <v>985</v>
      </c>
      <c r="G1027" s="11">
        <v>46238</v>
      </c>
      <c r="H1027" s="12">
        <v>26.58</v>
      </c>
      <c r="I1027" s="12">
        <v>23.64</v>
      </c>
      <c r="J1027" s="9" t="s">
        <v>3</v>
      </c>
      <c r="K1027" s="8">
        <v>0</v>
      </c>
    </row>
    <row r="1028" spans="1:11">
      <c r="A1028" s="2" t="s">
        <v>721</v>
      </c>
      <c r="B1028" s="2" t="s">
        <v>1947</v>
      </c>
      <c r="C1028" s="9">
        <v>10040092</v>
      </c>
      <c r="D1028" s="2" t="s">
        <v>1961</v>
      </c>
      <c r="E1028" s="10">
        <v>6</v>
      </c>
      <c r="F1028" s="9" t="s">
        <v>985</v>
      </c>
      <c r="G1028" s="11">
        <v>46238</v>
      </c>
      <c r="H1028" s="12">
        <v>26.58</v>
      </c>
      <c r="I1028" s="12">
        <v>23.64</v>
      </c>
      <c r="J1028" s="9" t="s">
        <v>3</v>
      </c>
      <c r="K1028" s="8">
        <v>0</v>
      </c>
    </row>
    <row r="1029" spans="1:11">
      <c r="A1029" s="2" t="s">
        <v>721</v>
      </c>
      <c r="B1029" s="2" t="s">
        <v>1947</v>
      </c>
      <c r="C1029" s="9">
        <v>10040093</v>
      </c>
      <c r="D1029" s="2" t="s">
        <v>1962</v>
      </c>
      <c r="E1029" s="10">
        <v>6</v>
      </c>
      <c r="F1029" s="9" t="s">
        <v>985</v>
      </c>
      <c r="G1029" s="11">
        <v>46238</v>
      </c>
      <c r="H1029" s="12">
        <v>26.58</v>
      </c>
      <c r="I1029" s="12">
        <v>23.64</v>
      </c>
      <c r="J1029" s="9" t="s">
        <v>3</v>
      </c>
      <c r="K1029" s="8">
        <v>0</v>
      </c>
    </row>
    <row r="1030" spans="1:11">
      <c r="A1030" s="2" t="s">
        <v>925</v>
      </c>
      <c r="B1030" s="2" t="s">
        <v>1601</v>
      </c>
      <c r="C1030" s="9">
        <v>10040105</v>
      </c>
      <c r="D1030" s="2" t="s">
        <v>1963</v>
      </c>
      <c r="E1030" s="10">
        <v>6</v>
      </c>
      <c r="F1030" s="9" t="s">
        <v>991</v>
      </c>
      <c r="G1030" s="11">
        <v>46238</v>
      </c>
      <c r="H1030" s="12">
        <v>174.48</v>
      </c>
      <c r="I1030" s="12">
        <v>155.28</v>
      </c>
      <c r="J1030" s="9" t="s">
        <v>3</v>
      </c>
      <c r="K1030" s="8">
        <v>0</v>
      </c>
    </row>
    <row r="1031" spans="1:11">
      <c r="A1031" s="2" t="s">
        <v>925</v>
      </c>
      <c r="B1031" s="2" t="s">
        <v>1601</v>
      </c>
      <c r="C1031" s="9">
        <v>10040106</v>
      </c>
      <c r="D1031" s="2" t="s">
        <v>1964</v>
      </c>
      <c r="E1031" s="10">
        <v>6</v>
      </c>
      <c r="F1031" s="9" t="s">
        <v>991</v>
      </c>
      <c r="G1031" s="11">
        <v>46238</v>
      </c>
      <c r="H1031" s="12">
        <v>192.6</v>
      </c>
      <c r="I1031" s="12">
        <v>171.42</v>
      </c>
      <c r="J1031" s="9" t="s">
        <v>3</v>
      </c>
      <c r="K1031" s="8">
        <v>0</v>
      </c>
    </row>
    <row r="1032" spans="1:11">
      <c r="A1032" s="2" t="s">
        <v>851</v>
      </c>
      <c r="B1032" s="2" t="s">
        <v>1965</v>
      </c>
      <c r="C1032" s="9">
        <v>10040109</v>
      </c>
      <c r="D1032" s="2" t="s">
        <v>1966</v>
      </c>
      <c r="E1032" s="10">
        <v>15</v>
      </c>
      <c r="F1032" s="9" t="s">
        <v>1584</v>
      </c>
      <c r="G1032" s="11">
        <v>46238</v>
      </c>
      <c r="H1032" s="12">
        <v>41.69</v>
      </c>
      <c r="I1032" s="12">
        <v>37.1</v>
      </c>
      <c r="J1032" s="9" t="s">
        <v>3</v>
      </c>
      <c r="K1032" s="8">
        <v>0</v>
      </c>
    </row>
    <row r="1033" spans="1:11">
      <c r="A1033" s="2" t="s">
        <v>851</v>
      </c>
      <c r="B1033" s="2" t="s">
        <v>1965</v>
      </c>
      <c r="C1033" s="9">
        <v>10040110</v>
      </c>
      <c r="D1033" s="2" t="s">
        <v>1967</v>
      </c>
      <c r="E1033" s="10">
        <v>15</v>
      </c>
      <c r="F1033" s="9" t="s">
        <v>1584</v>
      </c>
      <c r="G1033" s="11">
        <v>46238</v>
      </c>
      <c r="H1033" s="12">
        <v>41.69</v>
      </c>
      <c r="I1033" s="12">
        <v>37.1</v>
      </c>
      <c r="J1033" s="9" t="s">
        <v>3</v>
      </c>
      <c r="K1033" s="8">
        <v>0</v>
      </c>
    </row>
    <row r="1034" spans="1:11">
      <c r="A1034" s="2" t="s">
        <v>851</v>
      </c>
      <c r="B1034" s="2" t="s">
        <v>1965</v>
      </c>
      <c r="C1034" s="9">
        <v>10040111</v>
      </c>
      <c r="D1034" s="2" t="s">
        <v>1968</v>
      </c>
      <c r="E1034" s="10">
        <v>15</v>
      </c>
      <c r="F1034" s="9" t="s">
        <v>774</v>
      </c>
      <c r="G1034" s="11">
        <v>46238</v>
      </c>
      <c r="H1034" s="12">
        <v>62.8</v>
      </c>
      <c r="I1034" s="12">
        <v>55.89</v>
      </c>
      <c r="J1034" s="9" t="s">
        <v>3</v>
      </c>
      <c r="K1034" s="8">
        <v>0</v>
      </c>
    </row>
    <row r="1035" spans="1:11">
      <c r="A1035" s="2" t="s">
        <v>851</v>
      </c>
      <c r="B1035" s="2" t="s">
        <v>1965</v>
      </c>
      <c r="C1035" s="9">
        <v>10040112</v>
      </c>
      <c r="D1035" s="2" t="s">
        <v>1969</v>
      </c>
      <c r="E1035" s="10">
        <v>15</v>
      </c>
      <c r="F1035" s="9" t="s">
        <v>774</v>
      </c>
      <c r="G1035" s="11">
        <v>46238</v>
      </c>
      <c r="H1035" s="12">
        <v>62.8</v>
      </c>
      <c r="I1035" s="12">
        <v>55.89</v>
      </c>
      <c r="J1035" s="9" t="s">
        <v>3</v>
      </c>
      <c r="K1035" s="8">
        <v>0</v>
      </c>
    </row>
    <row r="1036" spans="1:11">
      <c r="A1036" s="2" t="s">
        <v>851</v>
      </c>
      <c r="B1036" s="2" t="s">
        <v>1965</v>
      </c>
      <c r="C1036" s="9">
        <v>10040114</v>
      </c>
      <c r="D1036" s="2" t="s">
        <v>1970</v>
      </c>
      <c r="E1036" s="10">
        <v>6</v>
      </c>
      <c r="F1036" s="9" t="s">
        <v>1367</v>
      </c>
      <c r="G1036" s="11">
        <v>46238</v>
      </c>
      <c r="H1036" s="12">
        <v>28.02</v>
      </c>
      <c r="I1036" s="12">
        <v>24.94</v>
      </c>
      <c r="J1036" s="9" t="s">
        <v>3</v>
      </c>
      <c r="K1036" s="8">
        <v>0</v>
      </c>
    </row>
    <row r="1037" spans="1:11">
      <c r="A1037" s="2" t="s">
        <v>851</v>
      </c>
      <c r="B1037" s="2" t="s">
        <v>1965</v>
      </c>
      <c r="C1037" s="9">
        <v>10040115</v>
      </c>
      <c r="D1037" s="2" t="s">
        <v>1971</v>
      </c>
      <c r="E1037" s="10">
        <v>6</v>
      </c>
      <c r="F1037" s="9" t="s">
        <v>1367</v>
      </c>
      <c r="G1037" s="11">
        <v>46238</v>
      </c>
      <c r="H1037" s="12">
        <v>22.69</v>
      </c>
      <c r="I1037" s="12">
        <v>20.190000000000001</v>
      </c>
      <c r="J1037" s="9" t="s">
        <v>3</v>
      </c>
      <c r="K1037" s="8">
        <v>0</v>
      </c>
    </row>
    <row r="1038" spans="1:11">
      <c r="A1038" s="2" t="s">
        <v>851</v>
      </c>
      <c r="B1038" s="2" t="s">
        <v>1965</v>
      </c>
      <c r="C1038" s="9">
        <v>10040116</v>
      </c>
      <c r="D1038" s="2" t="s">
        <v>1972</v>
      </c>
      <c r="E1038" s="10">
        <v>6</v>
      </c>
      <c r="F1038" s="9" t="s">
        <v>1367</v>
      </c>
      <c r="G1038" s="11">
        <v>46238</v>
      </c>
      <c r="H1038" s="12">
        <v>24.28</v>
      </c>
      <c r="I1038" s="12">
        <v>21.61</v>
      </c>
      <c r="J1038" s="9" t="s">
        <v>3</v>
      </c>
      <c r="K1038" s="8">
        <v>0</v>
      </c>
    </row>
    <row r="1039" spans="1:11">
      <c r="A1039" s="2" t="s">
        <v>851</v>
      </c>
      <c r="B1039" s="2" t="s">
        <v>1965</v>
      </c>
      <c r="C1039" s="9">
        <v>10040119</v>
      </c>
      <c r="D1039" s="2" t="s">
        <v>1973</v>
      </c>
      <c r="E1039" s="10">
        <v>11</v>
      </c>
      <c r="F1039" s="9" t="s">
        <v>776</v>
      </c>
      <c r="G1039" s="11">
        <v>46238</v>
      </c>
      <c r="H1039" s="12">
        <v>27.35</v>
      </c>
      <c r="I1039" s="12">
        <v>24.34</v>
      </c>
      <c r="J1039" s="9" t="s">
        <v>3</v>
      </c>
      <c r="K1039" s="8">
        <v>0</v>
      </c>
    </row>
    <row r="1040" spans="1:11">
      <c r="A1040" s="2" t="s">
        <v>851</v>
      </c>
      <c r="B1040" s="2" t="s">
        <v>1965</v>
      </c>
      <c r="C1040" s="9">
        <v>10040120</v>
      </c>
      <c r="D1040" s="2" t="s">
        <v>1974</v>
      </c>
      <c r="E1040" s="10">
        <v>11</v>
      </c>
      <c r="F1040" s="9" t="s">
        <v>776</v>
      </c>
      <c r="G1040" s="11">
        <v>46238</v>
      </c>
      <c r="H1040" s="12">
        <v>27.35</v>
      </c>
      <c r="I1040" s="12">
        <v>24.34</v>
      </c>
      <c r="J1040" s="9" t="s">
        <v>3</v>
      </c>
      <c r="K1040" s="8">
        <v>0</v>
      </c>
    </row>
    <row r="1041" spans="1:11">
      <c r="A1041" s="2" t="s">
        <v>851</v>
      </c>
      <c r="B1041" s="2" t="s">
        <v>1965</v>
      </c>
      <c r="C1041" s="9">
        <v>10040122</v>
      </c>
      <c r="D1041" s="2" t="s">
        <v>1975</v>
      </c>
      <c r="E1041" s="10">
        <v>15</v>
      </c>
      <c r="F1041" s="9" t="s">
        <v>776</v>
      </c>
      <c r="G1041" s="11">
        <v>46238</v>
      </c>
      <c r="H1041" s="12">
        <v>47</v>
      </c>
      <c r="I1041" s="12">
        <v>41.83</v>
      </c>
      <c r="J1041" s="9" t="s">
        <v>3</v>
      </c>
      <c r="K1041" s="8">
        <v>0</v>
      </c>
    </row>
    <row r="1042" spans="1:11">
      <c r="A1042" s="2" t="s">
        <v>851</v>
      </c>
      <c r="B1042" s="2" t="s">
        <v>1965</v>
      </c>
      <c r="C1042" s="9">
        <v>10040123</v>
      </c>
      <c r="D1042" s="2" t="s">
        <v>1976</v>
      </c>
      <c r="E1042" s="10">
        <v>15</v>
      </c>
      <c r="F1042" s="9" t="s">
        <v>776</v>
      </c>
      <c r="G1042" s="11">
        <v>46238</v>
      </c>
      <c r="H1042" s="12">
        <v>47</v>
      </c>
      <c r="I1042" s="12">
        <v>41.83</v>
      </c>
      <c r="J1042" s="9" t="s">
        <v>3</v>
      </c>
      <c r="K1042" s="8">
        <v>0</v>
      </c>
    </row>
    <row r="1043" spans="1:11">
      <c r="A1043" s="2" t="s">
        <v>851</v>
      </c>
      <c r="B1043" s="2" t="s">
        <v>1977</v>
      </c>
      <c r="C1043" s="9">
        <v>10040128</v>
      </c>
      <c r="D1043" s="2" t="s">
        <v>1978</v>
      </c>
      <c r="E1043" s="10">
        <v>15</v>
      </c>
      <c r="F1043" s="9" t="s">
        <v>1367</v>
      </c>
      <c r="G1043" s="11">
        <v>46238</v>
      </c>
      <c r="H1043" s="12">
        <v>62.06</v>
      </c>
      <c r="I1043" s="12">
        <v>55.23</v>
      </c>
      <c r="J1043" s="9" t="s">
        <v>3</v>
      </c>
      <c r="K1043" s="8">
        <v>0</v>
      </c>
    </row>
    <row r="1044" spans="1:11">
      <c r="A1044" s="2" t="s">
        <v>851</v>
      </c>
      <c r="B1044" s="2" t="s">
        <v>1977</v>
      </c>
      <c r="C1044" s="9">
        <v>10040130</v>
      </c>
      <c r="D1044" s="2" t="s">
        <v>1979</v>
      </c>
      <c r="E1044" s="10">
        <v>20</v>
      </c>
      <c r="F1044" s="9" t="s">
        <v>1980</v>
      </c>
      <c r="G1044" s="11">
        <v>46238</v>
      </c>
      <c r="H1044" s="12">
        <v>38.07</v>
      </c>
      <c r="I1044" s="12">
        <v>33.880000000000003</v>
      </c>
      <c r="J1044" s="9" t="s">
        <v>3</v>
      </c>
      <c r="K1044" s="8">
        <v>0</v>
      </c>
    </row>
    <row r="1045" spans="1:11">
      <c r="A1045" s="2" t="s">
        <v>851</v>
      </c>
      <c r="B1045" s="2" t="s">
        <v>1977</v>
      </c>
      <c r="C1045" s="9">
        <v>10040131</v>
      </c>
      <c r="D1045" s="2" t="s">
        <v>1981</v>
      </c>
      <c r="E1045" s="10">
        <v>20</v>
      </c>
      <c r="F1045" s="9" t="s">
        <v>1980</v>
      </c>
      <c r="G1045" s="11">
        <v>46238</v>
      </c>
      <c r="H1045" s="12">
        <v>38.07</v>
      </c>
      <c r="I1045" s="12">
        <v>33.880000000000003</v>
      </c>
      <c r="J1045" s="9" t="s">
        <v>3</v>
      </c>
      <c r="K1045" s="8">
        <v>0</v>
      </c>
    </row>
    <row r="1046" spans="1:11">
      <c r="A1046" s="2" t="s">
        <v>851</v>
      </c>
      <c r="B1046" s="2" t="s">
        <v>1977</v>
      </c>
      <c r="C1046" s="9">
        <v>10040132</v>
      </c>
      <c r="D1046" s="2" t="s">
        <v>1982</v>
      </c>
      <c r="E1046" s="10">
        <v>15</v>
      </c>
      <c r="F1046" s="9" t="s">
        <v>985</v>
      </c>
      <c r="G1046" s="11">
        <v>46238</v>
      </c>
      <c r="H1046" s="12">
        <v>39.97</v>
      </c>
      <c r="I1046" s="12">
        <v>35.57</v>
      </c>
      <c r="J1046" s="9" t="s">
        <v>3</v>
      </c>
      <c r="K1046" s="8">
        <v>0</v>
      </c>
    </row>
    <row r="1047" spans="1:11">
      <c r="A1047" s="2" t="s">
        <v>851</v>
      </c>
      <c r="B1047" s="2" t="s">
        <v>1977</v>
      </c>
      <c r="C1047" s="9">
        <v>10040133</v>
      </c>
      <c r="D1047" s="2" t="s">
        <v>1983</v>
      </c>
      <c r="E1047" s="10">
        <v>1</v>
      </c>
      <c r="F1047" s="9" t="s">
        <v>863</v>
      </c>
      <c r="G1047" s="11">
        <v>46238</v>
      </c>
      <c r="H1047" s="12">
        <v>50.09</v>
      </c>
      <c r="I1047" s="12">
        <v>44.58</v>
      </c>
      <c r="J1047" s="9" t="s">
        <v>3</v>
      </c>
      <c r="K1047" s="8">
        <v>0</v>
      </c>
    </row>
    <row r="1048" spans="1:11">
      <c r="A1048" s="2" t="s">
        <v>925</v>
      </c>
      <c r="B1048" s="2" t="s">
        <v>1984</v>
      </c>
      <c r="C1048" s="9">
        <v>10040138</v>
      </c>
      <c r="D1048" s="2" t="s">
        <v>1985</v>
      </c>
      <c r="E1048" s="10">
        <v>12</v>
      </c>
      <c r="F1048" s="9" t="s">
        <v>770</v>
      </c>
      <c r="G1048" s="11">
        <v>46238</v>
      </c>
      <c r="H1048" s="12">
        <v>52.07</v>
      </c>
      <c r="I1048" s="12">
        <v>46.34</v>
      </c>
      <c r="J1048" s="9" t="s">
        <v>3</v>
      </c>
      <c r="K1048" s="8">
        <v>0</v>
      </c>
    </row>
    <row r="1049" spans="1:11">
      <c r="A1049" s="2" t="s">
        <v>925</v>
      </c>
      <c r="B1049" s="2" t="s">
        <v>1984</v>
      </c>
      <c r="C1049" s="9">
        <v>10040139</v>
      </c>
      <c r="D1049" s="2" t="s">
        <v>1986</v>
      </c>
      <c r="E1049" s="10">
        <v>12</v>
      </c>
      <c r="F1049" s="9" t="s">
        <v>770</v>
      </c>
      <c r="G1049" s="11">
        <v>46238</v>
      </c>
      <c r="H1049" s="12">
        <v>52.07</v>
      </c>
      <c r="I1049" s="12">
        <v>46.34</v>
      </c>
      <c r="J1049" s="9" t="s">
        <v>3</v>
      </c>
      <c r="K1049" s="8">
        <v>0</v>
      </c>
    </row>
    <row r="1050" spans="1:11">
      <c r="A1050" s="2" t="s">
        <v>925</v>
      </c>
      <c r="B1050" s="2" t="s">
        <v>1984</v>
      </c>
      <c r="C1050" s="9">
        <v>10040140</v>
      </c>
      <c r="D1050" s="2" t="s">
        <v>1987</v>
      </c>
      <c r="E1050" s="10">
        <v>12</v>
      </c>
      <c r="F1050" s="9" t="s">
        <v>770</v>
      </c>
      <c r="G1050" s="11">
        <v>46238</v>
      </c>
      <c r="H1050" s="12">
        <v>64.25</v>
      </c>
      <c r="I1050" s="12">
        <v>57.18</v>
      </c>
      <c r="J1050" s="9" t="s">
        <v>3</v>
      </c>
      <c r="K1050" s="8">
        <v>0</v>
      </c>
    </row>
    <row r="1051" spans="1:11">
      <c r="A1051" s="2" t="s">
        <v>925</v>
      </c>
      <c r="B1051" s="2" t="s">
        <v>1984</v>
      </c>
      <c r="C1051" s="9">
        <v>10040141</v>
      </c>
      <c r="D1051" s="2" t="s">
        <v>1988</v>
      </c>
      <c r="E1051" s="10">
        <v>12</v>
      </c>
      <c r="F1051" s="9" t="s">
        <v>770</v>
      </c>
      <c r="G1051" s="11">
        <v>46238</v>
      </c>
      <c r="H1051" s="12">
        <v>74.61</v>
      </c>
      <c r="I1051" s="12">
        <v>66.400000000000006</v>
      </c>
      <c r="J1051" s="9" t="s">
        <v>3</v>
      </c>
      <c r="K1051" s="8">
        <v>0</v>
      </c>
    </row>
    <row r="1052" spans="1:11">
      <c r="A1052" s="2" t="s">
        <v>925</v>
      </c>
      <c r="B1052" s="2" t="s">
        <v>1864</v>
      </c>
      <c r="C1052" s="9">
        <v>10040142</v>
      </c>
      <c r="D1052" s="2" t="s">
        <v>1989</v>
      </c>
      <c r="E1052" s="10">
        <v>32</v>
      </c>
      <c r="F1052" s="9" t="s">
        <v>1405</v>
      </c>
      <c r="G1052" s="11">
        <v>46238</v>
      </c>
      <c r="H1052" s="12">
        <v>188.56</v>
      </c>
      <c r="I1052" s="12">
        <v>167.82</v>
      </c>
      <c r="J1052" s="9" t="s">
        <v>3</v>
      </c>
      <c r="K1052" s="8">
        <v>0</v>
      </c>
    </row>
    <row r="1053" spans="1:11">
      <c r="A1053" s="2" t="s">
        <v>925</v>
      </c>
      <c r="B1053" s="2" t="s">
        <v>1864</v>
      </c>
      <c r="C1053" s="9">
        <v>10040143</v>
      </c>
      <c r="D1053" s="2" t="s">
        <v>1990</v>
      </c>
      <c r="E1053" s="10">
        <v>24</v>
      </c>
      <c r="F1053" s="9" t="s">
        <v>1430</v>
      </c>
      <c r="G1053" s="11">
        <v>46238</v>
      </c>
      <c r="H1053" s="12">
        <v>191.02</v>
      </c>
      <c r="I1053" s="12">
        <v>170.01</v>
      </c>
      <c r="J1053" s="9" t="s">
        <v>3</v>
      </c>
      <c r="K1053" s="8">
        <v>0</v>
      </c>
    </row>
    <row r="1054" spans="1:11">
      <c r="A1054" s="2" t="s">
        <v>925</v>
      </c>
      <c r="B1054" s="2" t="s">
        <v>1864</v>
      </c>
      <c r="C1054" s="9">
        <v>10040144</v>
      </c>
      <c r="D1054" s="2" t="s">
        <v>1991</v>
      </c>
      <c r="E1054" s="10">
        <v>6</v>
      </c>
      <c r="F1054" s="9" t="s">
        <v>1849</v>
      </c>
      <c r="G1054" s="11">
        <v>46238</v>
      </c>
      <c r="H1054" s="12">
        <v>109.26</v>
      </c>
      <c r="I1054" s="12">
        <v>97.24</v>
      </c>
      <c r="J1054" s="9" t="s">
        <v>3</v>
      </c>
      <c r="K1054" s="8">
        <v>0</v>
      </c>
    </row>
    <row r="1055" spans="1:11">
      <c r="A1055" s="2" t="s">
        <v>925</v>
      </c>
      <c r="B1055" s="2" t="s">
        <v>1864</v>
      </c>
      <c r="C1055" s="9">
        <v>10040146</v>
      </c>
      <c r="D1055" s="2" t="s">
        <v>1992</v>
      </c>
      <c r="E1055" s="10">
        <v>32</v>
      </c>
      <c r="F1055" s="9" t="s">
        <v>1405</v>
      </c>
      <c r="G1055" s="11">
        <v>46238</v>
      </c>
      <c r="H1055" s="12">
        <v>166.67</v>
      </c>
      <c r="I1055" s="12">
        <v>148.34</v>
      </c>
      <c r="J1055" s="9" t="s">
        <v>3</v>
      </c>
      <c r="K1055" s="8">
        <v>0</v>
      </c>
    </row>
    <row r="1056" spans="1:11">
      <c r="A1056" s="2" t="s">
        <v>925</v>
      </c>
      <c r="B1056" s="2" t="s">
        <v>1864</v>
      </c>
      <c r="C1056" s="9">
        <v>10040147</v>
      </c>
      <c r="D1056" s="2" t="s">
        <v>1993</v>
      </c>
      <c r="E1056" s="10">
        <v>12</v>
      </c>
      <c r="F1056" s="9" t="s">
        <v>985</v>
      </c>
      <c r="G1056" s="11">
        <v>46238</v>
      </c>
      <c r="H1056" s="12">
        <v>77.650000000000006</v>
      </c>
      <c r="I1056" s="12">
        <v>69.11</v>
      </c>
      <c r="J1056" s="9" t="s">
        <v>3</v>
      </c>
      <c r="K1056" s="8">
        <v>0</v>
      </c>
    </row>
    <row r="1057" spans="1:11">
      <c r="A1057" s="2" t="s">
        <v>925</v>
      </c>
      <c r="B1057" s="2" t="s">
        <v>1864</v>
      </c>
      <c r="C1057" s="9">
        <v>10040148</v>
      </c>
      <c r="D1057" s="2" t="s">
        <v>1994</v>
      </c>
      <c r="E1057" s="10">
        <v>12</v>
      </c>
      <c r="F1057" s="9" t="s">
        <v>985</v>
      </c>
      <c r="G1057" s="11">
        <v>46238</v>
      </c>
      <c r="H1057" s="12">
        <v>86.01</v>
      </c>
      <c r="I1057" s="12">
        <v>76.55</v>
      </c>
      <c r="J1057" s="9" t="s">
        <v>3</v>
      </c>
      <c r="K1057" s="8">
        <v>0</v>
      </c>
    </row>
    <row r="1058" spans="1:11">
      <c r="A1058" s="2" t="s">
        <v>925</v>
      </c>
      <c r="B1058" s="2" t="s">
        <v>1864</v>
      </c>
      <c r="C1058" s="9">
        <v>10040149</v>
      </c>
      <c r="D1058" s="2" t="s">
        <v>1995</v>
      </c>
      <c r="E1058" s="10">
        <v>12</v>
      </c>
      <c r="F1058" s="9" t="s">
        <v>982</v>
      </c>
      <c r="G1058" s="11">
        <v>46238</v>
      </c>
      <c r="H1058" s="12">
        <v>101.61</v>
      </c>
      <c r="I1058" s="12">
        <v>90.43</v>
      </c>
      <c r="J1058" s="9" t="s">
        <v>3</v>
      </c>
      <c r="K1058" s="8">
        <v>0</v>
      </c>
    </row>
    <row r="1059" spans="1:11">
      <c r="A1059" s="2" t="s">
        <v>925</v>
      </c>
      <c r="B1059" s="2" t="s">
        <v>1864</v>
      </c>
      <c r="C1059" s="9">
        <v>10040150</v>
      </c>
      <c r="D1059" s="2" t="s">
        <v>1996</v>
      </c>
      <c r="E1059" s="10">
        <v>18</v>
      </c>
      <c r="F1059" s="9" t="s">
        <v>1405</v>
      </c>
      <c r="G1059" s="11">
        <v>46238</v>
      </c>
      <c r="H1059" s="12">
        <v>94.38</v>
      </c>
      <c r="I1059" s="12">
        <v>84</v>
      </c>
      <c r="J1059" s="9" t="s">
        <v>3</v>
      </c>
      <c r="K1059" s="8">
        <v>0</v>
      </c>
    </row>
    <row r="1060" spans="1:11">
      <c r="A1060" s="2" t="s">
        <v>925</v>
      </c>
      <c r="B1060" s="2" t="s">
        <v>1864</v>
      </c>
      <c r="C1060" s="9">
        <v>10040151</v>
      </c>
      <c r="D1060" s="2" t="s">
        <v>1997</v>
      </c>
      <c r="E1060" s="10">
        <v>12</v>
      </c>
      <c r="F1060" s="9" t="s">
        <v>776</v>
      </c>
      <c r="G1060" s="11">
        <v>46238</v>
      </c>
      <c r="H1060" s="12">
        <v>185.21</v>
      </c>
      <c r="I1060" s="12">
        <v>164.84</v>
      </c>
      <c r="J1060" s="9" t="s">
        <v>3</v>
      </c>
      <c r="K1060" s="8">
        <v>0</v>
      </c>
    </row>
    <row r="1061" spans="1:11">
      <c r="A1061" s="2" t="s">
        <v>925</v>
      </c>
      <c r="B1061" s="2" t="s">
        <v>1864</v>
      </c>
      <c r="C1061" s="9">
        <v>10040152</v>
      </c>
      <c r="D1061" s="2" t="s">
        <v>1998</v>
      </c>
      <c r="E1061" s="10">
        <v>24</v>
      </c>
      <c r="F1061" s="9" t="s">
        <v>1405</v>
      </c>
      <c r="G1061" s="11">
        <v>46238</v>
      </c>
      <c r="H1061" s="12">
        <v>141.43</v>
      </c>
      <c r="I1061" s="12">
        <v>125.87</v>
      </c>
      <c r="J1061" s="9" t="s">
        <v>3</v>
      </c>
      <c r="K1061" s="8">
        <v>0</v>
      </c>
    </row>
    <row r="1062" spans="1:11">
      <c r="A1062" s="2" t="s">
        <v>925</v>
      </c>
      <c r="B1062" s="2" t="s">
        <v>1864</v>
      </c>
      <c r="C1062" s="9">
        <v>10040154</v>
      </c>
      <c r="D1062" s="2" t="s">
        <v>1999</v>
      </c>
      <c r="E1062" s="10">
        <v>12</v>
      </c>
      <c r="F1062" s="9" t="s">
        <v>982</v>
      </c>
      <c r="G1062" s="11">
        <v>46238</v>
      </c>
      <c r="H1062" s="12">
        <v>85.97</v>
      </c>
      <c r="I1062" s="12">
        <v>76.510000000000005</v>
      </c>
      <c r="J1062" s="9" t="s">
        <v>3</v>
      </c>
      <c r="K1062" s="8">
        <v>0</v>
      </c>
    </row>
    <row r="1063" spans="1:11">
      <c r="A1063" s="2" t="s">
        <v>925</v>
      </c>
      <c r="B1063" s="2" t="s">
        <v>1864</v>
      </c>
      <c r="C1063" s="9">
        <v>10040155</v>
      </c>
      <c r="D1063" s="2" t="s">
        <v>2000</v>
      </c>
      <c r="E1063" s="10">
        <v>12</v>
      </c>
      <c r="F1063" s="9" t="s">
        <v>2001</v>
      </c>
      <c r="G1063" s="11">
        <v>46238</v>
      </c>
      <c r="H1063" s="12">
        <v>65.12</v>
      </c>
      <c r="I1063" s="12">
        <v>57.96</v>
      </c>
      <c r="J1063" s="9" t="s">
        <v>3</v>
      </c>
      <c r="K1063" s="8">
        <v>0</v>
      </c>
    </row>
    <row r="1064" spans="1:11">
      <c r="A1064" s="2" t="s">
        <v>925</v>
      </c>
      <c r="B1064" s="2" t="s">
        <v>1864</v>
      </c>
      <c r="C1064" s="9">
        <v>10040156</v>
      </c>
      <c r="D1064" s="2" t="s">
        <v>2002</v>
      </c>
      <c r="E1064" s="10">
        <v>6</v>
      </c>
      <c r="F1064" s="9" t="s">
        <v>985</v>
      </c>
      <c r="G1064" s="11">
        <v>46238</v>
      </c>
      <c r="H1064" s="12">
        <v>44.3</v>
      </c>
      <c r="I1064" s="12">
        <v>39.43</v>
      </c>
      <c r="J1064" s="9" t="s">
        <v>3</v>
      </c>
      <c r="K1064" s="8">
        <v>0</v>
      </c>
    </row>
    <row r="1065" spans="1:11">
      <c r="A1065" s="2" t="s">
        <v>925</v>
      </c>
      <c r="B1065" s="2" t="s">
        <v>1864</v>
      </c>
      <c r="C1065" s="9">
        <v>10040157</v>
      </c>
      <c r="D1065" s="2" t="s">
        <v>2003</v>
      </c>
      <c r="E1065" s="10">
        <v>6</v>
      </c>
      <c r="F1065" s="9" t="s">
        <v>1237</v>
      </c>
      <c r="G1065" s="11">
        <v>46238</v>
      </c>
      <c r="H1065" s="12">
        <v>44.3</v>
      </c>
      <c r="I1065" s="12">
        <v>39.43</v>
      </c>
      <c r="J1065" s="9" t="s">
        <v>3</v>
      </c>
      <c r="K1065" s="8">
        <v>0</v>
      </c>
    </row>
    <row r="1066" spans="1:11">
      <c r="A1066" s="2" t="s">
        <v>925</v>
      </c>
      <c r="B1066" s="2" t="s">
        <v>1864</v>
      </c>
      <c r="C1066" s="9">
        <v>10040159</v>
      </c>
      <c r="D1066" s="2" t="s">
        <v>2004</v>
      </c>
      <c r="E1066" s="10">
        <v>6</v>
      </c>
      <c r="F1066" s="9" t="s">
        <v>1237</v>
      </c>
      <c r="G1066" s="11">
        <v>46238</v>
      </c>
      <c r="H1066" s="12">
        <v>44.3</v>
      </c>
      <c r="I1066" s="12">
        <v>39.43</v>
      </c>
      <c r="J1066" s="9" t="s">
        <v>3</v>
      </c>
      <c r="K1066" s="8">
        <v>0</v>
      </c>
    </row>
    <row r="1067" spans="1:11">
      <c r="A1067" s="2" t="s">
        <v>925</v>
      </c>
      <c r="B1067" s="2" t="s">
        <v>1864</v>
      </c>
      <c r="C1067" s="9">
        <v>10040160</v>
      </c>
      <c r="D1067" s="2" t="s">
        <v>2005</v>
      </c>
      <c r="E1067" s="10">
        <v>6</v>
      </c>
      <c r="F1067" s="9" t="s">
        <v>1237</v>
      </c>
      <c r="G1067" s="11">
        <v>46238</v>
      </c>
      <c r="H1067" s="12">
        <v>44.3</v>
      </c>
      <c r="I1067" s="12">
        <v>39.43</v>
      </c>
      <c r="J1067" s="9" t="s">
        <v>3</v>
      </c>
      <c r="K1067" s="8">
        <v>0</v>
      </c>
    </row>
    <row r="1068" spans="1:11">
      <c r="A1068" s="2" t="s">
        <v>1550</v>
      </c>
      <c r="B1068" s="2" t="s">
        <v>2006</v>
      </c>
      <c r="C1068" s="9">
        <v>10040162</v>
      </c>
      <c r="D1068" s="2" t="s">
        <v>2007</v>
      </c>
      <c r="E1068" s="10">
        <v>1</v>
      </c>
      <c r="F1068" s="9" t="s">
        <v>2008</v>
      </c>
      <c r="G1068" s="11">
        <v>46238</v>
      </c>
      <c r="H1068" s="12">
        <v>49.24</v>
      </c>
      <c r="I1068" s="12">
        <v>43.82</v>
      </c>
      <c r="J1068" s="9" t="s">
        <v>3</v>
      </c>
      <c r="K1068" s="8">
        <v>1</v>
      </c>
    </row>
    <row r="1069" spans="1:11">
      <c r="A1069" s="2" t="s">
        <v>1550</v>
      </c>
      <c r="B1069" s="2" t="s">
        <v>2009</v>
      </c>
      <c r="C1069" s="9">
        <v>10040173</v>
      </c>
      <c r="D1069" s="2" t="s">
        <v>2010</v>
      </c>
      <c r="E1069" s="10">
        <v>1</v>
      </c>
      <c r="F1069" s="9" t="s">
        <v>2011</v>
      </c>
      <c r="G1069" s="11">
        <v>46238</v>
      </c>
      <c r="H1069" s="12">
        <v>38.97</v>
      </c>
      <c r="I1069" s="12">
        <v>35.85</v>
      </c>
      <c r="J1069" s="9" t="s">
        <v>3</v>
      </c>
      <c r="K1069" s="8">
        <v>1</v>
      </c>
    </row>
    <row r="1070" spans="1:11">
      <c r="A1070" s="2" t="s">
        <v>1550</v>
      </c>
      <c r="B1070" s="2" t="s">
        <v>2009</v>
      </c>
      <c r="C1070" s="9">
        <v>10040174</v>
      </c>
      <c r="D1070" s="2" t="s">
        <v>2012</v>
      </c>
      <c r="E1070" s="10">
        <v>1</v>
      </c>
      <c r="F1070" s="9" t="s">
        <v>2013</v>
      </c>
      <c r="G1070" s="11">
        <v>46238</v>
      </c>
      <c r="H1070" s="12">
        <v>22.48</v>
      </c>
      <c r="I1070" s="12">
        <v>20.68</v>
      </c>
      <c r="J1070" s="9" t="s">
        <v>3</v>
      </c>
      <c r="K1070" s="8">
        <v>1</v>
      </c>
    </row>
    <row r="1071" spans="1:11">
      <c r="A1071" s="2" t="s">
        <v>1550</v>
      </c>
      <c r="B1071" s="2" t="s">
        <v>2009</v>
      </c>
      <c r="C1071" s="9">
        <v>10040175</v>
      </c>
      <c r="D1071" s="2" t="s">
        <v>2014</v>
      </c>
      <c r="E1071" s="10">
        <v>2</v>
      </c>
      <c r="F1071" s="9" t="s">
        <v>2015</v>
      </c>
      <c r="G1071" s="11">
        <v>46238</v>
      </c>
      <c r="H1071" s="12">
        <v>24.73</v>
      </c>
      <c r="I1071" s="12">
        <v>22.75</v>
      </c>
      <c r="J1071" s="9" t="s">
        <v>3</v>
      </c>
      <c r="K1071" s="8">
        <v>1</v>
      </c>
    </row>
    <row r="1072" spans="1:11">
      <c r="A1072" s="2" t="s">
        <v>1550</v>
      </c>
      <c r="B1072" s="2" t="s">
        <v>2009</v>
      </c>
      <c r="C1072" s="9">
        <v>10040176</v>
      </c>
      <c r="D1072" s="2" t="s">
        <v>2016</v>
      </c>
      <c r="E1072" s="10">
        <v>1</v>
      </c>
      <c r="F1072" s="9" t="s">
        <v>2017</v>
      </c>
      <c r="G1072" s="11">
        <v>46238</v>
      </c>
      <c r="H1072" s="12">
        <v>42.25</v>
      </c>
      <c r="I1072" s="12">
        <v>38.869999999999997</v>
      </c>
      <c r="J1072" s="9" t="s">
        <v>3</v>
      </c>
      <c r="K1072" s="8">
        <v>1</v>
      </c>
    </row>
    <row r="1073" spans="1:11">
      <c r="A1073" s="2" t="s">
        <v>1550</v>
      </c>
      <c r="B1073" s="2" t="s">
        <v>2009</v>
      </c>
      <c r="C1073" s="9">
        <v>10040177</v>
      </c>
      <c r="D1073" s="2" t="s">
        <v>2018</v>
      </c>
      <c r="E1073" s="10">
        <v>1</v>
      </c>
      <c r="F1073" s="9" t="s">
        <v>2019</v>
      </c>
      <c r="G1073" s="11">
        <v>46238</v>
      </c>
      <c r="H1073" s="12">
        <v>21.05</v>
      </c>
      <c r="I1073" s="12">
        <v>19.37</v>
      </c>
      <c r="J1073" s="9" t="s">
        <v>3</v>
      </c>
      <c r="K1073" s="8">
        <v>1</v>
      </c>
    </row>
    <row r="1074" spans="1:11">
      <c r="A1074" s="2" t="s">
        <v>1550</v>
      </c>
      <c r="B1074" s="2" t="s">
        <v>2009</v>
      </c>
      <c r="C1074" s="9">
        <v>10040178</v>
      </c>
      <c r="D1074" s="2" t="s">
        <v>2020</v>
      </c>
      <c r="E1074" s="10">
        <v>1</v>
      </c>
      <c r="F1074" s="9" t="s">
        <v>2021</v>
      </c>
      <c r="G1074" s="11">
        <v>46238</v>
      </c>
      <c r="H1074" s="12">
        <v>21.05</v>
      </c>
      <c r="I1074" s="12">
        <v>19.37</v>
      </c>
      <c r="J1074" s="9" t="s">
        <v>3</v>
      </c>
      <c r="K1074" s="8">
        <v>1</v>
      </c>
    </row>
    <row r="1075" spans="1:11">
      <c r="A1075" s="2" t="s">
        <v>1550</v>
      </c>
      <c r="B1075" s="2" t="s">
        <v>2009</v>
      </c>
      <c r="C1075" s="9">
        <v>10040179</v>
      </c>
      <c r="D1075" s="2" t="s">
        <v>2022</v>
      </c>
      <c r="E1075" s="10">
        <v>1</v>
      </c>
      <c r="F1075" s="9" t="s">
        <v>2023</v>
      </c>
      <c r="G1075" s="11">
        <v>46238</v>
      </c>
      <c r="H1075" s="12">
        <v>37.86</v>
      </c>
      <c r="I1075" s="12">
        <v>34.83</v>
      </c>
      <c r="J1075" s="9" t="s">
        <v>3</v>
      </c>
      <c r="K1075" s="8">
        <v>1</v>
      </c>
    </row>
    <row r="1076" spans="1:11">
      <c r="A1076" s="2" t="s">
        <v>1550</v>
      </c>
      <c r="B1076" s="2" t="s">
        <v>2024</v>
      </c>
      <c r="C1076" s="9">
        <v>10040181</v>
      </c>
      <c r="D1076" s="2" t="s">
        <v>2025</v>
      </c>
      <c r="E1076" s="10">
        <v>1</v>
      </c>
      <c r="F1076" s="9" t="s">
        <v>989</v>
      </c>
      <c r="G1076" s="11">
        <v>46238</v>
      </c>
      <c r="H1076" s="12">
        <v>59.2</v>
      </c>
      <c r="I1076" s="12">
        <v>52.69</v>
      </c>
      <c r="J1076" s="9" t="s">
        <v>3</v>
      </c>
      <c r="K1076" s="8">
        <v>1</v>
      </c>
    </row>
    <row r="1077" spans="1:11">
      <c r="A1077" s="2" t="s">
        <v>851</v>
      </c>
      <c r="B1077" s="2" t="s">
        <v>2026</v>
      </c>
      <c r="C1077" s="9">
        <v>10040183</v>
      </c>
      <c r="D1077" s="2" t="s">
        <v>2027</v>
      </c>
      <c r="E1077" s="10">
        <v>12</v>
      </c>
      <c r="F1077" s="9" t="s">
        <v>991</v>
      </c>
      <c r="G1077" s="11">
        <v>46238</v>
      </c>
      <c r="H1077" s="12">
        <v>150.41</v>
      </c>
      <c r="I1077" s="12">
        <v>133.81</v>
      </c>
      <c r="J1077" s="9" t="s">
        <v>3</v>
      </c>
      <c r="K1077" s="8">
        <v>0</v>
      </c>
    </row>
    <row r="1078" spans="1:11">
      <c r="A1078" s="2" t="s">
        <v>1550</v>
      </c>
      <c r="B1078" s="2" t="s">
        <v>2028</v>
      </c>
      <c r="C1078" s="9">
        <v>10040186</v>
      </c>
      <c r="D1078" s="2" t="s">
        <v>2029</v>
      </c>
      <c r="E1078" s="10">
        <v>2</v>
      </c>
      <c r="F1078" s="9" t="s">
        <v>2030</v>
      </c>
      <c r="G1078" s="11">
        <v>46238</v>
      </c>
      <c r="H1078" s="12">
        <v>32.159999999999997</v>
      </c>
      <c r="I1078" s="12">
        <v>28.62</v>
      </c>
      <c r="J1078" s="9" t="s">
        <v>3</v>
      </c>
      <c r="K1078" s="8">
        <v>1</v>
      </c>
    </row>
    <row r="1079" spans="1:11">
      <c r="A1079" s="2" t="s">
        <v>851</v>
      </c>
      <c r="B1079" s="2" t="s">
        <v>2031</v>
      </c>
      <c r="C1079" s="9">
        <v>10040187</v>
      </c>
      <c r="D1079" s="2" t="s">
        <v>2032</v>
      </c>
      <c r="E1079" s="10">
        <v>12</v>
      </c>
      <c r="F1079" s="9" t="s">
        <v>2033</v>
      </c>
      <c r="G1079" s="11">
        <v>46238</v>
      </c>
      <c r="H1079" s="12">
        <v>17.399999999999999</v>
      </c>
      <c r="I1079" s="12">
        <v>15.48</v>
      </c>
      <c r="J1079" s="9" t="s">
        <v>3</v>
      </c>
      <c r="K1079" s="8">
        <v>0</v>
      </c>
    </row>
    <row r="1080" spans="1:11">
      <c r="A1080" s="2" t="s">
        <v>851</v>
      </c>
      <c r="B1080" s="2" t="s">
        <v>2034</v>
      </c>
      <c r="C1080" s="9">
        <v>10040189</v>
      </c>
      <c r="D1080" s="2" t="s">
        <v>2035</v>
      </c>
      <c r="E1080" s="10">
        <v>12</v>
      </c>
      <c r="F1080" s="9" t="s">
        <v>774</v>
      </c>
      <c r="G1080" s="11">
        <v>46238</v>
      </c>
      <c r="H1080" s="12">
        <v>52.83</v>
      </c>
      <c r="I1080" s="12">
        <v>47.02</v>
      </c>
      <c r="J1080" s="9" t="s">
        <v>3</v>
      </c>
      <c r="K1080" s="8">
        <v>0</v>
      </c>
    </row>
    <row r="1081" spans="1:11">
      <c r="A1081" s="2" t="s">
        <v>851</v>
      </c>
      <c r="B1081" s="2" t="s">
        <v>2034</v>
      </c>
      <c r="C1081" s="9">
        <v>10040190</v>
      </c>
      <c r="D1081" s="2" t="s">
        <v>2036</v>
      </c>
      <c r="E1081" s="10">
        <v>12</v>
      </c>
      <c r="F1081" s="9" t="s">
        <v>774</v>
      </c>
      <c r="G1081" s="11">
        <v>46238</v>
      </c>
      <c r="H1081" s="12">
        <v>52.83</v>
      </c>
      <c r="I1081" s="12">
        <v>47.02</v>
      </c>
      <c r="J1081" s="9" t="s">
        <v>3</v>
      </c>
      <c r="K1081" s="8">
        <v>0</v>
      </c>
    </row>
    <row r="1082" spans="1:11">
      <c r="A1082" s="2" t="s">
        <v>851</v>
      </c>
      <c r="B1082" s="2" t="s">
        <v>2034</v>
      </c>
      <c r="C1082" s="9">
        <v>10040194</v>
      </c>
      <c r="D1082" s="2" t="s">
        <v>2037</v>
      </c>
      <c r="E1082" s="10">
        <v>18</v>
      </c>
      <c r="F1082" s="9" t="s">
        <v>1392</v>
      </c>
      <c r="G1082" s="11">
        <v>46238</v>
      </c>
      <c r="H1082" s="12">
        <v>53.66</v>
      </c>
      <c r="I1082" s="12">
        <v>47.76</v>
      </c>
      <c r="J1082" s="9" t="s">
        <v>3</v>
      </c>
      <c r="K1082" s="8">
        <v>0</v>
      </c>
    </row>
    <row r="1083" spans="1:11">
      <c r="A1083" s="2" t="s">
        <v>851</v>
      </c>
      <c r="B1083" s="2" t="s">
        <v>2034</v>
      </c>
      <c r="C1083" s="9">
        <v>10040196</v>
      </c>
      <c r="D1083" s="2" t="s">
        <v>2038</v>
      </c>
      <c r="E1083" s="10">
        <v>12</v>
      </c>
      <c r="F1083" s="9" t="s">
        <v>2039</v>
      </c>
      <c r="G1083" s="11">
        <v>46238</v>
      </c>
      <c r="H1083" s="12">
        <v>180.6</v>
      </c>
      <c r="I1083" s="12">
        <v>180.6</v>
      </c>
      <c r="J1083" s="9" t="s">
        <v>3</v>
      </c>
      <c r="K1083" s="8">
        <v>0</v>
      </c>
    </row>
    <row r="1084" spans="1:11">
      <c r="A1084" s="2" t="s">
        <v>851</v>
      </c>
      <c r="B1084" s="2" t="s">
        <v>2034</v>
      </c>
      <c r="C1084" s="9">
        <v>10040200</v>
      </c>
      <c r="D1084" s="2" t="s">
        <v>2040</v>
      </c>
      <c r="E1084" s="10">
        <v>12</v>
      </c>
      <c r="F1084" s="9" t="s">
        <v>1638</v>
      </c>
      <c r="G1084" s="11">
        <v>46238</v>
      </c>
      <c r="H1084" s="12">
        <v>270.64999999999998</v>
      </c>
      <c r="I1084" s="12">
        <v>270.64999999999998</v>
      </c>
      <c r="J1084" s="9" t="s">
        <v>3</v>
      </c>
      <c r="K1084" s="8">
        <v>0</v>
      </c>
    </row>
    <row r="1085" spans="1:11">
      <c r="A1085" s="2" t="s">
        <v>851</v>
      </c>
      <c r="B1085" s="2" t="s">
        <v>2034</v>
      </c>
      <c r="C1085" s="9">
        <v>10040201</v>
      </c>
      <c r="D1085" s="2" t="s">
        <v>2041</v>
      </c>
      <c r="E1085" s="10">
        <v>12</v>
      </c>
      <c r="F1085" s="9" t="s">
        <v>1638</v>
      </c>
      <c r="G1085" s="11">
        <v>46238</v>
      </c>
      <c r="H1085" s="12">
        <v>285.41000000000003</v>
      </c>
      <c r="I1085" s="12">
        <v>285.41000000000003</v>
      </c>
      <c r="J1085" s="9" t="s">
        <v>3</v>
      </c>
      <c r="K1085" s="8">
        <v>0</v>
      </c>
    </row>
    <row r="1086" spans="1:11">
      <c r="A1086" s="2" t="s">
        <v>851</v>
      </c>
      <c r="B1086" s="2" t="s">
        <v>2034</v>
      </c>
      <c r="C1086" s="9">
        <v>10040202</v>
      </c>
      <c r="D1086" s="2" t="s">
        <v>2042</v>
      </c>
      <c r="E1086" s="10">
        <v>12</v>
      </c>
      <c r="F1086" s="9" t="s">
        <v>991</v>
      </c>
      <c r="G1086" s="11">
        <v>46238</v>
      </c>
      <c r="H1086" s="12">
        <v>235.72</v>
      </c>
      <c r="I1086" s="12">
        <v>235.72</v>
      </c>
      <c r="J1086" s="9" t="s">
        <v>3</v>
      </c>
      <c r="K1086" s="8">
        <v>0</v>
      </c>
    </row>
    <row r="1087" spans="1:11">
      <c r="A1087" s="2" t="s">
        <v>851</v>
      </c>
      <c r="B1087" s="2" t="s">
        <v>2034</v>
      </c>
      <c r="C1087" s="9">
        <v>10040203</v>
      </c>
      <c r="D1087" s="2" t="s">
        <v>2043</v>
      </c>
      <c r="E1087" s="10">
        <v>12</v>
      </c>
      <c r="F1087" s="9" t="s">
        <v>2044</v>
      </c>
      <c r="G1087" s="11">
        <v>46238</v>
      </c>
      <c r="H1087" s="12">
        <v>265.10000000000002</v>
      </c>
      <c r="I1087" s="12">
        <v>265.10000000000002</v>
      </c>
      <c r="J1087" s="9" t="s">
        <v>3</v>
      </c>
      <c r="K1087" s="8">
        <v>0</v>
      </c>
    </row>
    <row r="1088" spans="1:11">
      <c r="A1088" s="2" t="s">
        <v>851</v>
      </c>
      <c r="B1088" s="2" t="s">
        <v>2034</v>
      </c>
      <c r="C1088" s="9">
        <v>10040204</v>
      </c>
      <c r="D1088" s="2" t="s">
        <v>2045</v>
      </c>
      <c r="E1088" s="10">
        <v>16</v>
      </c>
      <c r="F1088" s="9" t="s">
        <v>2039</v>
      </c>
      <c r="G1088" s="11">
        <v>46238</v>
      </c>
      <c r="H1088" s="12">
        <v>239.12</v>
      </c>
      <c r="I1088" s="12">
        <v>239.12</v>
      </c>
      <c r="J1088" s="9" t="s">
        <v>3</v>
      </c>
      <c r="K1088" s="8">
        <v>0</v>
      </c>
    </row>
    <row r="1089" spans="1:11">
      <c r="A1089" s="2" t="s">
        <v>851</v>
      </c>
      <c r="B1089" s="2" t="s">
        <v>2034</v>
      </c>
      <c r="C1089" s="9">
        <v>10040206</v>
      </c>
      <c r="D1089" s="2" t="s">
        <v>2046</v>
      </c>
      <c r="E1089" s="10">
        <v>12</v>
      </c>
      <c r="F1089" s="9" t="s">
        <v>2047</v>
      </c>
      <c r="G1089" s="11">
        <v>46238</v>
      </c>
      <c r="H1089" s="12">
        <v>282</v>
      </c>
      <c r="I1089" s="12">
        <v>282</v>
      </c>
      <c r="J1089" s="9" t="s">
        <v>3</v>
      </c>
      <c r="K1089" s="8">
        <v>0</v>
      </c>
    </row>
    <row r="1090" spans="1:11">
      <c r="A1090" s="2" t="s">
        <v>851</v>
      </c>
      <c r="B1090" s="2" t="s">
        <v>2034</v>
      </c>
      <c r="C1090" s="9">
        <v>10040207</v>
      </c>
      <c r="D1090" s="2" t="s">
        <v>2048</v>
      </c>
      <c r="E1090" s="10">
        <v>12</v>
      </c>
      <c r="F1090" s="9" t="s">
        <v>2049</v>
      </c>
      <c r="G1090" s="11">
        <v>46238</v>
      </c>
      <c r="H1090" s="12">
        <v>265.10000000000002</v>
      </c>
      <c r="I1090" s="12">
        <v>265.10000000000002</v>
      </c>
      <c r="J1090" s="9" t="s">
        <v>3</v>
      </c>
      <c r="K1090" s="8">
        <v>0</v>
      </c>
    </row>
    <row r="1091" spans="1:11">
      <c r="A1091" s="2" t="s">
        <v>851</v>
      </c>
      <c r="B1091" s="2" t="s">
        <v>2034</v>
      </c>
      <c r="C1091" s="9">
        <v>10040209</v>
      </c>
      <c r="D1091" s="2" t="s">
        <v>2050</v>
      </c>
      <c r="E1091" s="10">
        <v>12</v>
      </c>
      <c r="F1091" s="9" t="s">
        <v>2033</v>
      </c>
      <c r="G1091" s="11">
        <v>46238</v>
      </c>
      <c r="H1091" s="12">
        <v>214.4</v>
      </c>
      <c r="I1091" s="12">
        <v>214.4</v>
      </c>
      <c r="J1091" s="9" t="s">
        <v>3</v>
      </c>
      <c r="K1091" s="8">
        <v>0</v>
      </c>
    </row>
    <row r="1092" spans="1:11">
      <c r="A1092" s="2" t="s">
        <v>851</v>
      </c>
      <c r="B1092" s="2" t="s">
        <v>2034</v>
      </c>
      <c r="C1092" s="9">
        <v>10040212</v>
      </c>
      <c r="D1092" s="2" t="s">
        <v>2051</v>
      </c>
      <c r="E1092" s="10">
        <v>12</v>
      </c>
      <c r="F1092" s="9" t="s">
        <v>2039</v>
      </c>
      <c r="G1092" s="11">
        <v>46238</v>
      </c>
      <c r="H1092" s="12">
        <v>180.91</v>
      </c>
      <c r="I1092" s="12">
        <v>180.91</v>
      </c>
      <c r="J1092" s="9" t="s">
        <v>3</v>
      </c>
      <c r="K1092" s="8">
        <v>0</v>
      </c>
    </row>
    <row r="1093" spans="1:11">
      <c r="A1093" s="2" t="s">
        <v>851</v>
      </c>
      <c r="B1093" s="2" t="s">
        <v>2034</v>
      </c>
      <c r="C1093" s="9">
        <v>10040214</v>
      </c>
      <c r="D1093" s="2" t="s">
        <v>2052</v>
      </c>
      <c r="E1093" s="10">
        <v>8</v>
      </c>
      <c r="F1093" s="9" t="s">
        <v>2053</v>
      </c>
      <c r="G1093" s="11">
        <v>46238</v>
      </c>
      <c r="H1093" s="12">
        <v>160.80000000000001</v>
      </c>
      <c r="I1093" s="12">
        <v>160.80000000000001</v>
      </c>
      <c r="J1093" s="9" t="s">
        <v>3</v>
      </c>
      <c r="K1093" s="8">
        <v>0</v>
      </c>
    </row>
    <row r="1094" spans="1:11">
      <c r="A1094" s="2" t="s">
        <v>851</v>
      </c>
      <c r="B1094" s="2" t="s">
        <v>2034</v>
      </c>
      <c r="C1094" s="9">
        <v>10040215</v>
      </c>
      <c r="D1094" s="2" t="s">
        <v>2054</v>
      </c>
      <c r="E1094" s="10">
        <v>8</v>
      </c>
      <c r="F1094" s="9" t="s">
        <v>1638</v>
      </c>
      <c r="G1094" s="11">
        <v>46238</v>
      </c>
      <c r="H1094" s="12">
        <v>183.14</v>
      </c>
      <c r="I1094" s="12">
        <v>183.14</v>
      </c>
      <c r="J1094" s="9" t="s">
        <v>3</v>
      </c>
      <c r="K1094" s="8">
        <v>0</v>
      </c>
    </row>
    <row r="1095" spans="1:11">
      <c r="A1095" s="2" t="s">
        <v>607</v>
      </c>
      <c r="B1095" s="2" t="s">
        <v>2055</v>
      </c>
      <c r="C1095" s="9">
        <v>10040241</v>
      </c>
      <c r="D1095" s="2" t="s">
        <v>2056</v>
      </c>
      <c r="E1095" s="10">
        <v>12</v>
      </c>
      <c r="F1095" s="9" t="s">
        <v>2057</v>
      </c>
      <c r="G1095" s="11">
        <v>46238</v>
      </c>
      <c r="H1095" s="12">
        <v>10.18</v>
      </c>
      <c r="I1095" s="12">
        <v>10.18</v>
      </c>
      <c r="J1095" s="9" t="s">
        <v>3</v>
      </c>
      <c r="K1095" s="8">
        <v>0</v>
      </c>
    </row>
    <row r="1096" spans="1:11">
      <c r="A1096" s="2" t="s">
        <v>607</v>
      </c>
      <c r="B1096" s="2" t="s">
        <v>2055</v>
      </c>
      <c r="C1096" s="9">
        <v>10040242</v>
      </c>
      <c r="D1096" s="2" t="s">
        <v>2058</v>
      </c>
      <c r="E1096" s="10">
        <v>6</v>
      </c>
      <c r="F1096" s="9" t="s">
        <v>625</v>
      </c>
      <c r="G1096" s="11">
        <v>46238</v>
      </c>
      <c r="H1096" s="12">
        <v>12.98</v>
      </c>
      <c r="I1096" s="12">
        <v>11.55</v>
      </c>
      <c r="J1096" s="9" t="s">
        <v>3</v>
      </c>
      <c r="K1096" s="8">
        <v>0</v>
      </c>
    </row>
    <row r="1097" spans="1:11">
      <c r="A1097" s="2" t="s">
        <v>1550</v>
      </c>
      <c r="B1097" s="2" t="s">
        <v>2059</v>
      </c>
      <c r="C1097" s="9">
        <v>10040249</v>
      </c>
      <c r="D1097" s="2" t="s">
        <v>2060</v>
      </c>
      <c r="E1097" s="10">
        <v>10</v>
      </c>
      <c r="F1097" s="9" t="s">
        <v>866</v>
      </c>
      <c r="G1097" s="11">
        <v>46238</v>
      </c>
      <c r="H1097" s="12">
        <v>68.58</v>
      </c>
      <c r="I1097" s="12">
        <v>63.09</v>
      </c>
      <c r="J1097" s="9" t="s">
        <v>3</v>
      </c>
      <c r="K1097" s="8">
        <v>0</v>
      </c>
    </row>
    <row r="1098" spans="1:11">
      <c r="A1098" s="2" t="s">
        <v>1550</v>
      </c>
      <c r="B1098" s="2" t="s">
        <v>2059</v>
      </c>
      <c r="C1098" s="9">
        <v>10040250</v>
      </c>
      <c r="D1098" s="2" t="s">
        <v>2061</v>
      </c>
      <c r="E1098" s="10">
        <v>3</v>
      </c>
      <c r="F1098" s="9" t="s">
        <v>2062</v>
      </c>
      <c r="G1098" s="11">
        <v>46238</v>
      </c>
      <c r="H1098" s="12">
        <v>28.62</v>
      </c>
      <c r="I1098" s="12">
        <v>26.33</v>
      </c>
      <c r="J1098" s="9" t="s">
        <v>3</v>
      </c>
      <c r="K1098" s="8">
        <v>1</v>
      </c>
    </row>
    <row r="1099" spans="1:11">
      <c r="A1099" s="2" t="s">
        <v>1550</v>
      </c>
      <c r="B1099" s="2" t="s">
        <v>2059</v>
      </c>
      <c r="C1099" s="9">
        <v>10040263</v>
      </c>
      <c r="D1099" s="2" t="s">
        <v>2063</v>
      </c>
      <c r="E1099" s="10">
        <v>6</v>
      </c>
      <c r="F1099" s="9" t="s">
        <v>2064</v>
      </c>
      <c r="G1099" s="11">
        <v>46238</v>
      </c>
      <c r="H1099" s="12">
        <v>31.53</v>
      </c>
      <c r="I1099" s="12">
        <v>29.01</v>
      </c>
      <c r="J1099" s="9" t="s">
        <v>3</v>
      </c>
      <c r="K1099" s="8">
        <v>1</v>
      </c>
    </row>
    <row r="1100" spans="1:11">
      <c r="A1100" s="2" t="s">
        <v>1662</v>
      </c>
      <c r="B1100" s="2" t="s">
        <v>2065</v>
      </c>
      <c r="C1100" s="9">
        <v>10040293</v>
      </c>
      <c r="D1100" s="2" t="s">
        <v>2066</v>
      </c>
      <c r="E1100" s="10">
        <v>2</v>
      </c>
      <c r="F1100" s="9" t="s">
        <v>2067</v>
      </c>
      <c r="G1100" s="11">
        <v>46238</v>
      </c>
      <c r="H1100" s="12">
        <v>19.13</v>
      </c>
      <c r="I1100" s="12">
        <v>17.600000000000001</v>
      </c>
      <c r="J1100" s="9" t="s">
        <v>3</v>
      </c>
      <c r="K1100" s="8">
        <v>1</v>
      </c>
    </row>
    <row r="1101" spans="1:11">
      <c r="A1101" s="2" t="s">
        <v>1662</v>
      </c>
      <c r="B1101" s="2" t="s">
        <v>2065</v>
      </c>
      <c r="C1101" s="9">
        <v>10040294</v>
      </c>
      <c r="D1101" s="2" t="s">
        <v>2068</v>
      </c>
      <c r="E1101" s="10">
        <v>2</v>
      </c>
      <c r="F1101" s="9" t="s">
        <v>2069</v>
      </c>
      <c r="G1101" s="11">
        <v>46238</v>
      </c>
      <c r="H1101" s="12">
        <v>34.520000000000003</v>
      </c>
      <c r="I1101" s="12">
        <v>31.76</v>
      </c>
      <c r="J1101" s="9" t="s">
        <v>3</v>
      </c>
      <c r="K1101" s="8">
        <v>1</v>
      </c>
    </row>
    <row r="1102" spans="1:11">
      <c r="A1102" s="2" t="s">
        <v>925</v>
      </c>
      <c r="B1102" s="2" t="s">
        <v>1864</v>
      </c>
      <c r="C1102" s="9">
        <v>10040350</v>
      </c>
      <c r="D1102" s="2" t="s">
        <v>2070</v>
      </c>
      <c r="E1102" s="10">
        <v>12</v>
      </c>
      <c r="F1102" s="9" t="s">
        <v>985</v>
      </c>
      <c r="G1102" s="11">
        <v>46238</v>
      </c>
      <c r="H1102" s="12">
        <v>82.02</v>
      </c>
      <c r="I1102" s="12">
        <v>73</v>
      </c>
      <c r="J1102" s="9" t="s">
        <v>3</v>
      </c>
      <c r="K1102" s="8">
        <v>0</v>
      </c>
    </row>
    <row r="1103" spans="1:11">
      <c r="A1103" s="2" t="s">
        <v>851</v>
      </c>
      <c r="B1103" s="2" t="s">
        <v>2034</v>
      </c>
      <c r="C1103" s="9">
        <v>10040353</v>
      </c>
      <c r="D1103" s="2" t="s">
        <v>2071</v>
      </c>
      <c r="E1103" s="10">
        <v>18</v>
      </c>
      <c r="F1103" s="9" t="s">
        <v>1392</v>
      </c>
      <c r="G1103" s="11">
        <v>46238</v>
      </c>
      <c r="H1103" s="12">
        <v>53.66</v>
      </c>
      <c r="I1103" s="12">
        <v>47.76</v>
      </c>
      <c r="J1103" s="9" t="s">
        <v>3</v>
      </c>
      <c r="K1103" s="8">
        <v>0</v>
      </c>
    </row>
    <row r="1104" spans="1:11">
      <c r="A1104" s="2" t="s">
        <v>1550</v>
      </c>
      <c r="B1104" s="2" t="s">
        <v>2006</v>
      </c>
      <c r="C1104" s="9">
        <v>10040354</v>
      </c>
      <c r="D1104" s="2" t="s">
        <v>2072</v>
      </c>
      <c r="E1104" s="10">
        <v>1</v>
      </c>
      <c r="F1104" s="9" t="s">
        <v>2073</v>
      </c>
      <c r="G1104" s="11">
        <v>46238</v>
      </c>
      <c r="H1104" s="12">
        <v>48.49</v>
      </c>
      <c r="I1104" s="12">
        <v>43.16</v>
      </c>
      <c r="J1104" s="9" t="s">
        <v>3</v>
      </c>
      <c r="K1104" s="8">
        <v>1</v>
      </c>
    </row>
    <row r="1105" spans="1:11">
      <c r="A1105" s="2" t="s">
        <v>1550</v>
      </c>
      <c r="B1105" s="2" t="s">
        <v>2006</v>
      </c>
      <c r="C1105" s="9">
        <v>10040355</v>
      </c>
      <c r="D1105" s="2" t="s">
        <v>2074</v>
      </c>
      <c r="E1105" s="10">
        <v>1</v>
      </c>
      <c r="F1105" s="9" t="s">
        <v>2075</v>
      </c>
      <c r="G1105" s="11">
        <v>46238</v>
      </c>
      <c r="H1105" s="12">
        <v>56.25</v>
      </c>
      <c r="I1105" s="12">
        <v>50.06</v>
      </c>
      <c r="J1105" s="9" t="s">
        <v>3</v>
      </c>
      <c r="K1105" s="8">
        <v>1</v>
      </c>
    </row>
    <row r="1106" spans="1:11">
      <c r="A1106" s="2" t="s">
        <v>851</v>
      </c>
      <c r="B1106" s="2" t="s">
        <v>2034</v>
      </c>
      <c r="C1106" s="9">
        <v>10040356</v>
      </c>
      <c r="D1106" s="2" t="s">
        <v>2076</v>
      </c>
      <c r="E1106" s="10">
        <v>12</v>
      </c>
      <c r="F1106" s="9" t="s">
        <v>2053</v>
      </c>
      <c r="G1106" s="11">
        <v>46238</v>
      </c>
      <c r="H1106" s="12">
        <v>270.64999999999998</v>
      </c>
      <c r="I1106" s="12">
        <v>270.64999999999998</v>
      </c>
      <c r="J1106" s="9" t="s">
        <v>3</v>
      </c>
      <c r="K1106" s="8">
        <v>0</v>
      </c>
    </row>
    <row r="1107" spans="1:11">
      <c r="A1107" s="2" t="s">
        <v>925</v>
      </c>
      <c r="B1107" s="2" t="s">
        <v>1864</v>
      </c>
      <c r="C1107" s="9">
        <v>10040357</v>
      </c>
      <c r="D1107" s="2" t="s">
        <v>2077</v>
      </c>
      <c r="E1107" s="10">
        <v>24</v>
      </c>
      <c r="F1107" s="9" t="s">
        <v>1405</v>
      </c>
      <c r="G1107" s="11">
        <v>46238</v>
      </c>
      <c r="H1107" s="12">
        <v>151.63</v>
      </c>
      <c r="I1107" s="12">
        <v>134.94999999999999</v>
      </c>
      <c r="J1107" s="9" t="s">
        <v>3</v>
      </c>
      <c r="K1107" s="8">
        <v>0</v>
      </c>
    </row>
    <row r="1108" spans="1:11">
      <c r="A1108" s="2" t="s">
        <v>851</v>
      </c>
      <c r="B1108" s="2" t="s">
        <v>1965</v>
      </c>
      <c r="C1108" s="9">
        <v>10040361</v>
      </c>
      <c r="D1108" s="2" t="s">
        <v>2078</v>
      </c>
      <c r="E1108" s="10">
        <v>10</v>
      </c>
      <c r="F1108" s="9" t="s">
        <v>866</v>
      </c>
      <c r="G1108" s="11">
        <v>46238</v>
      </c>
      <c r="H1108" s="12">
        <v>28.54</v>
      </c>
      <c r="I1108" s="12">
        <v>25.4</v>
      </c>
      <c r="J1108" s="9" t="s">
        <v>3</v>
      </c>
      <c r="K1108" s="8">
        <v>0</v>
      </c>
    </row>
    <row r="1109" spans="1:11">
      <c r="A1109" s="2" t="s">
        <v>851</v>
      </c>
      <c r="B1109" s="2" t="s">
        <v>1965</v>
      </c>
      <c r="C1109" s="9">
        <v>10040362</v>
      </c>
      <c r="D1109" s="2" t="s">
        <v>2079</v>
      </c>
      <c r="E1109" s="10">
        <v>10</v>
      </c>
      <c r="F1109" s="9" t="s">
        <v>866</v>
      </c>
      <c r="G1109" s="11">
        <v>46238</v>
      </c>
      <c r="H1109" s="12">
        <v>28.54</v>
      </c>
      <c r="I1109" s="12">
        <v>25.4</v>
      </c>
      <c r="J1109" s="9" t="s">
        <v>3</v>
      </c>
      <c r="K1109" s="8">
        <v>0</v>
      </c>
    </row>
    <row r="1110" spans="1:11">
      <c r="A1110" s="2" t="s">
        <v>851</v>
      </c>
      <c r="B1110" s="2" t="s">
        <v>1965</v>
      </c>
      <c r="C1110" s="9">
        <v>10040363</v>
      </c>
      <c r="D1110" s="2" t="s">
        <v>2080</v>
      </c>
      <c r="E1110" s="10">
        <v>10</v>
      </c>
      <c r="F1110" s="9" t="s">
        <v>866</v>
      </c>
      <c r="G1110" s="11">
        <v>46238</v>
      </c>
      <c r="H1110" s="12">
        <v>28.54</v>
      </c>
      <c r="I1110" s="12">
        <v>25.4</v>
      </c>
      <c r="J1110" s="9" t="s">
        <v>3</v>
      </c>
      <c r="K1110" s="8">
        <v>0</v>
      </c>
    </row>
    <row r="1111" spans="1:11">
      <c r="A1111" s="2" t="s">
        <v>851</v>
      </c>
      <c r="B1111" s="2" t="s">
        <v>1965</v>
      </c>
      <c r="C1111" s="9">
        <v>10040364</v>
      </c>
      <c r="D1111" s="2" t="s">
        <v>2081</v>
      </c>
      <c r="E1111" s="10">
        <v>10</v>
      </c>
      <c r="F1111" s="9" t="s">
        <v>866</v>
      </c>
      <c r="G1111" s="11">
        <v>46238</v>
      </c>
      <c r="H1111" s="12">
        <v>28.54</v>
      </c>
      <c r="I1111" s="12">
        <v>25.4</v>
      </c>
      <c r="J1111" s="9" t="s">
        <v>3</v>
      </c>
      <c r="K1111" s="8">
        <v>0</v>
      </c>
    </row>
    <row r="1112" spans="1:11">
      <c r="A1112" s="2" t="s">
        <v>851</v>
      </c>
      <c r="B1112" s="2" t="s">
        <v>1965</v>
      </c>
      <c r="C1112" s="9">
        <v>10040366</v>
      </c>
      <c r="D1112" s="2" t="s">
        <v>2082</v>
      </c>
      <c r="E1112" s="10">
        <v>10</v>
      </c>
      <c r="F1112" s="9" t="s">
        <v>866</v>
      </c>
      <c r="G1112" s="11">
        <v>46238</v>
      </c>
      <c r="H1112" s="12">
        <v>28.54</v>
      </c>
      <c r="I1112" s="12">
        <v>25.4</v>
      </c>
      <c r="J1112" s="9" t="s">
        <v>3</v>
      </c>
      <c r="K1112" s="8">
        <v>0</v>
      </c>
    </row>
    <row r="1113" spans="1:11">
      <c r="A1113" s="2" t="s">
        <v>925</v>
      </c>
      <c r="B1113" s="2" t="s">
        <v>1864</v>
      </c>
      <c r="C1113" s="9">
        <v>10040369</v>
      </c>
      <c r="D1113" s="2" t="s">
        <v>2083</v>
      </c>
      <c r="E1113" s="10">
        <v>2</v>
      </c>
      <c r="F1113" s="9" t="s">
        <v>2084</v>
      </c>
      <c r="G1113" s="11">
        <v>46238</v>
      </c>
      <c r="H1113" s="12">
        <v>119.42</v>
      </c>
      <c r="I1113" s="12">
        <v>106.28</v>
      </c>
      <c r="J1113" s="9" t="s">
        <v>3</v>
      </c>
      <c r="K1113" s="8">
        <v>0</v>
      </c>
    </row>
    <row r="1114" spans="1:11">
      <c r="A1114" s="2" t="s">
        <v>1550</v>
      </c>
      <c r="B1114" s="2" t="s">
        <v>2009</v>
      </c>
      <c r="C1114" s="9">
        <v>10040370</v>
      </c>
      <c r="D1114" s="2" t="s">
        <v>2085</v>
      </c>
      <c r="E1114" s="10">
        <v>1</v>
      </c>
      <c r="F1114" s="9" t="s">
        <v>2086</v>
      </c>
      <c r="G1114" s="11">
        <v>46238</v>
      </c>
      <c r="H1114" s="12">
        <v>45.01</v>
      </c>
      <c r="I1114" s="12">
        <v>41.41</v>
      </c>
      <c r="J1114" s="9" t="s">
        <v>3</v>
      </c>
      <c r="K1114" s="8">
        <v>1</v>
      </c>
    </row>
    <row r="1115" spans="1:11">
      <c r="A1115" s="2" t="s">
        <v>1550</v>
      </c>
      <c r="B1115" s="2" t="s">
        <v>2009</v>
      </c>
      <c r="C1115" s="9">
        <v>10040375</v>
      </c>
      <c r="D1115" s="2" t="s">
        <v>2087</v>
      </c>
      <c r="E1115" s="10">
        <v>1</v>
      </c>
      <c r="F1115" s="9" t="s">
        <v>2088</v>
      </c>
      <c r="G1115" s="11">
        <v>46238</v>
      </c>
      <c r="H1115" s="12">
        <v>22.91</v>
      </c>
      <c r="I1115" s="12">
        <v>21.08</v>
      </c>
      <c r="J1115" s="9" t="s">
        <v>3</v>
      </c>
      <c r="K1115" s="8">
        <v>1</v>
      </c>
    </row>
    <row r="1116" spans="1:11">
      <c r="A1116" s="2" t="s">
        <v>1662</v>
      </c>
      <c r="B1116" s="2" t="s">
        <v>2065</v>
      </c>
      <c r="C1116" s="9">
        <v>10040376</v>
      </c>
      <c r="D1116" s="2" t="s">
        <v>2089</v>
      </c>
      <c r="E1116" s="10">
        <v>2</v>
      </c>
      <c r="F1116" s="9" t="s">
        <v>2090</v>
      </c>
      <c r="G1116" s="11">
        <v>46238</v>
      </c>
      <c r="H1116" s="12">
        <v>46.43</v>
      </c>
      <c r="I1116" s="12">
        <v>41.31</v>
      </c>
      <c r="J1116" s="9" t="s">
        <v>3</v>
      </c>
      <c r="K1116" s="8">
        <v>1</v>
      </c>
    </row>
    <row r="1117" spans="1:11">
      <c r="A1117" s="2" t="s">
        <v>925</v>
      </c>
      <c r="B1117" s="2" t="s">
        <v>1864</v>
      </c>
      <c r="C1117" s="9">
        <v>10040377</v>
      </c>
      <c r="D1117" s="2" t="s">
        <v>2091</v>
      </c>
      <c r="E1117" s="10">
        <v>2</v>
      </c>
      <c r="F1117" s="9" t="s">
        <v>2084</v>
      </c>
      <c r="G1117" s="11">
        <v>46238</v>
      </c>
      <c r="H1117" s="12">
        <v>83.58</v>
      </c>
      <c r="I1117" s="12">
        <v>74.39</v>
      </c>
      <c r="J1117" s="9" t="s">
        <v>3</v>
      </c>
      <c r="K1117" s="8">
        <v>0</v>
      </c>
    </row>
    <row r="1118" spans="1:11">
      <c r="A1118" s="2" t="s">
        <v>925</v>
      </c>
      <c r="B1118" s="2" t="s">
        <v>1864</v>
      </c>
      <c r="C1118" s="9">
        <v>10040380</v>
      </c>
      <c r="D1118" s="2" t="s">
        <v>2092</v>
      </c>
      <c r="E1118" s="10">
        <v>6</v>
      </c>
      <c r="F1118" s="9" t="s">
        <v>1237</v>
      </c>
      <c r="G1118" s="11">
        <v>46238</v>
      </c>
      <c r="H1118" s="12">
        <v>44.28</v>
      </c>
      <c r="I1118" s="12">
        <v>39.409999999999997</v>
      </c>
      <c r="J1118" s="9" t="s">
        <v>3</v>
      </c>
      <c r="K1118" s="8">
        <v>0</v>
      </c>
    </row>
    <row r="1119" spans="1:11">
      <c r="A1119" s="2" t="s">
        <v>1662</v>
      </c>
      <c r="B1119" s="2" t="s">
        <v>2065</v>
      </c>
      <c r="C1119" s="9">
        <v>10040381</v>
      </c>
      <c r="D1119" s="2" t="s">
        <v>2093</v>
      </c>
      <c r="E1119" s="10">
        <v>3</v>
      </c>
      <c r="F1119" s="9" t="s">
        <v>863</v>
      </c>
      <c r="G1119" s="11">
        <v>46238</v>
      </c>
      <c r="H1119" s="12">
        <v>29.5</v>
      </c>
      <c r="I1119" s="12">
        <v>27.14</v>
      </c>
      <c r="J1119" s="9" t="s">
        <v>3</v>
      </c>
      <c r="K1119" s="8">
        <v>1</v>
      </c>
    </row>
    <row r="1120" spans="1:11">
      <c r="A1120" s="2" t="s">
        <v>1662</v>
      </c>
      <c r="B1120" s="2" t="s">
        <v>2065</v>
      </c>
      <c r="C1120" s="9">
        <v>10040382</v>
      </c>
      <c r="D1120" s="2" t="s">
        <v>2094</v>
      </c>
      <c r="E1120" s="10">
        <v>2</v>
      </c>
      <c r="F1120" s="9" t="s">
        <v>2095</v>
      </c>
      <c r="G1120" s="11">
        <v>46238</v>
      </c>
      <c r="H1120" s="12">
        <v>42.98</v>
      </c>
      <c r="I1120" s="12">
        <v>39.54</v>
      </c>
      <c r="J1120" s="9" t="s">
        <v>3</v>
      </c>
      <c r="K1120" s="8">
        <v>1</v>
      </c>
    </row>
    <row r="1121" spans="1:11">
      <c r="A1121" s="2" t="s">
        <v>925</v>
      </c>
      <c r="B1121" s="2" t="s">
        <v>1864</v>
      </c>
      <c r="C1121" s="9">
        <v>10040383</v>
      </c>
      <c r="D1121" s="2" t="s">
        <v>2096</v>
      </c>
      <c r="E1121" s="10">
        <v>24</v>
      </c>
      <c r="F1121" s="9" t="s">
        <v>2097</v>
      </c>
      <c r="G1121" s="11">
        <v>46238</v>
      </c>
      <c r="H1121" s="12">
        <v>113.37</v>
      </c>
      <c r="I1121" s="12">
        <v>100.9</v>
      </c>
      <c r="J1121" s="9" t="s">
        <v>3</v>
      </c>
      <c r="K1121" s="8">
        <v>0</v>
      </c>
    </row>
    <row r="1122" spans="1:11">
      <c r="A1122" s="2" t="s">
        <v>925</v>
      </c>
      <c r="B1122" s="2" t="s">
        <v>1864</v>
      </c>
      <c r="C1122" s="9">
        <v>10040384</v>
      </c>
      <c r="D1122" s="2" t="s">
        <v>2098</v>
      </c>
      <c r="E1122" s="10">
        <v>12</v>
      </c>
      <c r="F1122" s="9" t="s">
        <v>982</v>
      </c>
      <c r="G1122" s="11">
        <v>46238</v>
      </c>
      <c r="H1122" s="12">
        <v>41.81</v>
      </c>
      <c r="I1122" s="12">
        <v>37.21</v>
      </c>
      <c r="J1122" s="9" t="s">
        <v>3</v>
      </c>
      <c r="K1122" s="8">
        <v>0</v>
      </c>
    </row>
    <row r="1123" spans="1:11">
      <c r="A1123" s="2" t="s">
        <v>925</v>
      </c>
      <c r="B1123" s="2" t="s">
        <v>1864</v>
      </c>
      <c r="C1123" s="9">
        <v>10040385</v>
      </c>
      <c r="D1123" s="2" t="s">
        <v>2099</v>
      </c>
      <c r="E1123" s="10">
        <v>12</v>
      </c>
      <c r="F1123" s="9" t="s">
        <v>982</v>
      </c>
      <c r="G1123" s="11">
        <v>46238</v>
      </c>
      <c r="H1123" s="12">
        <v>41.81</v>
      </c>
      <c r="I1123" s="12">
        <v>37.21</v>
      </c>
      <c r="J1123" s="9" t="s">
        <v>3</v>
      </c>
      <c r="K1123" s="8">
        <v>0</v>
      </c>
    </row>
    <row r="1124" spans="1:11">
      <c r="A1124" s="2" t="s">
        <v>925</v>
      </c>
      <c r="B1124" s="2" t="s">
        <v>1864</v>
      </c>
      <c r="C1124" s="9">
        <v>10040386</v>
      </c>
      <c r="D1124" s="2" t="s">
        <v>2100</v>
      </c>
      <c r="E1124" s="10">
        <v>12</v>
      </c>
      <c r="F1124" s="9" t="s">
        <v>982</v>
      </c>
      <c r="G1124" s="11">
        <v>46238</v>
      </c>
      <c r="H1124" s="12">
        <v>41.81</v>
      </c>
      <c r="I1124" s="12">
        <v>37.21</v>
      </c>
      <c r="J1124" s="9" t="s">
        <v>3</v>
      </c>
      <c r="K1124" s="8">
        <v>0</v>
      </c>
    </row>
    <row r="1125" spans="1:11">
      <c r="A1125" s="2" t="s">
        <v>1550</v>
      </c>
      <c r="B1125" s="2" t="s">
        <v>2009</v>
      </c>
      <c r="C1125" s="9">
        <v>10040388</v>
      </c>
      <c r="D1125" s="2" t="s">
        <v>2101</v>
      </c>
      <c r="E1125" s="10">
        <v>1</v>
      </c>
      <c r="F1125" s="9" t="s">
        <v>991</v>
      </c>
      <c r="G1125" s="11">
        <v>46238</v>
      </c>
      <c r="H1125" s="12">
        <v>26.24</v>
      </c>
      <c r="I1125" s="12">
        <v>24.14</v>
      </c>
      <c r="J1125" s="9" t="s">
        <v>3</v>
      </c>
      <c r="K1125" s="8">
        <v>1</v>
      </c>
    </row>
    <row r="1126" spans="1:11">
      <c r="A1126" s="2" t="s">
        <v>925</v>
      </c>
      <c r="B1126" s="2" t="s">
        <v>1864</v>
      </c>
      <c r="C1126" s="9">
        <v>10040389</v>
      </c>
      <c r="D1126" s="2" t="s">
        <v>2102</v>
      </c>
      <c r="E1126" s="10">
        <v>24</v>
      </c>
      <c r="F1126" s="9" t="s">
        <v>2103</v>
      </c>
      <c r="G1126" s="11">
        <v>46238</v>
      </c>
      <c r="H1126" s="12">
        <v>127.54</v>
      </c>
      <c r="I1126" s="12">
        <v>113.51</v>
      </c>
      <c r="J1126" s="9" t="s">
        <v>3</v>
      </c>
      <c r="K1126" s="8">
        <v>0</v>
      </c>
    </row>
    <row r="1127" spans="1:11">
      <c r="A1127" s="2" t="s">
        <v>1662</v>
      </c>
      <c r="B1127" s="2" t="s">
        <v>2065</v>
      </c>
      <c r="C1127" s="9">
        <v>10040390</v>
      </c>
      <c r="D1127" s="2" t="s">
        <v>2104</v>
      </c>
      <c r="E1127" s="10">
        <v>4</v>
      </c>
      <c r="F1127" s="9" t="s">
        <v>997</v>
      </c>
      <c r="G1127" s="11">
        <v>46238</v>
      </c>
      <c r="H1127" s="12">
        <v>25.27</v>
      </c>
      <c r="I1127" s="12">
        <v>22.49</v>
      </c>
      <c r="J1127" s="9" t="s">
        <v>3</v>
      </c>
      <c r="K1127" s="8">
        <v>1</v>
      </c>
    </row>
    <row r="1128" spans="1:11">
      <c r="A1128" s="2" t="s">
        <v>1662</v>
      </c>
      <c r="B1128" s="2" t="s">
        <v>2065</v>
      </c>
      <c r="C1128" s="9">
        <v>10040391</v>
      </c>
      <c r="D1128" s="2" t="s">
        <v>375</v>
      </c>
      <c r="E1128" s="10">
        <v>4</v>
      </c>
      <c r="F1128" s="9" t="s">
        <v>997</v>
      </c>
      <c r="G1128" s="11">
        <v>46238</v>
      </c>
      <c r="H1128" s="12">
        <v>25.27</v>
      </c>
      <c r="I1128" s="12">
        <v>22.49</v>
      </c>
      <c r="J1128" s="9" t="s">
        <v>3</v>
      </c>
      <c r="K1128" s="8">
        <v>1</v>
      </c>
    </row>
    <row r="1129" spans="1:11">
      <c r="A1129" s="2" t="s">
        <v>663</v>
      </c>
      <c r="B1129" s="2" t="s">
        <v>2105</v>
      </c>
      <c r="C1129" s="9">
        <v>10040407</v>
      </c>
      <c r="D1129" s="2" t="s">
        <v>2106</v>
      </c>
      <c r="E1129" s="10">
        <v>32</v>
      </c>
      <c r="F1129" s="9" t="s">
        <v>2107</v>
      </c>
      <c r="G1129" s="11">
        <v>46238</v>
      </c>
      <c r="H1129" s="12">
        <v>259.83999999999997</v>
      </c>
      <c r="I1129" s="12">
        <v>231.36</v>
      </c>
      <c r="J1129" s="9" t="s">
        <v>3</v>
      </c>
      <c r="K1129" s="8">
        <v>0</v>
      </c>
    </row>
    <row r="1130" spans="1:11">
      <c r="A1130" s="2" t="s">
        <v>851</v>
      </c>
      <c r="B1130" s="2" t="s">
        <v>2108</v>
      </c>
      <c r="C1130" s="9">
        <v>10040448</v>
      </c>
      <c r="D1130" s="2" t="s">
        <v>2109</v>
      </c>
      <c r="E1130" s="10">
        <v>24</v>
      </c>
      <c r="F1130" s="9" t="s">
        <v>982</v>
      </c>
      <c r="G1130" s="11">
        <v>46238</v>
      </c>
      <c r="H1130" s="12">
        <v>33.92</v>
      </c>
      <c r="I1130" s="12">
        <v>30.26</v>
      </c>
      <c r="J1130" s="9" t="s">
        <v>3</v>
      </c>
      <c r="K1130" s="8">
        <v>0</v>
      </c>
    </row>
    <row r="1131" spans="1:11">
      <c r="A1131" s="2" t="s">
        <v>1662</v>
      </c>
      <c r="B1131" s="2" t="s">
        <v>2110</v>
      </c>
      <c r="C1131" s="9">
        <v>10040459</v>
      </c>
      <c r="D1131" s="2" t="s">
        <v>2111</v>
      </c>
      <c r="E1131" s="10">
        <v>12</v>
      </c>
      <c r="F1131" s="9" t="s">
        <v>2112</v>
      </c>
      <c r="G1131" s="11">
        <v>46238</v>
      </c>
      <c r="H1131" s="12">
        <v>170.26</v>
      </c>
      <c r="I1131" s="12">
        <v>151.55000000000001</v>
      </c>
      <c r="J1131" s="9" t="s">
        <v>3</v>
      </c>
      <c r="K1131" s="8">
        <v>0</v>
      </c>
    </row>
    <row r="1132" spans="1:11">
      <c r="A1132" s="2" t="s">
        <v>1662</v>
      </c>
      <c r="B1132" s="2" t="s">
        <v>2110</v>
      </c>
      <c r="C1132" s="9">
        <v>10040460</v>
      </c>
      <c r="D1132" s="2" t="s">
        <v>2113</v>
      </c>
      <c r="E1132" s="10">
        <v>12</v>
      </c>
      <c r="F1132" s="9" t="s">
        <v>770</v>
      </c>
      <c r="G1132" s="11">
        <v>46238</v>
      </c>
      <c r="H1132" s="12">
        <v>170.26</v>
      </c>
      <c r="I1132" s="12">
        <v>151.55000000000001</v>
      </c>
      <c r="J1132" s="9" t="s">
        <v>3</v>
      </c>
      <c r="K1132" s="8">
        <v>0</v>
      </c>
    </row>
    <row r="1133" spans="1:11">
      <c r="A1133" s="2" t="s">
        <v>1662</v>
      </c>
      <c r="B1133" s="2" t="s">
        <v>2110</v>
      </c>
      <c r="C1133" s="9">
        <v>10040461</v>
      </c>
      <c r="D1133" s="2" t="s">
        <v>2114</v>
      </c>
      <c r="E1133" s="10">
        <v>18</v>
      </c>
      <c r="F1133" s="9" t="s">
        <v>1667</v>
      </c>
      <c r="G1133" s="11">
        <v>46238</v>
      </c>
      <c r="H1133" s="12">
        <v>182.14</v>
      </c>
      <c r="I1133" s="12">
        <v>162.06</v>
      </c>
      <c r="J1133" s="9" t="s">
        <v>3</v>
      </c>
      <c r="K1133" s="8">
        <v>0</v>
      </c>
    </row>
    <row r="1134" spans="1:11">
      <c r="A1134" s="2" t="s">
        <v>851</v>
      </c>
      <c r="B1134" s="2" t="s">
        <v>2108</v>
      </c>
      <c r="C1134" s="9">
        <v>10040470</v>
      </c>
      <c r="D1134" s="2" t="s">
        <v>2115</v>
      </c>
      <c r="E1134" s="10">
        <v>6</v>
      </c>
      <c r="F1134" s="9" t="s">
        <v>1015</v>
      </c>
      <c r="G1134" s="11">
        <v>46238</v>
      </c>
      <c r="H1134" s="12">
        <v>75.72</v>
      </c>
      <c r="I1134" s="12">
        <v>67.41</v>
      </c>
      <c r="J1134" s="9" t="s">
        <v>3</v>
      </c>
      <c r="K1134" s="8">
        <v>0</v>
      </c>
    </row>
    <row r="1135" spans="1:11">
      <c r="A1135" s="2" t="s">
        <v>851</v>
      </c>
      <c r="B1135" s="2" t="s">
        <v>2108</v>
      </c>
      <c r="C1135" s="9">
        <v>10040474</v>
      </c>
      <c r="D1135" s="2" t="s">
        <v>2116</v>
      </c>
      <c r="E1135" s="10">
        <v>6</v>
      </c>
      <c r="F1135" s="9" t="s">
        <v>1015</v>
      </c>
      <c r="G1135" s="11">
        <v>46238</v>
      </c>
      <c r="H1135" s="12">
        <v>63.94</v>
      </c>
      <c r="I1135" s="12">
        <v>56.9</v>
      </c>
      <c r="J1135" s="9" t="s">
        <v>3</v>
      </c>
      <c r="K1135" s="8">
        <v>0</v>
      </c>
    </row>
    <row r="1136" spans="1:11">
      <c r="A1136" s="2" t="s">
        <v>851</v>
      </c>
      <c r="B1136" s="2" t="s">
        <v>2108</v>
      </c>
      <c r="C1136" s="9">
        <v>10040475</v>
      </c>
      <c r="D1136" s="2" t="s">
        <v>2117</v>
      </c>
      <c r="E1136" s="10">
        <v>12</v>
      </c>
      <c r="F1136" s="9" t="s">
        <v>1478</v>
      </c>
      <c r="G1136" s="11">
        <v>46238</v>
      </c>
      <c r="H1136" s="12">
        <v>62.6</v>
      </c>
      <c r="I1136" s="12">
        <v>55.7</v>
      </c>
      <c r="J1136" s="9" t="s">
        <v>3</v>
      </c>
      <c r="K1136" s="8">
        <v>0</v>
      </c>
    </row>
    <row r="1137" spans="1:11">
      <c r="A1137" s="2" t="s">
        <v>851</v>
      </c>
      <c r="B1137" s="2" t="s">
        <v>2108</v>
      </c>
      <c r="C1137" s="9">
        <v>10040487</v>
      </c>
      <c r="D1137" s="2" t="s">
        <v>2118</v>
      </c>
      <c r="E1137" s="10">
        <v>12</v>
      </c>
      <c r="F1137" s="9" t="s">
        <v>955</v>
      </c>
      <c r="G1137" s="11">
        <v>46238</v>
      </c>
      <c r="H1137" s="12">
        <v>103.53</v>
      </c>
      <c r="I1137" s="12">
        <v>92.11</v>
      </c>
      <c r="J1137" s="9" t="s">
        <v>3</v>
      </c>
      <c r="K1137" s="8">
        <v>0</v>
      </c>
    </row>
    <row r="1138" spans="1:11">
      <c r="A1138" s="2" t="s">
        <v>607</v>
      </c>
      <c r="B1138" s="2" t="s">
        <v>2119</v>
      </c>
      <c r="C1138" s="9">
        <v>10040507</v>
      </c>
      <c r="D1138" s="2" t="s">
        <v>2120</v>
      </c>
      <c r="E1138" s="10">
        <v>12</v>
      </c>
      <c r="F1138" s="9" t="s">
        <v>1367</v>
      </c>
      <c r="G1138" s="11">
        <v>46238</v>
      </c>
      <c r="H1138" s="12">
        <v>42.93</v>
      </c>
      <c r="I1138" s="12">
        <v>38.21</v>
      </c>
      <c r="J1138" s="9" t="s">
        <v>3</v>
      </c>
      <c r="K1138" s="8">
        <v>0</v>
      </c>
    </row>
    <row r="1139" spans="1:11">
      <c r="A1139" s="2" t="s">
        <v>607</v>
      </c>
      <c r="B1139" s="2" t="s">
        <v>2119</v>
      </c>
      <c r="C1139" s="9">
        <v>10040508</v>
      </c>
      <c r="D1139" s="2" t="s">
        <v>2121</v>
      </c>
      <c r="E1139" s="10">
        <v>12</v>
      </c>
      <c r="F1139" s="9" t="s">
        <v>1367</v>
      </c>
      <c r="G1139" s="11">
        <v>46238</v>
      </c>
      <c r="H1139" s="12">
        <v>42.93</v>
      </c>
      <c r="I1139" s="12">
        <v>38.21</v>
      </c>
      <c r="J1139" s="9" t="s">
        <v>3</v>
      </c>
      <c r="K1139" s="8">
        <v>0</v>
      </c>
    </row>
    <row r="1140" spans="1:11">
      <c r="A1140" s="2" t="s">
        <v>851</v>
      </c>
      <c r="B1140" s="2" t="s">
        <v>2026</v>
      </c>
      <c r="C1140" s="9">
        <v>10040654</v>
      </c>
      <c r="D1140" s="2" t="s">
        <v>2122</v>
      </c>
      <c r="E1140" s="10">
        <v>12</v>
      </c>
      <c r="F1140" s="9" t="s">
        <v>770</v>
      </c>
      <c r="G1140" s="11">
        <v>46238</v>
      </c>
      <c r="H1140" s="12">
        <v>38.06</v>
      </c>
      <c r="I1140" s="12">
        <v>33.869999999999997</v>
      </c>
      <c r="J1140" s="9" t="s">
        <v>3</v>
      </c>
      <c r="K1140" s="8">
        <v>0</v>
      </c>
    </row>
    <row r="1141" spans="1:11">
      <c r="A1141" s="2" t="s">
        <v>851</v>
      </c>
      <c r="B1141" s="2" t="s">
        <v>2026</v>
      </c>
      <c r="C1141" s="9">
        <v>10040655</v>
      </c>
      <c r="D1141" s="2" t="s">
        <v>2123</v>
      </c>
      <c r="E1141" s="10">
        <v>12</v>
      </c>
      <c r="F1141" s="9" t="s">
        <v>770</v>
      </c>
      <c r="G1141" s="11">
        <v>46238</v>
      </c>
      <c r="H1141" s="12">
        <v>38.06</v>
      </c>
      <c r="I1141" s="12">
        <v>33.869999999999997</v>
      </c>
      <c r="J1141" s="9" t="s">
        <v>3</v>
      </c>
      <c r="K1141" s="8">
        <v>0</v>
      </c>
    </row>
    <row r="1142" spans="1:11">
      <c r="A1142" s="2" t="s">
        <v>851</v>
      </c>
      <c r="B1142" s="2" t="s">
        <v>2026</v>
      </c>
      <c r="C1142" s="9">
        <v>10040656</v>
      </c>
      <c r="D1142" s="2" t="s">
        <v>2124</v>
      </c>
      <c r="E1142" s="10">
        <v>12</v>
      </c>
      <c r="F1142" s="9" t="s">
        <v>770</v>
      </c>
      <c r="G1142" s="11">
        <v>46238</v>
      </c>
      <c r="H1142" s="12">
        <v>38.06</v>
      </c>
      <c r="I1142" s="12">
        <v>33.869999999999997</v>
      </c>
      <c r="J1142" s="9" t="s">
        <v>3</v>
      </c>
      <c r="K1142" s="8">
        <v>0</v>
      </c>
    </row>
    <row r="1143" spans="1:11">
      <c r="A1143" s="2" t="s">
        <v>851</v>
      </c>
      <c r="B1143" s="2" t="s">
        <v>2026</v>
      </c>
      <c r="C1143" s="9">
        <v>10040657</v>
      </c>
      <c r="D1143" s="2" t="s">
        <v>2125</v>
      </c>
      <c r="E1143" s="10">
        <v>12</v>
      </c>
      <c r="F1143" s="9" t="s">
        <v>770</v>
      </c>
      <c r="G1143" s="11">
        <v>46238</v>
      </c>
      <c r="H1143" s="12">
        <v>38.06</v>
      </c>
      <c r="I1143" s="12">
        <v>33.869999999999997</v>
      </c>
      <c r="J1143" s="9" t="s">
        <v>3</v>
      </c>
      <c r="K1143" s="8">
        <v>0</v>
      </c>
    </row>
    <row r="1144" spans="1:11">
      <c r="A1144" s="2" t="s">
        <v>851</v>
      </c>
      <c r="B1144" s="2" t="s">
        <v>2026</v>
      </c>
      <c r="C1144" s="9">
        <v>10040663</v>
      </c>
      <c r="D1144" s="2" t="s">
        <v>2126</v>
      </c>
      <c r="E1144" s="10">
        <v>12</v>
      </c>
      <c r="F1144" s="9" t="s">
        <v>866</v>
      </c>
      <c r="G1144" s="11">
        <v>46238</v>
      </c>
      <c r="H1144" s="12">
        <v>28.94</v>
      </c>
      <c r="I1144" s="12">
        <v>25.76</v>
      </c>
      <c r="J1144" s="9" t="s">
        <v>3</v>
      </c>
      <c r="K1144" s="8">
        <v>0</v>
      </c>
    </row>
    <row r="1145" spans="1:11">
      <c r="A1145" s="2" t="s">
        <v>851</v>
      </c>
      <c r="B1145" s="2" t="s">
        <v>2026</v>
      </c>
      <c r="C1145" s="9">
        <v>10040664</v>
      </c>
      <c r="D1145" s="2" t="s">
        <v>2127</v>
      </c>
      <c r="E1145" s="10">
        <v>12</v>
      </c>
      <c r="F1145" s="9" t="s">
        <v>866</v>
      </c>
      <c r="G1145" s="11">
        <v>46238</v>
      </c>
      <c r="H1145" s="12">
        <v>28.94</v>
      </c>
      <c r="I1145" s="12">
        <v>25.76</v>
      </c>
      <c r="J1145" s="9" t="s">
        <v>3</v>
      </c>
      <c r="K1145" s="8">
        <v>0</v>
      </c>
    </row>
    <row r="1146" spans="1:11">
      <c r="A1146" s="2" t="s">
        <v>851</v>
      </c>
      <c r="B1146" s="2" t="s">
        <v>2026</v>
      </c>
      <c r="C1146" s="9">
        <v>10040665</v>
      </c>
      <c r="D1146" s="2" t="s">
        <v>2128</v>
      </c>
      <c r="E1146" s="10">
        <v>12</v>
      </c>
      <c r="F1146" s="9" t="s">
        <v>866</v>
      </c>
      <c r="G1146" s="11">
        <v>46238</v>
      </c>
      <c r="H1146" s="12">
        <v>28.94</v>
      </c>
      <c r="I1146" s="12">
        <v>25.76</v>
      </c>
      <c r="J1146" s="9" t="s">
        <v>3</v>
      </c>
      <c r="K1146" s="8">
        <v>0</v>
      </c>
    </row>
    <row r="1147" spans="1:11">
      <c r="A1147" s="2" t="s">
        <v>851</v>
      </c>
      <c r="B1147" s="2" t="s">
        <v>2026</v>
      </c>
      <c r="C1147" s="9">
        <v>10040666</v>
      </c>
      <c r="D1147" s="2" t="s">
        <v>2129</v>
      </c>
      <c r="E1147" s="10">
        <v>16</v>
      </c>
      <c r="F1147" s="9" t="s">
        <v>770</v>
      </c>
      <c r="G1147" s="11">
        <v>46238</v>
      </c>
      <c r="H1147" s="12">
        <v>53.43</v>
      </c>
      <c r="I1147" s="12">
        <v>47.55</v>
      </c>
      <c r="J1147" s="9" t="s">
        <v>3</v>
      </c>
      <c r="K1147" s="8">
        <v>0</v>
      </c>
    </row>
    <row r="1148" spans="1:11">
      <c r="A1148" s="2" t="s">
        <v>851</v>
      </c>
      <c r="B1148" s="2" t="s">
        <v>2026</v>
      </c>
      <c r="C1148" s="9">
        <v>10040667</v>
      </c>
      <c r="D1148" s="2" t="s">
        <v>2130</v>
      </c>
      <c r="E1148" s="10">
        <v>12</v>
      </c>
      <c r="F1148" s="9" t="s">
        <v>770</v>
      </c>
      <c r="G1148" s="11">
        <v>46238</v>
      </c>
      <c r="H1148" s="12">
        <v>24.96</v>
      </c>
      <c r="I1148" s="12">
        <v>22.21</v>
      </c>
      <c r="J1148" s="9" t="s">
        <v>3</v>
      </c>
      <c r="K1148" s="8">
        <v>0</v>
      </c>
    </row>
    <row r="1149" spans="1:11">
      <c r="A1149" s="2" t="s">
        <v>851</v>
      </c>
      <c r="B1149" s="2" t="s">
        <v>2026</v>
      </c>
      <c r="C1149" s="9">
        <v>10040668</v>
      </c>
      <c r="D1149" s="2" t="s">
        <v>2130</v>
      </c>
      <c r="E1149" s="10">
        <v>10</v>
      </c>
      <c r="F1149" s="9" t="s">
        <v>991</v>
      </c>
      <c r="G1149" s="11">
        <v>46238</v>
      </c>
      <c r="H1149" s="12">
        <v>29.09</v>
      </c>
      <c r="I1149" s="12">
        <v>25.89</v>
      </c>
      <c r="J1149" s="9" t="s">
        <v>3</v>
      </c>
      <c r="K1149" s="8">
        <v>0</v>
      </c>
    </row>
    <row r="1150" spans="1:11">
      <c r="A1150" s="2" t="s">
        <v>851</v>
      </c>
      <c r="B1150" s="2" t="s">
        <v>2026</v>
      </c>
      <c r="C1150" s="9">
        <v>10040670</v>
      </c>
      <c r="D1150" s="2" t="s">
        <v>2131</v>
      </c>
      <c r="E1150" s="10">
        <v>12</v>
      </c>
      <c r="F1150" s="9" t="s">
        <v>2132</v>
      </c>
      <c r="G1150" s="11">
        <v>46238</v>
      </c>
      <c r="H1150" s="12">
        <v>41.37</v>
      </c>
      <c r="I1150" s="12">
        <v>36.82</v>
      </c>
      <c r="J1150" s="9" t="s">
        <v>3</v>
      </c>
      <c r="K1150" s="8">
        <v>0</v>
      </c>
    </row>
    <row r="1151" spans="1:11">
      <c r="A1151" s="2" t="s">
        <v>851</v>
      </c>
      <c r="B1151" s="2" t="s">
        <v>2026</v>
      </c>
      <c r="C1151" s="9">
        <v>10040671</v>
      </c>
      <c r="D1151" s="2" t="s">
        <v>2133</v>
      </c>
      <c r="E1151" s="10">
        <v>24</v>
      </c>
      <c r="F1151" s="9" t="s">
        <v>711</v>
      </c>
      <c r="G1151" s="11">
        <v>46238</v>
      </c>
      <c r="H1151" s="12">
        <v>40.630000000000003</v>
      </c>
      <c r="I1151" s="12">
        <v>36.159999999999997</v>
      </c>
      <c r="J1151" s="9" t="s">
        <v>3</v>
      </c>
      <c r="K1151" s="8">
        <v>0</v>
      </c>
    </row>
    <row r="1152" spans="1:11">
      <c r="A1152" s="2" t="s">
        <v>851</v>
      </c>
      <c r="B1152" s="2" t="s">
        <v>2026</v>
      </c>
      <c r="C1152" s="9">
        <v>10040672</v>
      </c>
      <c r="D1152" s="2" t="s">
        <v>2134</v>
      </c>
      <c r="E1152" s="10">
        <v>24</v>
      </c>
      <c r="F1152" s="9" t="s">
        <v>711</v>
      </c>
      <c r="G1152" s="11">
        <v>46238</v>
      </c>
      <c r="H1152" s="12">
        <v>47.37</v>
      </c>
      <c r="I1152" s="12">
        <v>42.16</v>
      </c>
      <c r="J1152" s="9" t="s">
        <v>3</v>
      </c>
      <c r="K1152" s="8">
        <v>0</v>
      </c>
    </row>
    <row r="1153" spans="1:11">
      <c r="A1153" s="2" t="s">
        <v>851</v>
      </c>
      <c r="B1153" s="2" t="s">
        <v>2026</v>
      </c>
      <c r="C1153" s="9">
        <v>10040674</v>
      </c>
      <c r="D1153" s="2" t="s">
        <v>2131</v>
      </c>
      <c r="E1153" s="10">
        <v>6</v>
      </c>
      <c r="F1153" s="9" t="s">
        <v>2135</v>
      </c>
      <c r="G1153" s="11">
        <v>46238</v>
      </c>
      <c r="H1153" s="12">
        <v>59.9</v>
      </c>
      <c r="I1153" s="12">
        <v>59.9</v>
      </c>
      <c r="J1153" s="9" t="s">
        <v>3</v>
      </c>
      <c r="K1153" s="8">
        <v>0</v>
      </c>
    </row>
    <row r="1154" spans="1:11">
      <c r="A1154" s="2" t="s">
        <v>851</v>
      </c>
      <c r="B1154" s="2" t="s">
        <v>2026</v>
      </c>
      <c r="C1154" s="9">
        <v>10040675</v>
      </c>
      <c r="D1154" s="2" t="s">
        <v>2136</v>
      </c>
      <c r="E1154" s="10">
        <v>12</v>
      </c>
      <c r="F1154" s="9" t="s">
        <v>2132</v>
      </c>
      <c r="G1154" s="11">
        <v>46238</v>
      </c>
      <c r="H1154" s="12">
        <v>66.78</v>
      </c>
      <c r="I1154" s="12">
        <v>59.43</v>
      </c>
      <c r="J1154" s="9" t="s">
        <v>3</v>
      </c>
      <c r="K1154" s="8">
        <v>0</v>
      </c>
    </row>
    <row r="1155" spans="1:11">
      <c r="A1155" s="2" t="s">
        <v>851</v>
      </c>
      <c r="B1155" s="2" t="s">
        <v>2026</v>
      </c>
      <c r="C1155" s="9">
        <v>10040677</v>
      </c>
      <c r="D1155" s="2" t="s">
        <v>2137</v>
      </c>
      <c r="E1155" s="10">
        <v>12</v>
      </c>
      <c r="F1155" s="9" t="s">
        <v>2138</v>
      </c>
      <c r="G1155" s="11">
        <v>46238</v>
      </c>
      <c r="H1155" s="12">
        <v>29.07</v>
      </c>
      <c r="I1155" s="12">
        <v>25.87</v>
      </c>
      <c r="J1155" s="9" t="s">
        <v>3</v>
      </c>
      <c r="K1155" s="8">
        <v>0</v>
      </c>
    </row>
    <row r="1156" spans="1:11">
      <c r="A1156" s="2" t="s">
        <v>851</v>
      </c>
      <c r="B1156" s="2" t="s">
        <v>2026</v>
      </c>
      <c r="C1156" s="9">
        <v>10040678</v>
      </c>
      <c r="D1156" s="2" t="s">
        <v>2139</v>
      </c>
      <c r="E1156" s="10">
        <v>12</v>
      </c>
      <c r="F1156" s="9" t="s">
        <v>2138</v>
      </c>
      <c r="G1156" s="11">
        <v>46238</v>
      </c>
      <c r="H1156" s="12">
        <v>38.020000000000003</v>
      </c>
      <c r="I1156" s="12">
        <v>33.840000000000003</v>
      </c>
      <c r="J1156" s="9" t="s">
        <v>3</v>
      </c>
      <c r="K1156" s="8">
        <v>0</v>
      </c>
    </row>
    <row r="1157" spans="1:11">
      <c r="A1157" s="2" t="s">
        <v>851</v>
      </c>
      <c r="B1157" s="2" t="s">
        <v>2026</v>
      </c>
      <c r="C1157" s="9">
        <v>10040679</v>
      </c>
      <c r="D1157" s="2" t="s">
        <v>2140</v>
      </c>
      <c r="E1157" s="10">
        <v>2</v>
      </c>
      <c r="F1157" s="9" t="s">
        <v>863</v>
      </c>
      <c r="G1157" s="11">
        <v>46238</v>
      </c>
      <c r="H1157" s="12">
        <v>26.88</v>
      </c>
      <c r="I1157" s="12">
        <v>23.92</v>
      </c>
      <c r="J1157" s="9" t="s">
        <v>3</v>
      </c>
      <c r="K1157" s="8">
        <v>0</v>
      </c>
    </row>
    <row r="1158" spans="1:11">
      <c r="A1158" s="2" t="s">
        <v>851</v>
      </c>
      <c r="B1158" s="2" t="s">
        <v>2026</v>
      </c>
      <c r="C1158" s="9">
        <v>10040686</v>
      </c>
      <c r="D1158" s="2" t="s">
        <v>2141</v>
      </c>
      <c r="E1158" s="10">
        <v>12</v>
      </c>
      <c r="F1158" s="9" t="s">
        <v>768</v>
      </c>
      <c r="G1158" s="11">
        <v>46238</v>
      </c>
      <c r="H1158" s="12">
        <v>44.9</v>
      </c>
      <c r="I1158" s="12">
        <v>39.96</v>
      </c>
      <c r="J1158" s="9" t="s">
        <v>3</v>
      </c>
      <c r="K1158" s="8">
        <v>0</v>
      </c>
    </row>
    <row r="1159" spans="1:11">
      <c r="A1159" s="2" t="s">
        <v>851</v>
      </c>
      <c r="B1159" s="2" t="s">
        <v>2026</v>
      </c>
      <c r="C1159" s="9">
        <v>10040691</v>
      </c>
      <c r="D1159" s="2" t="s">
        <v>2142</v>
      </c>
      <c r="E1159" s="10">
        <v>14</v>
      </c>
      <c r="F1159" s="9" t="s">
        <v>866</v>
      </c>
      <c r="G1159" s="11">
        <v>46238</v>
      </c>
      <c r="H1159" s="12">
        <v>36.42</v>
      </c>
      <c r="I1159" s="12">
        <v>32.409999999999997</v>
      </c>
      <c r="J1159" s="9" t="s">
        <v>3</v>
      </c>
      <c r="K1159" s="8">
        <v>0</v>
      </c>
    </row>
    <row r="1160" spans="1:11">
      <c r="A1160" s="2" t="s">
        <v>851</v>
      </c>
      <c r="B1160" s="2" t="s">
        <v>2026</v>
      </c>
      <c r="C1160" s="9">
        <v>10040692</v>
      </c>
      <c r="D1160" s="2" t="s">
        <v>2143</v>
      </c>
      <c r="E1160" s="10">
        <v>14</v>
      </c>
      <c r="F1160" s="9" t="s">
        <v>866</v>
      </c>
      <c r="G1160" s="11">
        <v>46238</v>
      </c>
      <c r="H1160" s="12">
        <v>36.42</v>
      </c>
      <c r="I1160" s="12">
        <v>32.409999999999997</v>
      </c>
      <c r="J1160" s="9" t="s">
        <v>3</v>
      </c>
      <c r="K1160" s="8">
        <v>0</v>
      </c>
    </row>
    <row r="1161" spans="1:11">
      <c r="A1161" s="2" t="s">
        <v>851</v>
      </c>
      <c r="B1161" s="2" t="s">
        <v>2026</v>
      </c>
      <c r="C1161" s="9">
        <v>10040693</v>
      </c>
      <c r="D1161" s="2" t="s">
        <v>2144</v>
      </c>
      <c r="E1161" s="10">
        <v>14</v>
      </c>
      <c r="F1161" s="9" t="s">
        <v>866</v>
      </c>
      <c r="G1161" s="11">
        <v>46238</v>
      </c>
      <c r="H1161" s="12">
        <v>36.42</v>
      </c>
      <c r="I1161" s="12">
        <v>32.409999999999997</v>
      </c>
      <c r="J1161" s="9" t="s">
        <v>3</v>
      </c>
      <c r="K1161" s="8">
        <v>0</v>
      </c>
    </row>
    <row r="1162" spans="1:11">
      <c r="A1162" s="2" t="s">
        <v>851</v>
      </c>
      <c r="B1162" s="2" t="s">
        <v>2026</v>
      </c>
      <c r="C1162" s="9">
        <v>10040694</v>
      </c>
      <c r="D1162" s="2" t="s">
        <v>2145</v>
      </c>
      <c r="E1162" s="10">
        <v>14</v>
      </c>
      <c r="F1162" s="9" t="s">
        <v>866</v>
      </c>
      <c r="G1162" s="11">
        <v>46238</v>
      </c>
      <c r="H1162" s="12">
        <v>36.42</v>
      </c>
      <c r="I1162" s="12">
        <v>32.409999999999997</v>
      </c>
      <c r="J1162" s="9" t="s">
        <v>3</v>
      </c>
      <c r="K1162" s="8">
        <v>0</v>
      </c>
    </row>
    <row r="1163" spans="1:11">
      <c r="A1163" s="2" t="s">
        <v>851</v>
      </c>
      <c r="B1163" s="2" t="s">
        <v>2026</v>
      </c>
      <c r="C1163" s="9">
        <v>10040695</v>
      </c>
      <c r="D1163" s="2" t="s">
        <v>2146</v>
      </c>
      <c r="E1163" s="10">
        <v>15</v>
      </c>
      <c r="F1163" s="9" t="s">
        <v>1367</v>
      </c>
      <c r="G1163" s="11">
        <v>46238</v>
      </c>
      <c r="H1163" s="12">
        <v>71.45</v>
      </c>
      <c r="I1163" s="12">
        <v>63.59</v>
      </c>
      <c r="J1163" s="9" t="s">
        <v>3</v>
      </c>
      <c r="K1163" s="8">
        <v>0</v>
      </c>
    </row>
    <row r="1164" spans="1:11">
      <c r="A1164" s="2" t="s">
        <v>851</v>
      </c>
      <c r="B1164" s="2" t="s">
        <v>2026</v>
      </c>
      <c r="C1164" s="9">
        <v>10040696</v>
      </c>
      <c r="D1164" s="2" t="s">
        <v>2147</v>
      </c>
      <c r="E1164" s="10">
        <v>15</v>
      </c>
      <c r="F1164" s="9" t="s">
        <v>1367</v>
      </c>
      <c r="G1164" s="11">
        <v>46238</v>
      </c>
      <c r="H1164" s="12">
        <v>71.45</v>
      </c>
      <c r="I1164" s="12">
        <v>63.59</v>
      </c>
      <c r="J1164" s="9" t="s">
        <v>3</v>
      </c>
      <c r="K1164" s="8">
        <v>0</v>
      </c>
    </row>
    <row r="1165" spans="1:11">
      <c r="A1165" s="2" t="s">
        <v>851</v>
      </c>
      <c r="B1165" s="2" t="s">
        <v>2026</v>
      </c>
      <c r="C1165" s="9">
        <v>10040697</v>
      </c>
      <c r="D1165" s="2" t="s">
        <v>2148</v>
      </c>
      <c r="E1165" s="10">
        <v>15</v>
      </c>
      <c r="F1165" s="9" t="s">
        <v>1367</v>
      </c>
      <c r="G1165" s="11">
        <v>46238</v>
      </c>
      <c r="H1165" s="12">
        <v>71.45</v>
      </c>
      <c r="I1165" s="12">
        <v>63.59</v>
      </c>
      <c r="J1165" s="9" t="s">
        <v>3</v>
      </c>
      <c r="K1165" s="8">
        <v>0</v>
      </c>
    </row>
    <row r="1166" spans="1:11">
      <c r="A1166" s="2" t="s">
        <v>851</v>
      </c>
      <c r="B1166" s="2" t="s">
        <v>2026</v>
      </c>
      <c r="C1166" s="9">
        <v>10040698</v>
      </c>
      <c r="D1166" s="2" t="s">
        <v>2149</v>
      </c>
      <c r="E1166" s="10">
        <v>15</v>
      </c>
      <c r="F1166" s="9" t="s">
        <v>1367</v>
      </c>
      <c r="G1166" s="11">
        <v>46238</v>
      </c>
      <c r="H1166" s="12">
        <v>71.45</v>
      </c>
      <c r="I1166" s="12">
        <v>63.59</v>
      </c>
      <c r="J1166" s="9" t="s">
        <v>3</v>
      </c>
      <c r="K1166" s="8">
        <v>0</v>
      </c>
    </row>
    <row r="1167" spans="1:11">
      <c r="A1167" s="2" t="s">
        <v>851</v>
      </c>
      <c r="B1167" s="2" t="s">
        <v>2026</v>
      </c>
      <c r="C1167" s="9">
        <v>10040699</v>
      </c>
      <c r="D1167" s="2" t="s">
        <v>2150</v>
      </c>
      <c r="E1167" s="10">
        <v>12</v>
      </c>
      <c r="F1167" s="9" t="s">
        <v>1306</v>
      </c>
      <c r="G1167" s="11">
        <v>46238</v>
      </c>
      <c r="H1167" s="12">
        <v>155.31</v>
      </c>
      <c r="I1167" s="12">
        <v>138.22999999999999</v>
      </c>
      <c r="J1167" s="9" t="s">
        <v>3</v>
      </c>
      <c r="K1167" s="8">
        <v>0</v>
      </c>
    </row>
    <row r="1168" spans="1:11">
      <c r="A1168" s="2" t="s">
        <v>851</v>
      </c>
      <c r="B1168" s="2" t="s">
        <v>2026</v>
      </c>
      <c r="C1168" s="9">
        <v>10040713</v>
      </c>
      <c r="D1168" s="2" t="s">
        <v>2151</v>
      </c>
      <c r="E1168" s="10">
        <v>12</v>
      </c>
      <c r="F1168" s="9" t="s">
        <v>1306</v>
      </c>
      <c r="G1168" s="11">
        <v>46238</v>
      </c>
      <c r="H1168" s="12">
        <v>173.09</v>
      </c>
      <c r="I1168" s="12">
        <v>154.05000000000001</v>
      </c>
      <c r="J1168" s="9" t="s">
        <v>3</v>
      </c>
      <c r="K1168" s="8">
        <v>0</v>
      </c>
    </row>
    <row r="1169" spans="1:11">
      <c r="A1169" s="2" t="s">
        <v>851</v>
      </c>
      <c r="B1169" s="2" t="s">
        <v>2026</v>
      </c>
      <c r="C1169" s="9">
        <v>10040715</v>
      </c>
      <c r="D1169" s="2" t="s">
        <v>2152</v>
      </c>
      <c r="E1169" s="10">
        <v>6</v>
      </c>
      <c r="F1169" s="9" t="s">
        <v>1015</v>
      </c>
      <c r="G1169" s="11">
        <v>46238</v>
      </c>
      <c r="H1169" s="12">
        <v>67.39</v>
      </c>
      <c r="I1169" s="12">
        <v>59.98</v>
      </c>
      <c r="J1169" s="9" t="s">
        <v>3</v>
      </c>
      <c r="K1169" s="8">
        <v>0</v>
      </c>
    </row>
    <row r="1170" spans="1:11">
      <c r="A1170" s="2" t="s">
        <v>851</v>
      </c>
      <c r="B1170" s="2" t="s">
        <v>2026</v>
      </c>
      <c r="C1170" s="9">
        <v>10040720</v>
      </c>
      <c r="D1170" s="2" t="s">
        <v>2153</v>
      </c>
      <c r="E1170" s="10">
        <v>12</v>
      </c>
      <c r="F1170" s="9" t="s">
        <v>1015</v>
      </c>
      <c r="G1170" s="11">
        <v>46238</v>
      </c>
      <c r="H1170" s="12">
        <v>57.4</v>
      </c>
      <c r="I1170" s="12">
        <v>51.09</v>
      </c>
      <c r="J1170" s="9" t="s">
        <v>3</v>
      </c>
      <c r="K1170" s="8">
        <v>0</v>
      </c>
    </row>
    <row r="1171" spans="1:11">
      <c r="A1171" s="2" t="s">
        <v>851</v>
      </c>
      <c r="B1171" s="2" t="s">
        <v>2026</v>
      </c>
      <c r="C1171" s="9">
        <v>10040721</v>
      </c>
      <c r="D1171" s="2" t="s">
        <v>2154</v>
      </c>
      <c r="E1171" s="10">
        <v>6</v>
      </c>
      <c r="F1171" s="9" t="s">
        <v>1315</v>
      </c>
      <c r="G1171" s="11">
        <v>46238</v>
      </c>
      <c r="H1171" s="12">
        <v>38.82</v>
      </c>
      <c r="I1171" s="12">
        <v>34.549999999999997</v>
      </c>
      <c r="J1171" s="9" t="s">
        <v>3</v>
      </c>
      <c r="K1171" s="8">
        <v>0</v>
      </c>
    </row>
    <row r="1172" spans="1:11">
      <c r="A1172" s="2" t="s">
        <v>851</v>
      </c>
      <c r="B1172" s="2" t="s">
        <v>2026</v>
      </c>
      <c r="C1172" s="9">
        <v>10040725</v>
      </c>
      <c r="D1172" s="2" t="s">
        <v>2155</v>
      </c>
      <c r="E1172" s="10">
        <v>12</v>
      </c>
      <c r="F1172" s="9" t="s">
        <v>2156</v>
      </c>
      <c r="G1172" s="11">
        <v>46238</v>
      </c>
      <c r="H1172" s="12">
        <v>34.56</v>
      </c>
      <c r="I1172" s="12">
        <v>30.76</v>
      </c>
      <c r="J1172" s="9" t="s">
        <v>3</v>
      </c>
      <c r="K1172" s="8">
        <v>0</v>
      </c>
    </row>
    <row r="1173" spans="1:11">
      <c r="A1173" s="2" t="s">
        <v>851</v>
      </c>
      <c r="B1173" s="2" t="s">
        <v>2026</v>
      </c>
      <c r="C1173" s="9">
        <v>10040726</v>
      </c>
      <c r="D1173" s="2" t="s">
        <v>2157</v>
      </c>
      <c r="E1173" s="10">
        <v>12</v>
      </c>
      <c r="F1173" s="9" t="s">
        <v>2156</v>
      </c>
      <c r="G1173" s="11">
        <v>46238</v>
      </c>
      <c r="H1173" s="12">
        <v>34.56</v>
      </c>
      <c r="I1173" s="12">
        <v>30.76</v>
      </c>
      <c r="J1173" s="9" t="s">
        <v>3</v>
      </c>
      <c r="K1173" s="8">
        <v>0</v>
      </c>
    </row>
    <row r="1174" spans="1:11">
      <c r="A1174" s="2" t="s">
        <v>851</v>
      </c>
      <c r="B1174" s="2" t="s">
        <v>2026</v>
      </c>
      <c r="C1174" s="9">
        <v>10040727</v>
      </c>
      <c r="D1174" s="2" t="s">
        <v>2158</v>
      </c>
      <c r="E1174" s="10">
        <v>12</v>
      </c>
      <c r="F1174" s="9" t="s">
        <v>1171</v>
      </c>
      <c r="G1174" s="11">
        <v>46238</v>
      </c>
      <c r="H1174" s="12">
        <v>34.56</v>
      </c>
      <c r="I1174" s="12">
        <v>30.76</v>
      </c>
      <c r="J1174" s="9" t="s">
        <v>3</v>
      </c>
      <c r="K1174" s="8">
        <v>0</v>
      </c>
    </row>
    <row r="1175" spans="1:11">
      <c r="A1175" s="2" t="s">
        <v>851</v>
      </c>
      <c r="B1175" s="2" t="s">
        <v>2026</v>
      </c>
      <c r="C1175" s="9">
        <v>10040729</v>
      </c>
      <c r="D1175" s="2" t="s">
        <v>2159</v>
      </c>
      <c r="E1175" s="10">
        <v>12</v>
      </c>
      <c r="F1175" s="9" t="s">
        <v>2156</v>
      </c>
      <c r="G1175" s="11">
        <v>46238</v>
      </c>
      <c r="H1175" s="12">
        <v>34.56</v>
      </c>
      <c r="I1175" s="12">
        <v>30.76</v>
      </c>
      <c r="J1175" s="9" t="s">
        <v>3</v>
      </c>
      <c r="K1175" s="8">
        <v>0</v>
      </c>
    </row>
    <row r="1176" spans="1:11">
      <c r="A1176" s="2" t="s">
        <v>851</v>
      </c>
      <c r="B1176" s="2" t="s">
        <v>2026</v>
      </c>
      <c r="C1176" s="9">
        <v>10040730</v>
      </c>
      <c r="D1176" s="2" t="s">
        <v>2160</v>
      </c>
      <c r="E1176" s="10">
        <v>12</v>
      </c>
      <c r="F1176" s="9" t="s">
        <v>2156</v>
      </c>
      <c r="G1176" s="11">
        <v>46238</v>
      </c>
      <c r="H1176" s="12">
        <v>34.56</v>
      </c>
      <c r="I1176" s="12">
        <v>30.76</v>
      </c>
      <c r="J1176" s="9" t="s">
        <v>3</v>
      </c>
      <c r="K1176" s="8">
        <v>0</v>
      </c>
    </row>
    <row r="1177" spans="1:11">
      <c r="A1177" s="2" t="s">
        <v>851</v>
      </c>
      <c r="B1177" s="2" t="s">
        <v>2026</v>
      </c>
      <c r="C1177" s="9">
        <v>10040739</v>
      </c>
      <c r="D1177" s="2" t="s">
        <v>2161</v>
      </c>
      <c r="E1177" s="10">
        <v>12</v>
      </c>
      <c r="F1177" s="9" t="s">
        <v>991</v>
      </c>
      <c r="G1177" s="11">
        <v>46238</v>
      </c>
      <c r="H1177" s="12">
        <v>107.96</v>
      </c>
      <c r="I1177" s="12">
        <v>96.09</v>
      </c>
      <c r="J1177" s="9" t="s">
        <v>3</v>
      </c>
      <c r="K1177" s="8">
        <v>0</v>
      </c>
    </row>
    <row r="1178" spans="1:11">
      <c r="A1178" s="2" t="s">
        <v>851</v>
      </c>
      <c r="B1178" s="2" t="s">
        <v>2026</v>
      </c>
      <c r="C1178" s="9">
        <v>10040742</v>
      </c>
      <c r="D1178" s="2" t="s">
        <v>2161</v>
      </c>
      <c r="E1178" s="10">
        <v>12</v>
      </c>
      <c r="F1178" s="9" t="s">
        <v>770</v>
      </c>
      <c r="G1178" s="11">
        <v>46238</v>
      </c>
      <c r="H1178" s="12">
        <v>62.35</v>
      </c>
      <c r="I1178" s="12">
        <v>55.44</v>
      </c>
      <c r="J1178" s="9" t="s">
        <v>3</v>
      </c>
      <c r="K1178" s="8">
        <v>0</v>
      </c>
    </row>
    <row r="1179" spans="1:11">
      <c r="A1179" s="2" t="s">
        <v>851</v>
      </c>
      <c r="B1179" s="2" t="s">
        <v>2026</v>
      </c>
      <c r="C1179" s="9">
        <v>10040748</v>
      </c>
      <c r="D1179" s="2" t="s">
        <v>2162</v>
      </c>
      <c r="E1179" s="10">
        <v>24</v>
      </c>
      <c r="F1179" s="9" t="s">
        <v>2163</v>
      </c>
      <c r="G1179" s="11">
        <v>46238</v>
      </c>
      <c r="H1179" s="12">
        <v>86.03</v>
      </c>
      <c r="I1179" s="12">
        <v>76.39</v>
      </c>
      <c r="J1179" s="9" t="s">
        <v>3</v>
      </c>
      <c r="K1179" s="8">
        <v>0</v>
      </c>
    </row>
    <row r="1180" spans="1:11">
      <c r="A1180" s="2" t="s">
        <v>851</v>
      </c>
      <c r="B1180" s="2" t="s">
        <v>2026</v>
      </c>
      <c r="C1180" s="9">
        <v>10040749</v>
      </c>
      <c r="D1180" s="2" t="s">
        <v>2162</v>
      </c>
      <c r="E1180" s="10">
        <v>12</v>
      </c>
      <c r="F1180" s="9" t="s">
        <v>982</v>
      </c>
      <c r="G1180" s="11">
        <v>46238</v>
      </c>
      <c r="H1180" s="12">
        <v>86.03</v>
      </c>
      <c r="I1180" s="12">
        <v>76.650000000000006</v>
      </c>
      <c r="J1180" s="9" t="s">
        <v>3</v>
      </c>
      <c r="K1180" s="8">
        <v>0</v>
      </c>
    </row>
    <row r="1181" spans="1:11">
      <c r="A1181" s="2" t="s">
        <v>851</v>
      </c>
      <c r="B1181" s="2" t="s">
        <v>2026</v>
      </c>
      <c r="C1181" s="9">
        <v>10040750</v>
      </c>
      <c r="D1181" s="2" t="s">
        <v>2164</v>
      </c>
      <c r="E1181" s="10">
        <v>6</v>
      </c>
      <c r="F1181" s="9" t="s">
        <v>728</v>
      </c>
      <c r="G1181" s="11">
        <v>46238</v>
      </c>
      <c r="H1181" s="12">
        <v>79.73</v>
      </c>
      <c r="I1181" s="12">
        <v>70.95</v>
      </c>
      <c r="J1181" s="9" t="s">
        <v>3</v>
      </c>
      <c r="K1181" s="8">
        <v>0</v>
      </c>
    </row>
    <row r="1182" spans="1:11">
      <c r="A1182" s="2" t="s">
        <v>851</v>
      </c>
      <c r="B1182" s="2" t="s">
        <v>2026</v>
      </c>
      <c r="C1182" s="9">
        <v>10040777</v>
      </c>
      <c r="D1182" s="2" t="s">
        <v>2165</v>
      </c>
      <c r="E1182" s="10">
        <v>6</v>
      </c>
      <c r="F1182" s="9" t="s">
        <v>728</v>
      </c>
      <c r="G1182" s="11">
        <v>46238</v>
      </c>
      <c r="H1182" s="12">
        <v>79.73</v>
      </c>
      <c r="I1182" s="12">
        <v>70.95</v>
      </c>
      <c r="J1182" s="9" t="s">
        <v>3</v>
      </c>
      <c r="K1182" s="8">
        <v>0</v>
      </c>
    </row>
    <row r="1183" spans="1:11">
      <c r="A1183" s="2" t="s">
        <v>851</v>
      </c>
      <c r="B1183" s="2" t="s">
        <v>2026</v>
      </c>
      <c r="C1183" s="9">
        <v>10040778</v>
      </c>
      <c r="D1183" s="2" t="s">
        <v>2165</v>
      </c>
      <c r="E1183" s="10">
        <v>12</v>
      </c>
      <c r="F1183" s="9" t="s">
        <v>982</v>
      </c>
      <c r="G1183" s="11">
        <v>46238</v>
      </c>
      <c r="H1183" s="12">
        <v>86.16</v>
      </c>
      <c r="I1183" s="12">
        <v>76.650000000000006</v>
      </c>
      <c r="J1183" s="9" t="s">
        <v>3</v>
      </c>
      <c r="K1183" s="8">
        <v>0</v>
      </c>
    </row>
    <row r="1184" spans="1:11">
      <c r="A1184" s="2" t="s">
        <v>851</v>
      </c>
      <c r="B1184" s="2" t="s">
        <v>2026</v>
      </c>
      <c r="C1184" s="9">
        <v>10040779</v>
      </c>
      <c r="D1184" s="2" t="s">
        <v>2166</v>
      </c>
      <c r="E1184" s="10">
        <v>15</v>
      </c>
      <c r="F1184" s="9" t="s">
        <v>1675</v>
      </c>
      <c r="G1184" s="11">
        <v>46238</v>
      </c>
      <c r="H1184" s="12">
        <v>41.55</v>
      </c>
      <c r="I1184" s="12">
        <v>37.020000000000003</v>
      </c>
      <c r="J1184" s="9" t="s">
        <v>3</v>
      </c>
      <c r="K1184" s="8">
        <v>0</v>
      </c>
    </row>
    <row r="1185" spans="1:11">
      <c r="A1185" s="2" t="s">
        <v>851</v>
      </c>
      <c r="B1185" s="2" t="s">
        <v>2026</v>
      </c>
      <c r="C1185" s="9">
        <v>10040780</v>
      </c>
      <c r="D1185" s="2" t="s">
        <v>2167</v>
      </c>
      <c r="E1185" s="10">
        <v>12</v>
      </c>
      <c r="F1185" s="9" t="s">
        <v>2168</v>
      </c>
      <c r="G1185" s="11">
        <v>46238</v>
      </c>
      <c r="H1185" s="12">
        <v>105.19</v>
      </c>
      <c r="I1185" s="12">
        <v>93.67</v>
      </c>
      <c r="J1185" s="9" t="s">
        <v>3</v>
      </c>
      <c r="K1185" s="8">
        <v>0</v>
      </c>
    </row>
    <row r="1186" spans="1:11">
      <c r="A1186" s="2" t="s">
        <v>851</v>
      </c>
      <c r="B1186" s="2" t="s">
        <v>2026</v>
      </c>
      <c r="C1186" s="9">
        <v>10040781</v>
      </c>
      <c r="D1186" s="2" t="s">
        <v>2167</v>
      </c>
      <c r="E1186" s="10">
        <v>6</v>
      </c>
      <c r="F1186" s="9" t="s">
        <v>2169</v>
      </c>
      <c r="G1186" s="11">
        <v>46238</v>
      </c>
      <c r="H1186" s="12">
        <v>79.73</v>
      </c>
      <c r="I1186" s="12">
        <v>70.95</v>
      </c>
      <c r="J1186" s="9" t="s">
        <v>3</v>
      </c>
      <c r="K1186" s="8">
        <v>0</v>
      </c>
    </row>
    <row r="1187" spans="1:11">
      <c r="A1187" s="2" t="s">
        <v>851</v>
      </c>
      <c r="B1187" s="2" t="s">
        <v>2026</v>
      </c>
      <c r="C1187" s="9">
        <v>10040783</v>
      </c>
      <c r="D1187" s="2" t="s">
        <v>2170</v>
      </c>
      <c r="E1187" s="10">
        <v>24</v>
      </c>
      <c r="F1187" s="9" t="s">
        <v>985</v>
      </c>
      <c r="G1187" s="11">
        <v>46238</v>
      </c>
      <c r="H1187" s="12">
        <v>134.44</v>
      </c>
      <c r="I1187" s="12">
        <v>134.44</v>
      </c>
      <c r="J1187" s="9" t="s">
        <v>3</v>
      </c>
      <c r="K1187" s="8">
        <v>0</v>
      </c>
    </row>
    <row r="1188" spans="1:11">
      <c r="A1188" s="2" t="s">
        <v>851</v>
      </c>
      <c r="B1188" s="2" t="s">
        <v>2026</v>
      </c>
      <c r="C1188" s="9">
        <v>10040784</v>
      </c>
      <c r="D1188" s="2" t="s">
        <v>2171</v>
      </c>
      <c r="E1188" s="10">
        <v>12</v>
      </c>
      <c r="F1188" s="9" t="s">
        <v>985</v>
      </c>
      <c r="G1188" s="11">
        <v>46238</v>
      </c>
      <c r="H1188" s="12">
        <v>95.96</v>
      </c>
      <c r="I1188" s="12">
        <v>95.96</v>
      </c>
      <c r="J1188" s="9" t="s">
        <v>3</v>
      </c>
      <c r="K1188" s="8">
        <v>0</v>
      </c>
    </row>
    <row r="1189" spans="1:11">
      <c r="A1189" s="2" t="s">
        <v>851</v>
      </c>
      <c r="B1189" s="2" t="s">
        <v>2026</v>
      </c>
      <c r="C1189" s="9">
        <v>10040785</v>
      </c>
      <c r="D1189" s="2" t="s">
        <v>2172</v>
      </c>
      <c r="E1189" s="10">
        <v>10</v>
      </c>
      <c r="F1189" s="9" t="s">
        <v>770</v>
      </c>
      <c r="G1189" s="11">
        <v>46238</v>
      </c>
      <c r="H1189" s="12">
        <v>68.09</v>
      </c>
      <c r="I1189" s="12">
        <v>68.09</v>
      </c>
      <c r="J1189" s="9" t="s">
        <v>3</v>
      </c>
      <c r="K1189" s="8">
        <v>0</v>
      </c>
    </row>
    <row r="1190" spans="1:11">
      <c r="A1190" s="2" t="s">
        <v>851</v>
      </c>
      <c r="B1190" s="2" t="s">
        <v>2026</v>
      </c>
      <c r="C1190" s="9">
        <v>10040786</v>
      </c>
      <c r="D1190" s="2" t="s">
        <v>2173</v>
      </c>
      <c r="E1190" s="10">
        <v>12</v>
      </c>
      <c r="F1190" s="9" t="s">
        <v>985</v>
      </c>
      <c r="G1190" s="11">
        <v>46238</v>
      </c>
      <c r="H1190" s="12">
        <v>95.96</v>
      </c>
      <c r="I1190" s="12">
        <v>95.96</v>
      </c>
      <c r="J1190" s="9" t="s">
        <v>3</v>
      </c>
      <c r="K1190" s="8">
        <v>0</v>
      </c>
    </row>
    <row r="1191" spans="1:11">
      <c r="A1191" s="2" t="s">
        <v>851</v>
      </c>
      <c r="B1191" s="2" t="s">
        <v>2026</v>
      </c>
      <c r="C1191" s="9">
        <v>10040788</v>
      </c>
      <c r="D1191" s="2" t="s">
        <v>2174</v>
      </c>
      <c r="E1191" s="10">
        <v>12</v>
      </c>
      <c r="F1191" s="9" t="s">
        <v>985</v>
      </c>
      <c r="G1191" s="11">
        <v>46238</v>
      </c>
      <c r="H1191" s="12">
        <v>95.96</v>
      </c>
      <c r="I1191" s="12">
        <v>95.96</v>
      </c>
      <c r="J1191" s="9" t="s">
        <v>3</v>
      </c>
      <c r="K1191" s="8">
        <v>0</v>
      </c>
    </row>
    <row r="1192" spans="1:11">
      <c r="A1192" s="2" t="s">
        <v>851</v>
      </c>
      <c r="B1192" s="2" t="s">
        <v>2034</v>
      </c>
      <c r="C1192" s="9">
        <v>10040792</v>
      </c>
      <c r="D1192" s="2" t="s">
        <v>2175</v>
      </c>
      <c r="E1192" s="10">
        <v>18</v>
      </c>
      <c r="F1192" s="9" t="s">
        <v>1392</v>
      </c>
      <c r="G1192" s="11">
        <v>46238</v>
      </c>
      <c r="H1192" s="12">
        <v>53.66</v>
      </c>
      <c r="I1192" s="12">
        <v>47.76</v>
      </c>
      <c r="J1192" s="9" t="s">
        <v>3</v>
      </c>
      <c r="K1192" s="8">
        <v>0</v>
      </c>
    </row>
    <row r="1193" spans="1:11">
      <c r="A1193" s="2" t="s">
        <v>851</v>
      </c>
      <c r="B1193" s="2" t="s">
        <v>2026</v>
      </c>
      <c r="C1193" s="9">
        <v>10040794</v>
      </c>
      <c r="D1193" s="2" t="s">
        <v>2176</v>
      </c>
      <c r="E1193" s="10">
        <v>12</v>
      </c>
      <c r="F1193" s="9" t="s">
        <v>985</v>
      </c>
      <c r="G1193" s="11">
        <v>46238</v>
      </c>
      <c r="H1193" s="12">
        <v>95.96</v>
      </c>
      <c r="I1193" s="12">
        <v>95.96</v>
      </c>
      <c r="J1193" s="9" t="s">
        <v>3</v>
      </c>
      <c r="K1193" s="8">
        <v>0</v>
      </c>
    </row>
    <row r="1194" spans="1:11">
      <c r="A1194" s="2" t="s">
        <v>1550</v>
      </c>
      <c r="B1194" s="2" t="s">
        <v>2009</v>
      </c>
      <c r="C1194" s="9">
        <v>10040811</v>
      </c>
      <c r="D1194" s="2" t="s">
        <v>2177</v>
      </c>
      <c r="E1194" s="10">
        <v>2</v>
      </c>
      <c r="F1194" s="9" t="s">
        <v>2178</v>
      </c>
      <c r="G1194" s="11">
        <v>46238</v>
      </c>
      <c r="H1194" s="12">
        <v>14.63</v>
      </c>
      <c r="I1194" s="12">
        <v>13.46</v>
      </c>
      <c r="J1194" s="9" t="s">
        <v>3</v>
      </c>
      <c r="K1194" s="8">
        <v>1</v>
      </c>
    </row>
    <row r="1195" spans="1:11">
      <c r="A1195" s="2" t="s">
        <v>851</v>
      </c>
      <c r="B1195" s="2" t="s">
        <v>1977</v>
      </c>
      <c r="C1195" s="9">
        <v>10040812</v>
      </c>
      <c r="D1195" s="2" t="s">
        <v>1978</v>
      </c>
      <c r="E1195" s="10">
        <v>10</v>
      </c>
      <c r="F1195" s="9" t="s">
        <v>770</v>
      </c>
      <c r="G1195" s="11">
        <v>46238</v>
      </c>
      <c r="H1195" s="12">
        <v>51.09</v>
      </c>
      <c r="I1195" s="12">
        <v>45.47</v>
      </c>
      <c r="J1195" s="9" t="s">
        <v>3</v>
      </c>
      <c r="K1195" s="8">
        <v>0</v>
      </c>
    </row>
    <row r="1196" spans="1:11">
      <c r="A1196" s="2" t="s">
        <v>851</v>
      </c>
      <c r="B1196" s="2" t="s">
        <v>2026</v>
      </c>
      <c r="C1196" s="9">
        <v>10040830</v>
      </c>
      <c r="D1196" s="2" t="s">
        <v>2179</v>
      </c>
      <c r="E1196" s="10">
        <v>6</v>
      </c>
      <c r="F1196" s="9" t="s">
        <v>2180</v>
      </c>
      <c r="G1196" s="11">
        <v>46238</v>
      </c>
      <c r="H1196" s="12">
        <v>23.3</v>
      </c>
      <c r="I1196" s="12">
        <v>20.74</v>
      </c>
      <c r="J1196" s="9" t="s">
        <v>3</v>
      </c>
      <c r="K1196" s="8">
        <v>0</v>
      </c>
    </row>
    <row r="1197" spans="1:11">
      <c r="A1197" s="2" t="s">
        <v>851</v>
      </c>
      <c r="B1197" s="2" t="s">
        <v>2026</v>
      </c>
      <c r="C1197" s="9">
        <v>10040831</v>
      </c>
      <c r="D1197" s="2" t="s">
        <v>2181</v>
      </c>
      <c r="E1197" s="10">
        <v>6</v>
      </c>
      <c r="F1197" s="9" t="s">
        <v>2180</v>
      </c>
      <c r="G1197" s="11">
        <v>46238</v>
      </c>
      <c r="H1197" s="12">
        <v>23.3</v>
      </c>
      <c r="I1197" s="12">
        <v>20.74</v>
      </c>
      <c r="J1197" s="9" t="s">
        <v>3</v>
      </c>
      <c r="K1197" s="8">
        <v>0</v>
      </c>
    </row>
    <row r="1198" spans="1:11">
      <c r="A1198" s="2" t="s">
        <v>851</v>
      </c>
      <c r="B1198" s="2" t="s">
        <v>2026</v>
      </c>
      <c r="C1198" s="9">
        <v>10040832</v>
      </c>
      <c r="D1198" s="2" t="s">
        <v>2182</v>
      </c>
      <c r="E1198" s="10">
        <v>6</v>
      </c>
      <c r="F1198" s="9" t="s">
        <v>2180</v>
      </c>
      <c r="G1198" s="11">
        <v>46238</v>
      </c>
      <c r="H1198" s="12">
        <v>23.3</v>
      </c>
      <c r="I1198" s="12">
        <v>20.74</v>
      </c>
      <c r="J1198" s="9" t="s">
        <v>3</v>
      </c>
      <c r="K1198" s="8">
        <v>0</v>
      </c>
    </row>
    <row r="1199" spans="1:11">
      <c r="A1199" s="2" t="s">
        <v>851</v>
      </c>
      <c r="B1199" s="2" t="s">
        <v>2026</v>
      </c>
      <c r="C1199" s="9">
        <v>10040834</v>
      </c>
      <c r="D1199" s="2" t="s">
        <v>2183</v>
      </c>
      <c r="E1199" s="10">
        <v>24</v>
      </c>
      <c r="F1199" s="9" t="s">
        <v>982</v>
      </c>
      <c r="G1199" s="11">
        <v>46238</v>
      </c>
      <c r="H1199" s="12">
        <v>47.92</v>
      </c>
      <c r="I1199" s="12">
        <v>42.65</v>
      </c>
      <c r="J1199" s="9" t="s">
        <v>3</v>
      </c>
      <c r="K1199" s="8">
        <v>0</v>
      </c>
    </row>
    <row r="1200" spans="1:11">
      <c r="A1200" s="2" t="s">
        <v>851</v>
      </c>
      <c r="B1200" s="2" t="s">
        <v>2026</v>
      </c>
      <c r="C1200" s="9">
        <v>10040838</v>
      </c>
      <c r="D1200" s="2" t="s">
        <v>2184</v>
      </c>
      <c r="E1200" s="10">
        <v>12</v>
      </c>
      <c r="F1200" s="9" t="s">
        <v>982</v>
      </c>
      <c r="G1200" s="11">
        <v>46238</v>
      </c>
      <c r="H1200" s="12">
        <v>106.4</v>
      </c>
      <c r="I1200" s="12">
        <v>94.61</v>
      </c>
      <c r="J1200" s="9" t="s">
        <v>3</v>
      </c>
      <c r="K1200" s="8">
        <v>0</v>
      </c>
    </row>
    <row r="1201" spans="1:11">
      <c r="A1201" s="2" t="s">
        <v>851</v>
      </c>
      <c r="B1201" s="2" t="s">
        <v>2026</v>
      </c>
      <c r="C1201" s="9">
        <v>10040839</v>
      </c>
      <c r="D1201" s="2" t="s">
        <v>2185</v>
      </c>
      <c r="E1201" s="10">
        <v>6</v>
      </c>
      <c r="F1201" s="9" t="s">
        <v>728</v>
      </c>
      <c r="G1201" s="11">
        <v>46238</v>
      </c>
      <c r="H1201" s="12">
        <v>95.35</v>
      </c>
      <c r="I1201" s="12">
        <v>84.89</v>
      </c>
      <c r="J1201" s="9" t="s">
        <v>3</v>
      </c>
      <c r="K1201" s="8">
        <v>0</v>
      </c>
    </row>
    <row r="1202" spans="1:11">
      <c r="A1202" s="2" t="s">
        <v>851</v>
      </c>
      <c r="B1202" s="2" t="s">
        <v>2026</v>
      </c>
      <c r="C1202" s="9">
        <v>10040868</v>
      </c>
      <c r="D1202" s="2" t="s">
        <v>2186</v>
      </c>
      <c r="E1202" s="10">
        <v>12</v>
      </c>
      <c r="F1202" s="9" t="s">
        <v>866</v>
      </c>
      <c r="G1202" s="11">
        <v>46238</v>
      </c>
      <c r="H1202" s="12">
        <v>39.909999999999997</v>
      </c>
      <c r="I1202" s="12">
        <v>35.520000000000003</v>
      </c>
      <c r="J1202" s="9" t="s">
        <v>3</v>
      </c>
      <c r="K1202" s="8">
        <v>0</v>
      </c>
    </row>
    <row r="1203" spans="1:11">
      <c r="A1203" s="2" t="s">
        <v>851</v>
      </c>
      <c r="B1203" s="2" t="s">
        <v>2026</v>
      </c>
      <c r="C1203" s="9">
        <v>10040869</v>
      </c>
      <c r="D1203" s="2" t="s">
        <v>2187</v>
      </c>
      <c r="E1203" s="10">
        <v>12</v>
      </c>
      <c r="F1203" s="9" t="s">
        <v>866</v>
      </c>
      <c r="G1203" s="11">
        <v>46238</v>
      </c>
      <c r="H1203" s="12">
        <v>39.909999999999997</v>
      </c>
      <c r="I1203" s="12">
        <v>35.520000000000003</v>
      </c>
      <c r="J1203" s="9" t="s">
        <v>3</v>
      </c>
      <c r="K1203" s="8">
        <v>0</v>
      </c>
    </row>
    <row r="1204" spans="1:11">
      <c r="A1204" s="2" t="s">
        <v>851</v>
      </c>
      <c r="B1204" s="2" t="s">
        <v>1977</v>
      </c>
      <c r="C1204" s="9">
        <v>10040872</v>
      </c>
      <c r="D1204" s="2" t="s">
        <v>2188</v>
      </c>
      <c r="E1204" s="10">
        <v>12</v>
      </c>
      <c r="F1204" s="9" t="s">
        <v>982</v>
      </c>
      <c r="G1204" s="11">
        <v>46238</v>
      </c>
      <c r="H1204" s="12">
        <v>54.04</v>
      </c>
      <c r="I1204" s="12">
        <v>48.1</v>
      </c>
      <c r="J1204" s="9" t="s">
        <v>3</v>
      </c>
      <c r="K1204" s="8">
        <v>0</v>
      </c>
    </row>
    <row r="1205" spans="1:11">
      <c r="A1205" s="2" t="s">
        <v>851</v>
      </c>
      <c r="B1205" s="2" t="s">
        <v>2026</v>
      </c>
      <c r="C1205" s="9">
        <v>10040875</v>
      </c>
      <c r="D1205" s="2" t="s">
        <v>2189</v>
      </c>
      <c r="E1205" s="10">
        <v>6</v>
      </c>
      <c r="F1205" s="9" t="s">
        <v>2180</v>
      </c>
      <c r="G1205" s="11">
        <v>46238</v>
      </c>
      <c r="H1205" s="12">
        <v>23.3</v>
      </c>
      <c r="I1205" s="12">
        <v>20.74</v>
      </c>
      <c r="J1205" s="9" t="s">
        <v>3</v>
      </c>
      <c r="K1205" s="8">
        <v>0</v>
      </c>
    </row>
    <row r="1206" spans="1:11">
      <c r="A1206" s="2" t="s">
        <v>851</v>
      </c>
      <c r="B1206" s="2" t="s">
        <v>2026</v>
      </c>
      <c r="C1206" s="9">
        <v>10040880</v>
      </c>
      <c r="D1206" s="2" t="s">
        <v>2190</v>
      </c>
      <c r="E1206" s="10">
        <v>12</v>
      </c>
      <c r="F1206" s="9" t="s">
        <v>991</v>
      </c>
      <c r="G1206" s="11">
        <v>46238</v>
      </c>
      <c r="H1206" s="12">
        <v>73.92</v>
      </c>
      <c r="I1206" s="12">
        <v>65.790000000000006</v>
      </c>
      <c r="J1206" s="9" t="s">
        <v>3</v>
      </c>
      <c r="K1206" s="8">
        <v>0</v>
      </c>
    </row>
    <row r="1207" spans="1:11">
      <c r="A1207" s="2" t="s">
        <v>851</v>
      </c>
      <c r="B1207" s="2" t="s">
        <v>2026</v>
      </c>
      <c r="C1207" s="9">
        <v>10040881</v>
      </c>
      <c r="D1207" s="2" t="s">
        <v>2191</v>
      </c>
      <c r="E1207" s="10">
        <v>12</v>
      </c>
      <c r="F1207" s="9" t="s">
        <v>991</v>
      </c>
      <c r="G1207" s="11">
        <v>46238</v>
      </c>
      <c r="H1207" s="12">
        <v>85.37</v>
      </c>
      <c r="I1207" s="12">
        <v>75.98</v>
      </c>
      <c r="J1207" s="9" t="s">
        <v>3</v>
      </c>
      <c r="K1207" s="8">
        <v>0</v>
      </c>
    </row>
    <row r="1208" spans="1:11">
      <c r="A1208" s="2" t="s">
        <v>1550</v>
      </c>
      <c r="B1208" s="2" t="s">
        <v>2009</v>
      </c>
      <c r="C1208" s="9">
        <v>10040882</v>
      </c>
      <c r="D1208" s="2" t="s">
        <v>2192</v>
      </c>
      <c r="E1208" s="10">
        <v>1</v>
      </c>
      <c r="F1208" s="9" t="s">
        <v>2193</v>
      </c>
      <c r="G1208" s="11">
        <v>46238</v>
      </c>
      <c r="H1208" s="12">
        <v>39.75</v>
      </c>
      <c r="I1208" s="12">
        <v>36.57</v>
      </c>
      <c r="J1208" s="9" t="s">
        <v>3</v>
      </c>
      <c r="K1208" s="8">
        <v>1</v>
      </c>
    </row>
    <row r="1209" spans="1:11">
      <c r="A1209" s="2" t="s">
        <v>1662</v>
      </c>
      <c r="B1209" s="2" t="s">
        <v>2110</v>
      </c>
      <c r="C1209" s="9">
        <v>10040889</v>
      </c>
      <c r="D1209" s="2" t="s">
        <v>2194</v>
      </c>
      <c r="E1209" s="10">
        <v>8</v>
      </c>
      <c r="F1209" s="9" t="s">
        <v>2138</v>
      </c>
      <c r="G1209" s="11">
        <v>46238</v>
      </c>
      <c r="H1209" s="12">
        <v>104.78</v>
      </c>
      <c r="I1209" s="12">
        <v>93.22</v>
      </c>
      <c r="J1209" s="9" t="s">
        <v>3</v>
      </c>
      <c r="K1209" s="8">
        <v>0</v>
      </c>
    </row>
    <row r="1210" spans="1:11">
      <c r="A1210" s="2" t="s">
        <v>1662</v>
      </c>
      <c r="B1210" s="2" t="s">
        <v>2110</v>
      </c>
      <c r="C1210" s="9">
        <v>10040891</v>
      </c>
      <c r="D1210" s="2" t="s">
        <v>2195</v>
      </c>
      <c r="E1210" s="10">
        <v>12</v>
      </c>
      <c r="F1210" s="9" t="s">
        <v>1114</v>
      </c>
      <c r="G1210" s="11">
        <v>46238</v>
      </c>
      <c r="H1210" s="12">
        <v>135.1</v>
      </c>
      <c r="I1210" s="12">
        <v>120.25</v>
      </c>
      <c r="J1210" s="9" t="s">
        <v>3</v>
      </c>
      <c r="K1210" s="8">
        <v>0</v>
      </c>
    </row>
    <row r="1211" spans="1:11">
      <c r="A1211" s="2" t="s">
        <v>687</v>
      </c>
      <c r="B1211" s="2" t="s">
        <v>2196</v>
      </c>
      <c r="C1211" s="9">
        <v>10040900</v>
      </c>
      <c r="D1211" s="2" t="s">
        <v>2197</v>
      </c>
      <c r="E1211" s="10">
        <v>6</v>
      </c>
      <c r="F1211" s="9" t="s">
        <v>2198</v>
      </c>
      <c r="G1211" s="11">
        <v>46238</v>
      </c>
      <c r="H1211" s="12">
        <v>50.58</v>
      </c>
      <c r="I1211" s="12">
        <v>45</v>
      </c>
      <c r="J1211" s="9" t="s">
        <v>3</v>
      </c>
      <c r="K1211" s="8">
        <v>0</v>
      </c>
    </row>
    <row r="1212" spans="1:11">
      <c r="A1212" s="2" t="s">
        <v>925</v>
      </c>
      <c r="B1212" s="2" t="s">
        <v>2199</v>
      </c>
      <c r="C1212" s="9">
        <v>10041270</v>
      </c>
      <c r="D1212" s="2" t="s">
        <v>2200</v>
      </c>
      <c r="E1212" s="10">
        <v>7</v>
      </c>
      <c r="F1212" s="9" t="s">
        <v>2201</v>
      </c>
      <c r="G1212" s="11">
        <v>46238</v>
      </c>
      <c r="H1212" s="12">
        <v>48.58</v>
      </c>
      <c r="I1212" s="12">
        <v>43.26</v>
      </c>
      <c r="J1212" s="9" t="s">
        <v>3</v>
      </c>
      <c r="K1212" s="8">
        <v>0</v>
      </c>
    </row>
    <row r="1213" spans="1:11">
      <c r="A1213" s="2" t="s">
        <v>925</v>
      </c>
      <c r="B1213" s="2" t="s">
        <v>2199</v>
      </c>
      <c r="C1213" s="9">
        <v>10041271</v>
      </c>
      <c r="D1213" s="2" t="s">
        <v>2202</v>
      </c>
      <c r="E1213" s="10">
        <v>7</v>
      </c>
      <c r="F1213" s="9" t="s">
        <v>2203</v>
      </c>
      <c r="G1213" s="11">
        <v>46238</v>
      </c>
      <c r="H1213" s="12">
        <v>48.58</v>
      </c>
      <c r="I1213" s="12">
        <v>43.26</v>
      </c>
      <c r="J1213" s="9" t="s">
        <v>3</v>
      </c>
      <c r="K1213" s="8">
        <v>0</v>
      </c>
    </row>
    <row r="1214" spans="1:11">
      <c r="A1214" s="2" t="s">
        <v>925</v>
      </c>
      <c r="B1214" s="2" t="s">
        <v>2199</v>
      </c>
      <c r="C1214" s="9">
        <v>10041272</v>
      </c>
      <c r="D1214" s="2" t="s">
        <v>2204</v>
      </c>
      <c r="E1214" s="10">
        <v>7</v>
      </c>
      <c r="F1214" s="9" t="s">
        <v>2205</v>
      </c>
      <c r="G1214" s="11">
        <v>46238</v>
      </c>
      <c r="H1214" s="12">
        <v>48.58</v>
      </c>
      <c r="I1214" s="12">
        <v>43.26</v>
      </c>
      <c r="J1214" s="9" t="s">
        <v>3</v>
      </c>
      <c r="K1214" s="8">
        <v>0</v>
      </c>
    </row>
    <row r="1215" spans="1:11">
      <c r="A1215" s="2" t="s">
        <v>925</v>
      </c>
      <c r="B1215" s="2" t="s">
        <v>2199</v>
      </c>
      <c r="C1215" s="9">
        <v>10041273</v>
      </c>
      <c r="D1215" s="2" t="s">
        <v>2206</v>
      </c>
      <c r="E1215" s="10">
        <v>7</v>
      </c>
      <c r="F1215" s="9" t="s">
        <v>2207</v>
      </c>
      <c r="G1215" s="11">
        <v>46238</v>
      </c>
      <c r="H1215" s="12">
        <v>48.58</v>
      </c>
      <c r="I1215" s="12">
        <v>43.26</v>
      </c>
      <c r="J1215" s="9" t="s">
        <v>3</v>
      </c>
      <c r="K1215" s="8">
        <v>0</v>
      </c>
    </row>
    <row r="1216" spans="1:11">
      <c r="A1216" s="2" t="s">
        <v>925</v>
      </c>
      <c r="B1216" s="2" t="s">
        <v>2199</v>
      </c>
      <c r="C1216" s="9">
        <v>10041274</v>
      </c>
      <c r="D1216" s="2" t="s">
        <v>2208</v>
      </c>
      <c r="E1216" s="10">
        <v>7</v>
      </c>
      <c r="F1216" s="9" t="s">
        <v>2209</v>
      </c>
      <c r="G1216" s="11">
        <v>46238</v>
      </c>
      <c r="H1216" s="12">
        <v>48.58</v>
      </c>
      <c r="I1216" s="12">
        <v>43.26</v>
      </c>
      <c r="J1216" s="9" t="s">
        <v>3</v>
      </c>
      <c r="K1216" s="8">
        <v>0</v>
      </c>
    </row>
    <row r="1217" spans="1:11">
      <c r="A1217" s="2" t="s">
        <v>925</v>
      </c>
      <c r="B1217" s="2" t="s">
        <v>2199</v>
      </c>
      <c r="C1217" s="9">
        <v>10041278</v>
      </c>
      <c r="D1217" s="2" t="s">
        <v>2210</v>
      </c>
      <c r="E1217" s="10">
        <v>48</v>
      </c>
      <c r="F1217" s="9" t="s">
        <v>2211</v>
      </c>
      <c r="G1217" s="11">
        <v>46238</v>
      </c>
      <c r="H1217" s="12">
        <v>333.12</v>
      </c>
      <c r="I1217" s="12">
        <v>296.64</v>
      </c>
      <c r="J1217" s="9" t="s">
        <v>3</v>
      </c>
      <c r="K1217" s="8">
        <v>0</v>
      </c>
    </row>
    <row r="1218" spans="1:11">
      <c r="A1218" s="2" t="s">
        <v>925</v>
      </c>
      <c r="B1218" s="2" t="s">
        <v>2199</v>
      </c>
      <c r="C1218" s="9">
        <v>10041279</v>
      </c>
      <c r="D1218" s="2" t="s">
        <v>2212</v>
      </c>
      <c r="E1218" s="10">
        <v>8</v>
      </c>
      <c r="F1218" s="9" t="s">
        <v>2213</v>
      </c>
      <c r="G1218" s="11">
        <v>46238</v>
      </c>
      <c r="H1218" s="12">
        <v>164.08</v>
      </c>
      <c r="I1218" s="12">
        <v>146</v>
      </c>
      <c r="J1218" s="9" t="s">
        <v>3</v>
      </c>
      <c r="K1218" s="8">
        <v>0</v>
      </c>
    </row>
    <row r="1219" spans="1:11">
      <c r="A1219" s="2" t="s">
        <v>949</v>
      </c>
      <c r="B1219" s="2" t="s">
        <v>2214</v>
      </c>
      <c r="C1219" s="9">
        <v>10041400</v>
      </c>
      <c r="D1219" s="2" t="s">
        <v>2215</v>
      </c>
      <c r="E1219" s="10">
        <v>12</v>
      </c>
      <c r="F1219" s="9" t="s">
        <v>2216</v>
      </c>
      <c r="G1219" s="11">
        <v>46238</v>
      </c>
      <c r="H1219" s="12">
        <v>43.93</v>
      </c>
      <c r="I1219" s="12">
        <v>39.1</v>
      </c>
      <c r="J1219" s="9" t="s">
        <v>3</v>
      </c>
      <c r="K1219" s="8">
        <v>0</v>
      </c>
    </row>
    <row r="1220" spans="1:11">
      <c r="A1220" s="2" t="s">
        <v>949</v>
      </c>
      <c r="B1220" s="2" t="s">
        <v>2214</v>
      </c>
      <c r="C1220" s="9">
        <v>10041401</v>
      </c>
      <c r="D1220" s="2" t="s">
        <v>2217</v>
      </c>
      <c r="E1220" s="10">
        <v>12</v>
      </c>
      <c r="F1220" s="9" t="s">
        <v>2216</v>
      </c>
      <c r="G1220" s="11">
        <v>46238</v>
      </c>
      <c r="H1220" s="12">
        <v>43.93</v>
      </c>
      <c r="I1220" s="12">
        <v>39.1</v>
      </c>
      <c r="J1220" s="9" t="s">
        <v>3</v>
      </c>
      <c r="K1220" s="8">
        <v>0</v>
      </c>
    </row>
    <row r="1221" spans="1:11">
      <c r="A1221" s="2" t="s">
        <v>949</v>
      </c>
      <c r="B1221" s="2" t="s">
        <v>2214</v>
      </c>
      <c r="C1221" s="9">
        <v>10041402</v>
      </c>
      <c r="D1221" s="2" t="s">
        <v>2218</v>
      </c>
      <c r="E1221" s="10">
        <v>12</v>
      </c>
      <c r="F1221" s="9" t="s">
        <v>2216</v>
      </c>
      <c r="G1221" s="11">
        <v>46238</v>
      </c>
      <c r="H1221" s="12">
        <v>43.93</v>
      </c>
      <c r="I1221" s="12">
        <v>39.1</v>
      </c>
      <c r="J1221" s="9" t="s">
        <v>3</v>
      </c>
      <c r="K1221" s="8">
        <v>0</v>
      </c>
    </row>
    <row r="1222" spans="1:11">
      <c r="A1222" s="2" t="s">
        <v>949</v>
      </c>
      <c r="B1222" s="2" t="s">
        <v>2214</v>
      </c>
      <c r="C1222" s="9">
        <v>10041403</v>
      </c>
      <c r="D1222" s="2" t="s">
        <v>2219</v>
      </c>
      <c r="E1222" s="10">
        <v>12</v>
      </c>
      <c r="F1222" s="9" t="s">
        <v>2216</v>
      </c>
      <c r="G1222" s="11">
        <v>46238</v>
      </c>
      <c r="H1222" s="12">
        <v>43.93</v>
      </c>
      <c r="I1222" s="12">
        <v>39.1</v>
      </c>
      <c r="J1222" s="9" t="s">
        <v>3</v>
      </c>
      <c r="K1222" s="8">
        <v>0</v>
      </c>
    </row>
    <row r="1223" spans="1:11">
      <c r="A1223" s="2" t="s">
        <v>949</v>
      </c>
      <c r="B1223" s="2" t="s">
        <v>2214</v>
      </c>
      <c r="C1223" s="9">
        <v>10041404</v>
      </c>
      <c r="D1223" s="2" t="s">
        <v>2220</v>
      </c>
      <c r="E1223" s="10">
        <v>12</v>
      </c>
      <c r="F1223" s="9" t="s">
        <v>2216</v>
      </c>
      <c r="G1223" s="11">
        <v>46238</v>
      </c>
      <c r="H1223" s="12">
        <v>48.89</v>
      </c>
      <c r="I1223" s="12">
        <v>43.51</v>
      </c>
      <c r="J1223" s="9" t="s">
        <v>3</v>
      </c>
      <c r="K1223" s="8">
        <v>0</v>
      </c>
    </row>
    <row r="1224" spans="1:11">
      <c r="A1224" s="2" t="s">
        <v>949</v>
      </c>
      <c r="B1224" s="2" t="s">
        <v>2214</v>
      </c>
      <c r="C1224" s="9">
        <v>10041405</v>
      </c>
      <c r="D1224" s="2" t="s">
        <v>2221</v>
      </c>
      <c r="E1224" s="10">
        <v>12</v>
      </c>
      <c r="F1224" s="9" t="s">
        <v>2222</v>
      </c>
      <c r="G1224" s="11">
        <v>46238</v>
      </c>
      <c r="H1224" s="12">
        <v>34.72</v>
      </c>
      <c r="I1224" s="12">
        <v>30.9</v>
      </c>
      <c r="J1224" s="9" t="s">
        <v>3</v>
      </c>
      <c r="K1224" s="8">
        <v>0</v>
      </c>
    </row>
    <row r="1225" spans="1:11">
      <c r="A1225" s="2" t="s">
        <v>949</v>
      </c>
      <c r="B1225" s="2" t="s">
        <v>2214</v>
      </c>
      <c r="C1225" s="9">
        <v>10041406</v>
      </c>
      <c r="D1225" s="2" t="s">
        <v>2223</v>
      </c>
      <c r="E1225" s="10">
        <v>12</v>
      </c>
      <c r="F1225" s="9" t="s">
        <v>2222</v>
      </c>
      <c r="G1225" s="11">
        <v>46238</v>
      </c>
      <c r="H1225" s="12">
        <v>34.72</v>
      </c>
      <c r="I1225" s="12">
        <v>30.9</v>
      </c>
      <c r="J1225" s="9" t="s">
        <v>3</v>
      </c>
      <c r="K1225" s="8">
        <v>0</v>
      </c>
    </row>
    <row r="1226" spans="1:11">
      <c r="A1226" s="2" t="s">
        <v>925</v>
      </c>
      <c r="B1226" s="2" t="s">
        <v>2224</v>
      </c>
      <c r="C1226" s="9">
        <v>10042150</v>
      </c>
      <c r="D1226" s="2" t="s">
        <v>2225</v>
      </c>
      <c r="E1226" s="10">
        <v>12</v>
      </c>
      <c r="F1226" s="9" t="s">
        <v>1323</v>
      </c>
      <c r="G1226" s="11">
        <v>46238</v>
      </c>
      <c r="H1226" s="12">
        <v>82.35</v>
      </c>
      <c r="I1226" s="12">
        <v>73.290000000000006</v>
      </c>
      <c r="J1226" s="9" t="s">
        <v>3</v>
      </c>
      <c r="K1226" s="8">
        <v>0</v>
      </c>
    </row>
    <row r="1227" spans="1:11">
      <c r="A1227" s="2" t="s">
        <v>925</v>
      </c>
      <c r="B1227" s="2" t="s">
        <v>2224</v>
      </c>
      <c r="C1227" s="9">
        <v>10042153</v>
      </c>
      <c r="D1227" s="2" t="s">
        <v>2226</v>
      </c>
      <c r="E1227" s="10">
        <v>12</v>
      </c>
      <c r="F1227" s="9" t="s">
        <v>1323</v>
      </c>
      <c r="G1227" s="11">
        <v>46238</v>
      </c>
      <c r="H1227" s="12">
        <v>82.35</v>
      </c>
      <c r="I1227" s="12">
        <v>73.290000000000006</v>
      </c>
      <c r="J1227" s="9" t="s">
        <v>3</v>
      </c>
      <c r="K1227" s="8">
        <v>0</v>
      </c>
    </row>
    <row r="1228" spans="1:11">
      <c r="A1228" s="2" t="s">
        <v>925</v>
      </c>
      <c r="B1228" s="2" t="s">
        <v>2224</v>
      </c>
      <c r="C1228" s="9">
        <v>10042154</v>
      </c>
      <c r="D1228" s="2" t="s">
        <v>2227</v>
      </c>
      <c r="E1228" s="10">
        <v>12</v>
      </c>
      <c r="F1228" s="9" t="s">
        <v>1323</v>
      </c>
      <c r="G1228" s="11">
        <v>46238</v>
      </c>
      <c r="H1228" s="12">
        <v>82.35</v>
      </c>
      <c r="I1228" s="12">
        <v>73.290000000000006</v>
      </c>
      <c r="J1228" s="9" t="s">
        <v>3</v>
      </c>
      <c r="K1228" s="8">
        <v>0</v>
      </c>
    </row>
    <row r="1229" spans="1:11">
      <c r="A1229" s="2" t="s">
        <v>925</v>
      </c>
      <c r="B1229" s="2" t="s">
        <v>2224</v>
      </c>
      <c r="C1229" s="9">
        <v>10042156</v>
      </c>
      <c r="D1229" s="2" t="s">
        <v>2228</v>
      </c>
      <c r="E1229" s="10">
        <v>12</v>
      </c>
      <c r="F1229" s="9" t="s">
        <v>1323</v>
      </c>
      <c r="G1229" s="11">
        <v>46238</v>
      </c>
      <c r="H1229" s="12">
        <v>82.35</v>
      </c>
      <c r="I1229" s="12">
        <v>73.290000000000006</v>
      </c>
      <c r="J1229" s="9" t="s">
        <v>3</v>
      </c>
      <c r="K1229" s="8">
        <v>0</v>
      </c>
    </row>
    <row r="1230" spans="1:11">
      <c r="A1230" s="2" t="s">
        <v>925</v>
      </c>
      <c r="B1230" s="2" t="s">
        <v>2224</v>
      </c>
      <c r="C1230" s="9">
        <v>10042157</v>
      </c>
      <c r="D1230" s="2" t="s">
        <v>2229</v>
      </c>
      <c r="E1230" s="10">
        <v>12</v>
      </c>
      <c r="F1230" s="9" t="s">
        <v>1323</v>
      </c>
      <c r="G1230" s="11">
        <v>46238</v>
      </c>
      <c r="H1230" s="12">
        <v>82.35</v>
      </c>
      <c r="I1230" s="12">
        <v>73.290000000000006</v>
      </c>
      <c r="J1230" s="9" t="s">
        <v>3</v>
      </c>
      <c r="K1230" s="8">
        <v>0</v>
      </c>
    </row>
    <row r="1231" spans="1:11">
      <c r="A1231" s="2" t="s">
        <v>925</v>
      </c>
      <c r="B1231" s="2" t="s">
        <v>2224</v>
      </c>
      <c r="C1231" s="9">
        <v>10042160</v>
      </c>
      <c r="D1231" s="2" t="s">
        <v>2230</v>
      </c>
      <c r="E1231" s="10">
        <v>12</v>
      </c>
      <c r="F1231" s="9" t="s">
        <v>1323</v>
      </c>
      <c r="G1231" s="11">
        <v>46238</v>
      </c>
      <c r="H1231" s="12">
        <v>82.35</v>
      </c>
      <c r="I1231" s="12">
        <v>73.290000000000006</v>
      </c>
      <c r="J1231" s="9" t="s">
        <v>3</v>
      </c>
      <c r="K1231" s="8">
        <v>0</v>
      </c>
    </row>
    <row r="1232" spans="1:11">
      <c r="A1232" s="2" t="s">
        <v>925</v>
      </c>
      <c r="B1232" s="2" t="s">
        <v>2231</v>
      </c>
      <c r="C1232" s="9">
        <v>10043073</v>
      </c>
      <c r="D1232" s="2" t="s">
        <v>2232</v>
      </c>
      <c r="E1232" s="10">
        <v>10</v>
      </c>
      <c r="F1232" s="9" t="s">
        <v>2233</v>
      </c>
      <c r="G1232" s="11">
        <v>46238</v>
      </c>
      <c r="H1232" s="12">
        <v>51.72</v>
      </c>
      <c r="I1232" s="12">
        <v>46.03</v>
      </c>
      <c r="J1232" s="9" t="s">
        <v>3</v>
      </c>
      <c r="K1232" s="8">
        <v>0</v>
      </c>
    </row>
    <row r="1233" spans="1:11">
      <c r="A1233" s="2" t="s">
        <v>925</v>
      </c>
      <c r="B1233" s="2" t="s">
        <v>2231</v>
      </c>
      <c r="C1233" s="9">
        <v>10043074</v>
      </c>
      <c r="D1233" s="2" t="s">
        <v>2234</v>
      </c>
      <c r="E1233" s="10">
        <v>10</v>
      </c>
      <c r="F1233" s="9" t="s">
        <v>2233</v>
      </c>
      <c r="G1233" s="11">
        <v>46238</v>
      </c>
      <c r="H1233" s="12">
        <v>51.72</v>
      </c>
      <c r="I1233" s="12">
        <v>46.03</v>
      </c>
      <c r="J1233" s="9" t="s">
        <v>3</v>
      </c>
      <c r="K1233" s="8">
        <v>0</v>
      </c>
    </row>
    <row r="1234" spans="1:11">
      <c r="A1234" s="2" t="s">
        <v>925</v>
      </c>
      <c r="B1234" s="2" t="s">
        <v>2231</v>
      </c>
      <c r="C1234" s="9">
        <v>10043075</v>
      </c>
      <c r="D1234" s="2" t="s">
        <v>2235</v>
      </c>
      <c r="E1234" s="10">
        <v>10</v>
      </c>
      <c r="F1234" s="9" t="s">
        <v>2233</v>
      </c>
      <c r="G1234" s="11">
        <v>46238</v>
      </c>
      <c r="H1234" s="12">
        <v>51.72</v>
      </c>
      <c r="I1234" s="12">
        <v>46.03</v>
      </c>
      <c r="J1234" s="9" t="s">
        <v>3</v>
      </c>
      <c r="K1234" s="8">
        <v>0</v>
      </c>
    </row>
    <row r="1235" spans="1:11">
      <c r="A1235" s="2" t="s">
        <v>925</v>
      </c>
      <c r="B1235" s="2" t="s">
        <v>2231</v>
      </c>
      <c r="C1235" s="9">
        <v>10043076</v>
      </c>
      <c r="D1235" s="2" t="s">
        <v>2236</v>
      </c>
      <c r="E1235" s="10">
        <v>10</v>
      </c>
      <c r="F1235" s="9" t="s">
        <v>2233</v>
      </c>
      <c r="G1235" s="11">
        <v>46238</v>
      </c>
      <c r="H1235" s="12">
        <v>51.72</v>
      </c>
      <c r="I1235" s="12">
        <v>46.03</v>
      </c>
      <c r="J1235" s="9" t="s">
        <v>3</v>
      </c>
      <c r="K1235" s="8">
        <v>0</v>
      </c>
    </row>
    <row r="1236" spans="1:11">
      <c r="A1236" s="2" t="s">
        <v>925</v>
      </c>
      <c r="B1236" s="2" t="s">
        <v>2231</v>
      </c>
      <c r="C1236" s="9">
        <v>10043078</v>
      </c>
      <c r="D1236" s="2" t="s">
        <v>2237</v>
      </c>
      <c r="E1236" s="10">
        <v>10</v>
      </c>
      <c r="F1236" s="9" t="s">
        <v>2233</v>
      </c>
      <c r="G1236" s="11">
        <v>46238</v>
      </c>
      <c r="H1236" s="12">
        <v>49.2</v>
      </c>
      <c r="I1236" s="12">
        <v>43.8</v>
      </c>
      <c r="J1236" s="9" t="s">
        <v>3</v>
      </c>
      <c r="K1236" s="8">
        <v>0</v>
      </c>
    </row>
    <row r="1237" spans="1:11">
      <c r="A1237" s="2" t="s">
        <v>746</v>
      </c>
      <c r="B1237" s="2" t="s">
        <v>2238</v>
      </c>
      <c r="C1237" s="9">
        <v>10043390</v>
      </c>
      <c r="D1237" s="2" t="s">
        <v>2239</v>
      </c>
      <c r="E1237" s="10">
        <v>6</v>
      </c>
      <c r="F1237" s="9" t="s">
        <v>1367</v>
      </c>
      <c r="G1237" s="11">
        <v>46238</v>
      </c>
      <c r="H1237" s="12">
        <v>54.04</v>
      </c>
      <c r="I1237" s="12">
        <v>48.1</v>
      </c>
      <c r="J1237" s="9" t="s">
        <v>3</v>
      </c>
      <c r="K1237" s="8">
        <v>0</v>
      </c>
    </row>
    <row r="1238" spans="1:11">
      <c r="A1238" s="2" t="s">
        <v>746</v>
      </c>
      <c r="B1238" s="2" t="s">
        <v>2238</v>
      </c>
      <c r="C1238" s="9">
        <v>10043391</v>
      </c>
      <c r="D1238" s="2" t="s">
        <v>2240</v>
      </c>
      <c r="E1238" s="10">
        <v>6</v>
      </c>
      <c r="F1238" s="9" t="s">
        <v>1367</v>
      </c>
      <c r="G1238" s="11">
        <v>46238</v>
      </c>
      <c r="H1238" s="12">
        <v>54.04</v>
      </c>
      <c r="I1238" s="12">
        <v>48.1</v>
      </c>
      <c r="J1238" s="9" t="s">
        <v>3</v>
      </c>
      <c r="K1238" s="8">
        <v>0</v>
      </c>
    </row>
    <row r="1239" spans="1:11">
      <c r="A1239" s="2" t="s">
        <v>746</v>
      </c>
      <c r="B1239" s="2" t="s">
        <v>2238</v>
      </c>
      <c r="C1239" s="9">
        <v>10043392</v>
      </c>
      <c r="D1239" s="2" t="s">
        <v>2241</v>
      </c>
      <c r="E1239" s="10">
        <v>6</v>
      </c>
      <c r="F1239" s="9" t="s">
        <v>1367</v>
      </c>
      <c r="G1239" s="11">
        <v>46238</v>
      </c>
      <c r="H1239" s="12">
        <v>54.04</v>
      </c>
      <c r="I1239" s="12">
        <v>48.1</v>
      </c>
      <c r="J1239" s="9" t="s">
        <v>3</v>
      </c>
      <c r="K1239" s="8">
        <v>0</v>
      </c>
    </row>
    <row r="1240" spans="1:11">
      <c r="A1240" s="2" t="s">
        <v>746</v>
      </c>
      <c r="B1240" s="2" t="s">
        <v>2242</v>
      </c>
      <c r="C1240" s="9">
        <v>10043393</v>
      </c>
      <c r="D1240" s="2" t="s">
        <v>2243</v>
      </c>
      <c r="E1240" s="10">
        <v>6</v>
      </c>
      <c r="F1240" s="9" t="s">
        <v>1112</v>
      </c>
      <c r="G1240" s="11">
        <v>46238</v>
      </c>
      <c r="H1240" s="12">
        <v>51.35</v>
      </c>
      <c r="I1240" s="12">
        <v>45.7</v>
      </c>
      <c r="J1240" s="9" t="s">
        <v>3</v>
      </c>
      <c r="K1240" s="8">
        <v>0</v>
      </c>
    </row>
    <row r="1241" spans="1:11">
      <c r="A1241" s="2" t="s">
        <v>746</v>
      </c>
      <c r="B1241" s="2" t="s">
        <v>2242</v>
      </c>
      <c r="C1241" s="9">
        <v>10043394</v>
      </c>
      <c r="D1241" s="2" t="s">
        <v>2244</v>
      </c>
      <c r="E1241" s="10">
        <v>6</v>
      </c>
      <c r="F1241" s="9" t="s">
        <v>1112</v>
      </c>
      <c r="G1241" s="11">
        <v>46238</v>
      </c>
      <c r="H1241" s="12">
        <v>51.35</v>
      </c>
      <c r="I1241" s="12">
        <v>45.7</v>
      </c>
      <c r="J1241" s="9" t="s">
        <v>3</v>
      </c>
      <c r="K1241" s="8">
        <v>0</v>
      </c>
    </row>
    <row r="1242" spans="1:11">
      <c r="A1242" s="2" t="s">
        <v>746</v>
      </c>
      <c r="B1242" s="2" t="s">
        <v>2242</v>
      </c>
      <c r="C1242" s="9">
        <v>10043395</v>
      </c>
      <c r="D1242" s="2" t="s">
        <v>2245</v>
      </c>
      <c r="E1242" s="10">
        <v>6</v>
      </c>
      <c r="F1242" s="9" t="s">
        <v>1112</v>
      </c>
      <c r="G1242" s="11">
        <v>46238</v>
      </c>
      <c r="H1242" s="12">
        <v>51.35</v>
      </c>
      <c r="I1242" s="12">
        <v>45.7</v>
      </c>
      <c r="J1242" s="9" t="s">
        <v>3</v>
      </c>
      <c r="K1242" s="8">
        <v>0</v>
      </c>
    </row>
    <row r="1243" spans="1:11">
      <c r="A1243" s="2" t="s">
        <v>746</v>
      </c>
      <c r="B1243" s="2" t="s">
        <v>2246</v>
      </c>
      <c r="C1243" s="9">
        <v>10044500</v>
      </c>
      <c r="D1243" s="2" t="s">
        <v>2247</v>
      </c>
      <c r="E1243" s="10">
        <v>12</v>
      </c>
      <c r="F1243" s="9" t="s">
        <v>2248</v>
      </c>
      <c r="G1243" s="11">
        <v>46238</v>
      </c>
      <c r="H1243" s="12">
        <v>51.25</v>
      </c>
      <c r="I1243" s="12">
        <v>45.61</v>
      </c>
      <c r="J1243" s="9" t="s">
        <v>3</v>
      </c>
      <c r="K1243" s="8">
        <v>0</v>
      </c>
    </row>
    <row r="1244" spans="1:11">
      <c r="A1244" s="2" t="s">
        <v>746</v>
      </c>
      <c r="B1244" s="2" t="s">
        <v>2246</v>
      </c>
      <c r="C1244" s="9">
        <v>10044504</v>
      </c>
      <c r="D1244" s="2" t="s">
        <v>2249</v>
      </c>
      <c r="E1244" s="10">
        <v>12</v>
      </c>
      <c r="F1244" s="9" t="s">
        <v>2248</v>
      </c>
      <c r="G1244" s="11">
        <v>46238</v>
      </c>
      <c r="H1244" s="12">
        <v>51.25</v>
      </c>
      <c r="I1244" s="12">
        <v>45.61</v>
      </c>
      <c r="J1244" s="9" t="s">
        <v>3</v>
      </c>
      <c r="K1244" s="8">
        <v>0</v>
      </c>
    </row>
    <row r="1245" spans="1:11">
      <c r="A1245" s="2" t="s">
        <v>746</v>
      </c>
      <c r="B1245" s="2" t="s">
        <v>2246</v>
      </c>
      <c r="C1245" s="9">
        <v>10044506</v>
      </c>
      <c r="D1245" s="2" t="s">
        <v>2250</v>
      </c>
      <c r="E1245" s="10">
        <v>12</v>
      </c>
      <c r="F1245" s="9" t="s">
        <v>2248</v>
      </c>
      <c r="G1245" s="11">
        <v>46238</v>
      </c>
      <c r="H1245" s="12">
        <v>51.25</v>
      </c>
      <c r="I1245" s="12">
        <v>45.61</v>
      </c>
      <c r="J1245" s="9" t="s">
        <v>3</v>
      </c>
      <c r="K1245" s="8">
        <v>0</v>
      </c>
    </row>
    <row r="1246" spans="1:11">
      <c r="A1246" s="2" t="s">
        <v>746</v>
      </c>
      <c r="B1246" s="2" t="s">
        <v>2246</v>
      </c>
      <c r="C1246" s="9">
        <v>10044510</v>
      </c>
      <c r="D1246" s="2" t="s">
        <v>2251</v>
      </c>
      <c r="E1246" s="10">
        <v>12</v>
      </c>
      <c r="F1246" s="9" t="s">
        <v>2248</v>
      </c>
      <c r="G1246" s="11">
        <v>46238</v>
      </c>
      <c r="H1246" s="12">
        <v>51.25</v>
      </c>
      <c r="I1246" s="12">
        <v>45.61</v>
      </c>
      <c r="J1246" s="9" t="s">
        <v>3</v>
      </c>
      <c r="K1246" s="8">
        <v>0</v>
      </c>
    </row>
    <row r="1247" spans="1:11">
      <c r="A1247" s="2" t="s">
        <v>925</v>
      </c>
      <c r="B1247" s="2" t="s">
        <v>2252</v>
      </c>
      <c r="C1247" s="9">
        <v>10044600</v>
      </c>
      <c r="D1247" s="2" t="s">
        <v>2253</v>
      </c>
      <c r="E1247" s="10">
        <v>6</v>
      </c>
      <c r="F1247" s="9" t="s">
        <v>741</v>
      </c>
      <c r="G1247" s="11">
        <v>46238</v>
      </c>
      <c r="H1247" s="12">
        <v>29.42</v>
      </c>
      <c r="I1247" s="12">
        <v>26.18</v>
      </c>
      <c r="J1247" s="9" t="s">
        <v>3</v>
      </c>
      <c r="K1247" s="8">
        <v>0</v>
      </c>
    </row>
    <row r="1248" spans="1:11">
      <c r="A1248" s="2" t="s">
        <v>925</v>
      </c>
      <c r="B1248" s="2" t="s">
        <v>2252</v>
      </c>
      <c r="C1248" s="9">
        <v>10044601</v>
      </c>
      <c r="D1248" s="2" t="s">
        <v>2254</v>
      </c>
      <c r="E1248" s="10">
        <v>6</v>
      </c>
      <c r="F1248" s="9" t="s">
        <v>741</v>
      </c>
      <c r="G1248" s="11">
        <v>46238</v>
      </c>
      <c r="H1248" s="12">
        <v>29.42</v>
      </c>
      <c r="I1248" s="12">
        <v>26.18</v>
      </c>
      <c r="J1248" s="9" t="s">
        <v>3</v>
      </c>
      <c r="K1248" s="8">
        <v>0</v>
      </c>
    </row>
    <row r="1249" spans="1:11">
      <c r="A1249" s="2" t="s">
        <v>925</v>
      </c>
      <c r="B1249" s="2" t="s">
        <v>2255</v>
      </c>
      <c r="C1249" s="9">
        <v>10044617</v>
      </c>
      <c r="D1249" s="2" t="s">
        <v>2256</v>
      </c>
      <c r="E1249" s="10">
        <v>4</v>
      </c>
      <c r="F1249" s="9" t="s">
        <v>1473</v>
      </c>
      <c r="G1249" s="11">
        <v>46238</v>
      </c>
      <c r="H1249" s="12">
        <v>59.19</v>
      </c>
      <c r="I1249" s="12">
        <v>52.68</v>
      </c>
      <c r="J1249" s="9" t="s">
        <v>3</v>
      </c>
      <c r="K1249" s="8">
        <v>0</v>
      </c>
    </row>
    <row r="1250" spans="1:11">
      <c r="A1250" s="2" t="s">
        <v>925</v>
      </c>
      <c r="B1250" s="2" t="s">
        <v>2255</v>
      </c>
      <c r="C1250" s="9">
        <v>10044618</v>
      </c>
      <c r="D1250" s="2" t="s">
        <v>2257</v>
      </c>
      <c r="E1250" s="10">
        <v>4</v>
      </c>
      <c r="F1250" s="9" t="s">
        <v>1473</v>
      </c>
      <c r="G1250" s="11">
        <v>46238</v>
      </c>
      <c r="H1250" s="12">
        <v>59.19</v>
      </c>
      <c r="I1250" s="12">
        <v>52.68</v>
      </c>
      <c r="J1250" s="9" t="s">
        <v>3</v>
      </c>
      <c r="K1250" s="8">
        <v>0</v>
      </c>
    </row>
    <row r="1251" spans="1:11">
      <c r="A1251" s="2" t="s">
        <v>925</v>
      </c>
      <c r="B1251" s="2" t="s">
        <v>2255</v>
      </c>
      <c r="C1251" s="9">
        <v>10044626</v>
      </c>
      <c r="D1251" s="2" t="s">
        <v>2258</v>
      </c>
      <c r="E1251" s="10">
        <v>4</v>
      </c>
      <c r="F1251" s="9" t="s">
        <v>1473</v>
      </c>
      <c r="G1251" s="11">
        <v>46238</v>
      </c>
      <c r="H1251" s="12">
        <v>55.6</v>
      </c>
      <c r="I1251" s="12">
        <v>49.48</v>
      </c>
      <c r="J1251" s="9" t="s">
        <v>3</v>
      </c>
      <c r="K1251" s="8">
        <v>0</v>
      </c>
    </row>
    <row r="1252" spans="1:11">
      <c r="A1252" s="2" t="s">
        <v>663</v>
      </c>
      <c r="B1252" s="2" t="s">
        <v>2259</v>
      </c>
      <c r="C1252" s="9">
        <v>10045001</v>
      </c>
      <c r="D1252" s="2" t="s">
        <v>2260</v>
      </c>
      <c r="E1252" s="10">
        <v>12</v>
      </c>
      <c r="F1252" s="9" t="s">
        <v>991</v>
      </c>
      <c r="G1252" s="11">
        <v>46238</v>
      </c>
      <c r="H1252" s="12">
        <v>75.099999999999994</v>
      </c>
      <c r="I1252" s="12">
        <v>66.84</v>
      </c>
      <c r="J1252" s="9" t="s">
        <v>3</v>
      </c>
      <c r="K1252" s="8">
        <v>0</v>
      </c>
    </row>
    <row r="1253" spans="1:11">
      <c r="A1253" s="2" t="s">
        <v>663</v>
      </c>
      <c r="B1253" s="2" t="s">
        <v>2259</v>
      </c>
      <c r="C1253" s="9">
        <v>10045002</v>
      </c>
      <c r="D1253" s="2" t="s">
        <v>2261</v>
      </c>
      <c r="E1253" s="10">
        <v>12</v>
      </c>
      <c r="F1253" s="9" t="s">
        <v>770</v>
      </c>
      <c r="G1253" s="11">
        <v>46238</v>
      </c>
      <c r="H1253" s="12">
        <v>51.01</v>
      </c>
      <c r="I1253" s="12">
        <v>45.4</v>
      </c>
      <c r="J1253" s="9" t="s">
        <v>3</v>
      </c>
      <c r="K1253" s="8">
        <v>0</v>
      </c>
    </row>
    <row r="1254" spans="1:11">
      <c r="A1254" s="2" t="s">
        <v>663</v>
      </c>
      <c r="B1254" s="2" t="s">
        <v>2259</v>
      </c>
      <c r="C1254" s="9">
        <v>10045003</v>
      </c>
      <c r="D1254" s="2" t="s">
        <v>2262</v>
      </c>
      <c r="E1254" s="10">
        <v>4</v>
      </c>
      <c r="F1254" s="9" t="s">
        <v>989</v>
      </c>
      <c r="G1254" s="11">
        <v>46238</v>
      </c>
      <c r="H1254" s="12">
        <v>73.209999999999994</v>
      </c>
      <c r="I1254" s="12">
        <v>65.16</v>
      </c>
      <c r="J1254" s="9" t="s">
        <v>3</v>
      </c>
      <c r="K1254" s="8">
        <v>0</v>
      </c>
    </row>
    <row r="1255" spans="1:11">
      <c r="A1255" s="2" t="s">
        <v>663</v>
      </c>
      <c r="B1255" s="2" t="s">
        <v>2259</v>
      </c>
      <c r="C1255" s="9">
        <v>10045004</v>
      </c>
      <c r="D1255" s="2" t="s">
        <v>2263</v>
      </c>
      <c r="E1255" s="10">
        <v>12</v>
      </c>
      <c r="F1255" s="9" t="s">
        <v>770</v>
      </c>
      <c r="G1255" s="11">
        <v>46238</v>
      </c>
      <c r="H1255" s="12">
        <v>92.11</v>
      </c>
      <c r="I1255" s="12">
        <v>81.98</v>
      </c>
      <c r="J1255" s="9" t="s">
        <v>3</v>
      </c>
      <c r="K1255" s="8">
        <v>0</v>
      </c>
    </row>
    <row r="1256" spans="1:11">
      <c r="A1256" s="2" t="s">
        <v>842</v>
      </c>
      <c r="B1256" s="2" t="s">
        <v>2264</v>
      </c>
      <c r="C1256" s="9">
        <v>10045481</v>
      </c>
      <c r="D1256" s="2" t="s">
        <v>2265</v>
      </c>
      <c r="E1256" s="10">
        <v>8</v>
      </c>
      <c r="F1256" s="9" t="s">
        <v>1323</v>
      </c>
      <c r="G1256" s="11">
        <v>46238</v>
      </c>
      <c r="H1256" s="12">
        <v>43.6</v>
      </c>
      <c r="I1256" s="12">
        <v>40.11</v>
      </c>
      <c r="J1256" s="9" t="s">
        <v>3</v>
      </c>
      <c r="K1256" s="8">
        <v>0</v>
      </c>
    </row>
    <row r="1257" spans="1:11">
      <c r="A1257" s="2" t="s">
        <v>842</v>
      </c>
      <c r="B1257" s="2" t="s">
        <v>2264</v>
      </c>
      <c r="C1257" s="9">
        <v>10045482</v>
      </c>
      <c r="D1257" s="2" t="s">
        <v>2266</v>
      </c>
      <c r="E1257" s="10">
        <v>8</v>
      </c>
      <c r="F1257" s="9" t="s">
        <v>1323</v>
      </c>
      <c r="G1257" s="11">
        <v>46238</v>
      </c>
      <c r="H1257" s="12">
        <v>43.6</v>
      </c>
      <c r="I1257" s="12">
        <v>40.11</v>
      </c>
      <c r="J1257" s="9" t="s">
        <v>3</v>
      </c>
      <c r="K1257" s="8">
        <v>0</v>
      </c>
    </row>
    <row r="1258" spans="1:11">
      <c r="A1258" s="2" t="s">
        <v>842</v>
      </c>
      <c r="B1258" s="2" t="s">
        <v>2264</v>
      </c>
      <c r="C1258" s="9">
        <v>10045483</v>
      </c>
      <c r="D1258" s="2" t="s">
        <v>2267</v>
      </c>
      <c r="E1258" s="10">
        <v>8</v>
      </c>
      <c r="F1258" s="9" t="s">
        <v>1323</v>
      </c>
      <c r="G1258" s="11">
        <v>46238</v>
      </c>
      <c r="H1258" s="12">
        <v>43.6</v>
      </c>
      <c r="I1258" s="12">
        <v>40.11</v>
      </c>
      <c r="J1258" s="9" t="s">
        <v>3</v>
      </c>
      <c r="K1258" s="8">
        <v>0</v>
      </c>
    </row>
    <row r="1259" spans="1:11">
      <c r="A1259" s="2" t="s">
        <v>842</v>
      </c>
      <c r="B1259" s="2" t="s">
        <v>2264</v>
      </c>
      <c r="C1259" s="9">
        <v>10045484</v>
      </c>
      <c r="D1259" s="2" t="s">
        <v>2268</v>
      </c>
      <c r="E1259" s="10">
        <v>8</v>
      </c>
      <c r="F1259" s="9" t="s">
        <v>1323</v>
      </c>
      <c r="G1259" s="11">
        <v>46238</v>
      </c>
      <c r="H1259" s="12">
        <v>43.6</v>
      </c>
      <c r="I1259" s="12">
        <v>40.11</v>
      </c>
      <c r="J1259" s="9" t="s">
        <v>3</v>
      </c>
      <c r="K1259" s="8">
        <v>0</v>
      </c>
    </row>
    <row r="1260" spans="1:11">
      <c r="A1260" s="2" t="s">
        <v>842</v>
      </c>
      <c r="B1260" s="2" t="s">
        <v>2264</v>
      </c>
      <c r="C1260" s="9">
        <v>10045485</v>
      </c>
      <c r="D1260" s="2" t="s">
        <v>2269</v>
      </c>
      <c r="E1260" s="10">
        <v>8</v>
      </c>
      <c r="F1260" s="9" t="s">
        <v>1323</v>
      </c>
      <c r="G1260" s="11">
        <v>46238</v>
      </c>
      <c r="H1260" s="12">
        <v>43.6</v>
      </c>
      <c r="I1260" s="12">
        <v>40.11</v>
      </c>
      <c r="J1260" s="9" t="s">
        <v>3</v>
      </c>
      <c r="K1260" s="8">
        <v>0</v>
      </c>
    </row>
    <row r="1261" spans="1:11">
      <c r="A1261" s="2" t="s">
        <v>842</v>
      </c>
      <c r="B1261" s="2" t="s">
        <v>2264</v>
      </c>
      <c r="C1261" s="9">
        <v>10045486</v>
      </c>
      <c r="D1261" s="2" t="s">
        <v>2270</v>
      </c>
      <c r="E1261" s="10">
        <v>8</v>
      </c>
      <c r="F1261" s="9" t="s">
        <v>1323</v>
      </c>
      <c r="G1261" s="11">
        <v>46238</v>
      </c>
      <c r="H1261" s="12">
        <v>43.6</v>
      </c>
      <c r="I1261" s="12">
        <v>40.11</v>
      </c>
      <c r="J1261" s="9" t="s">
        <v>3</v>
      </c>
      <c r="K1261" s="8">
        <v>0</v>
      </c>
    </row>
    <row r="1262" spans="1:11">
      <c r="A1262" s="2" t="s">
        <v>842</v>
      </c>
      <c r="B1262" s="2" t="s">
        <v>2264</v>
      </c>
      <c r="C1262" s="9">
        <v>10045494</v>
      </c>
      <c r="D1262" s="2" t="s">
        <v>2271</v>
      </c>
      <c r="E1262" s="10">
        <v>8</v>
      </c>
      <c r="F1262" s="9" t="s">
        <v>1323</v>
      </c>
      <c r="G1262" s="11">
        <v>46238</v>
      </c>
      <c r="H1262" s="12">
        <v>46.65</v>
      </c>
      <c r="I1262" s="12">
        <v>42.92</v>
      </c>
      <c r="J1262" s="9" t="s">
        <v>3</v>
      </c>
      <c r="K1262" s="8">
        <v>0</v>
      </c>
    </row>
    <row r="1263" spans="1:11">
      <c r="A1263" s="2" t="s">
        <v>842</v>
      </c>
      <c r="B1263" s="2" t="s">
        <v>2264</v>
      </c>
      <c r="C1263" s="9">
        <v>10045495</v>
      </c>
      <c r="D1263" s="2" t="s">
        <v>2272</v>
      </c>
      <c r="E1263" s="10">
        <v>8</v>
      </c>
      <c r="F1263" s="9" t="s">
        <v>1323</v>
      </c>
      <c r="G1263" s="11">
        <v>46238</v>
      </c>
      <c r="H1263" s="12">
        <v>46.65</v>
      </c>
      <c r="I1263" s="12">
        <v>42.92</v>
      </c>
      <c r="J1263" s="9" t="s">
        <v>3</v>
      </c>
      <c r="K1263" s="8">
        <v>0</v>
      </c>
    </row>
    <row r="1264" spans="1:11">
      <c r="A1264" s="2" t="s">
        <v>925</v>
      </c>
      <c r="B1264" s="2" t="s">
        <v>2273</v>
      </c>
      <c r="C1264" s="9">
        <v>10045509</v>
      </c>
      <c r="D1264" s="2" t="s">
        <v>2274</v>
      </c>
      <c r="E1264" s="10">
        <v>12</v>
      </c>
      <c r="F1264" s="9" t="s">
        <v>1015</v>
      </c>
      <c r="G1264" s="11">
        <v>46238</v>
      </c>
      <c r="H1264" s="12">
        <v>72.48</v>
      </c>
      <c r="I1264" s="12">
        <v>64.44</v>
      </c>
      <c r="J1264" s="9" t="s">
        <v>3</v>
      </c>
      <c r="K1264" s="8">
        <v>0</v>
      </c>
    </row>
    <row r="1265" spans="1:11">
      <c r="A1265" s="2" t="s">
        <v>925</v>
      </c>
      <c r="B1265" s="2" t="s">
        <v>2273</v>
      </c>
      <c r="C1265" s="9">
        <v>10045514</v>
      </c>
      <c r="D1265" s="2" t="s">
        <v>2275</v>
      </c>
      <c r="E1265" s="10">
        <v>6</v>
      </c>
      <c r="F1265" s="9" t="s">
        <v>1223</v>
      </c>
      <c r="G1265" s="11">
        <v>46238</v>
      </c>
      <c r="H1265" s="12">
        <v>51.3</v>
      </c>
      <c r="I1265" s="12">
        <v>45.66</v>
      </c>
      <c r="J1265" s="9" t="s">
        <v>3</v>
      </c>
      <c r="K1265" s="8">
        <v>0</v>
      </c>
    </row>
    <row r="1266" spans="1:11">
      <c r="A1266" s="2" t="s">
        <v>925</v>
      </c>
      <c r="B1266" s="2" t="s">
        <v>2273</v>
      </c>
      <c r="C1266" s="9">
        <v>10045516</v>
      </c>
      <c r="D1266" s="2" t="s">
        <v>2276</v>
      </c>
      <c r="E1266" s="10">
        <v>12</v>
      </c>
      <c r="F1266" s="9" t="s">
        <v>1015</v>
      </c>
      <c r="G1266" s="11">
        <v>46238</v>
      </c>
      <c r="H1266" s="12">
        <v>51.36</v>
      </c>
      <c r="I1266" s="12">
        <v>45.72</v>
      </c>
      <c r="J1266" s="9" t="s">
        <v>3</v>
      </c>
      <c r="K1266" s="8">
        <v>0</v>
      </c>
    </row>
    <row r="1267" spans="1:11">
      <c r="A1267" s="2" t="s">
        <v>925</v>
      </c>
      <c r="B1267" s="2" t="s">
        <v>2273</v>
      </c>
      <c r="C1267" s="9">
        <v>10045517</v>
      </c>
      <c r="D1267" s="2" t="s">
        <v>2276</v>
      </c>
      <c r="E1267" s="10">
        <v>6</v>
      </c>
      <c r="F1267" s="9" t="s">
        <v>1315</v>
      </c>
      <c r="G1267" s="11">
        <v>46238</v>
      </c>
      <c r="H1267" s="12">
        <v>34.74</v>
      </c>
      <c r="I1267" s="12">
        <v>30.96</v>
      </c>
      <c r="J1267" s="9" t="s">
        <v>3</v>
      </c>
      <c r="K1267" s="8">
        <v>0</v>
      </c>
    </row>
    <row r="1268" spans="1:11">
      <c r="A1268" s="2" t="s">
        <v>746</v>
      </c>
      <c r="B1268" s="2" t="s">
        <v>2277</v>
      </c>
      <c r="C1268" s="9">
        <v>10045627</v>
      </c>
      <c r="D1268" s="2" t="s">
        <v>2278</v>
      </c>
      <c r="E1268" s="10">
        <v>12</v>
      </c>
      <c r="F1268" s="9" t="s">
        <v>2279</v>
      </c>
      <c r="G1268" s="11">
        <v>46238</v>
      </c>
      <c r="H1268" s="12">
        <v>50.49</v>
      </c>
      <c r="I1268" s="12">
        <v>44.94</v>
      </c>
      <c r="J1268" s="9" t="s">
        <v>3</v>
      </c>
      <c r="K1268" s="8">
        <v>0</v>
      </c>
    </row>
    <row r="1269" spans="1:11">
      <c r="A1269" s="2" t="s">
        <v>746</v>
      </c>
      <c r="B1269" s="2" t="s">
        <v>2277</v>
      </c>
      <c r="C1269" s="9">
        <v>10045631</v>
      </c>
      <c r="D1269" s="2" t="s">
        <v>2280</v>
      </c>
      <c r="E1269" s="10">
        <v>12</v>
      </c>
      <c r="F1269" s="9" t="s">
        <v>2279</v>
      </c>
      <c r="G1269" s="11">
        <v>46238</v>
      </c>
      <c r="H1269" s="12">
        <v>50.49</v>
      </c>
      <c r="I1269" s="12">
        <v>44.94</v>
      </c>
      <c r="J1269" s="9" t="s">
        <v>3</v>
      </c>
      <c r="K1269" s="8">
        <v>0</v>
      </c>
    </row>
    <row r="1270" spans="1:11">
      <c r="A1270" s="2" t="s">
        <v>746</v>
      </c>
      <c r="B1270" s="2" t="s">
        <v>2281</v>
      </c>
      <c r="C1270" s="9">
        <v>10045671</v>
      </c>
      <c r="D1270" s="2" t="s">
        <v>2282</v>
      </c>
      <c r="E1270" s="10">
        <v>24</v>
      </c>
      <c r="F1270" s="9" t="s">
        <v>2283</v>
      </c>
      <c r="G1270" s="11">
        <v>46238</v>
      </c>
      <c r="H1270" s="12">
        <v>53.3</v>
      </c>
      <c r="I1270" s="12">
        <v>47.44</v>
      </c>
      <c r="J1270" s="9" t="s">
        <v>3</v>
      </c>
      <c r="K1270" s="8">
        <v>0</v>
      </c>
    </row>
    <row r="1271" spans="1:11">
      <c r="A1271" s="2" t="s">
        <v>746</v>
      </c>
      <c r="B1271" s="2" t="s">
        <v>2281</v>
      </c>
      <c r="C1271" s="9">
        <v>10045673</v>
      </c>
      <c r="D1271" s="2" t="s">
        <v>2284</v>
      </c>
      <c r="E1271" s="10">
        <v>24</v>
      </c>
      <c r="F1271" s="9" t="s">
        <v>2283</v>
      </c>
      <c r="G1271" s="11">
        <v>46238</v>
      </c>
      <c r="H1271" s="12">
        <v>47.94</v>
      </c>
      <c r="I1271" s="12">
        <v>42.67</v>
      </c>
      <c r="J1271" s="9" t="s">
        <v>3</v>
      </c>
      <c r="K1271" s="8">
        <v>0</v>
      </c>
    </row>
    <row r="1272" spans="1:11">
      <c r="A1272" s="2" t="s">
        <v>746</v>
      </c>
      <c r="B1272" s="2" t="s">
        <v>2281</v>
      </c>
      <c r="C1272" s="9">
        <v>10045676</v>
      </c>
      <c r="D1272" s="2" t="s">
        <v>2285</v>
      </c>
      <c r="E1272" s="10">
        <v>12</v>
      </c>
      <c r="F1272" s="9" t="s">
        <v>1511</v>
      </c>
      <c r="G1272" s="11">
        <v>46238</v>
      </c>
      <c r="H1272" s="12">
        <v>36.75</v>
      </c>
      <c r="I1272" s="12">
        <v>32.71</v>
      </c>
      <c r="J1272" s="9" t="s">
        <v>3</v>
      </c>
      <c r="K1272" s="8">
        <v>0</v>
      </c>
    </row>
    <row r="1273" spans="1:11">
      <c r="A1273" s="2" t="s">
        <v>746</v>
      </c>
      <c r="B1273" s="2" t="s">
        <v>2281</v>
      </c>
      <c r="C1273" s="9">
        <v>10045677</v>
      </c>
      <c r="D1273" s="2" t="s">
        <v>2286</v>
      </c>
      <c r="E1273" s="10">
        <v>12</v>
      </c>
      <c r="F1273" s="9" t="s">
        <v>1511</v>
      </c>
      <c r="G1273" s="11">
        <v>46238</v>
      </c>
      <c r="H1273" s="12">
        <v>36.75</v>
      </c>
      <c r="I1273" s="12">
        <v>32.71</v>
      </c>
      <c r="J1273" s="9" t="s">
        <v>3</v>
      </c>
      <c r="K1273" s="8">
        <v>0</v>
      </c>
    </row>
    <row r="1274" spans="1:11">
      <c r="A1274" s="2" t="s">
        <v>746</v>
      </c>
      <c r="B1274" s="2" t="s">
        <v>2281</v>
      </c>
      <c r="C1274" s="9">
        <v>10045678</v>
      </c>
      <c r="D1274" s="2" t="s">
        <v>2287</v>
      </c>
      <c r="E1274" s="10">
        <v>12</v>
      </c>
      <c r="F1274" s="9" t="s">
        <v>1323</v>
      </c>
      <c r="G1274" s="11">
        <v>46238</v>
      </c>
      <c r="H1274" s="12">
        <v>62.29</v>
      </c>
      <c r="I1274" s="12">
        <v>55.44</v>
      </c>
      <c r="J1274" s="9" t="s">
        <v>3</v>
      </c>
      <c r="K1274" s="8">
        <v>0</v>
      </c>
    </row>
    <row r="1275" spans="1:11">
      <c r="A1275" s="2" t="s">
        <v>708</v>
      </c>
      <c r="B1275" s="2" t="s">
        <v>743</v>
      </c>
      <c r="C1275" s="9">
        <v>10046031</v>
      </c>
      <c r="D1275" s="2" t="s">
        <v>2288</v>
      </c>
      <c r="E1275" s="10">
        <v>1</v>
      </c>
      <c r="F1275" s="9" t="s">
        <v>745</v>
      </c>
      <c r="G1275" s="11">
        <v>46238</v>
      </c>
      <c r="H1275" s="12">
        <v>49.05</v>
      </c>
      <c r="I1275" s="12">
        <v>43.66</v>
      </c>
      <c r="J1275" s="9" t="s">
        <v>3</v>
      </c>
      <c r="K1275" s="8">
        <v>0</v>
      </c>
    </row>
    <row r="1276" spans="1:11">
      <c r="A1276" s="2" t="s">
        <v>1120</v>
      </c>
      <c r="B1276" s="2" t="s">
        <v>2289</v>
      </c>
      <c r="C1276" s="9">
        <v>10046120</v>
      </c>
      <c r="D1276" s="2" t="s">
        <v>2290</v>
      </c>
      <c r="E1276" s="10">
        <v>200</v>
      </c>
      <c r="F1276" s="9" t="s">
        <v>756</v>
      </c>
      <c r="G1276" s="11">
        <v>46238</v>
      </c>
      <c r="H1276" s="12">
        <v>62</v>
      </c>
      <c r="I1276" s="12">
        <v>56</v>
      </c>
      <c r="J1276" s="9" t="s">
        <v>3</v>
      </c>
      <c r="K1276" s="8">
        <v>0</v>
      </c>
    </row>
    <row r="1277" spans="1:11">
      <c r="A1277" s="2" t="s">
        <v>1120</v>
      </c>
      <c r="B1277" s="2" t="s">
        <v>2289</v>
      </c>
      <c r="C1277" s="9">
        <v>10046121</v>
      </c>
      <c r="D1277" s="2" t="s">
        <v>2291</v>
      </c>
      <c r="E1277" s="10">
        <v>50</v>
      </c>
      <c r="F1277" s="9" t="s">
        <v>1405</v>
      </c>
      <c r="G1277" s="11">
        <v>46238</v>
      </c>
      <c r="H1277" s="12">
        <v>60</v>
      </c>
      <c r="I1277" s="12">
        <v>53.5</v>
      </c>
      <c r="J1277" s="9" t="s">
        <v>3</v>
      </c>
      <c r="K1277" s="8">
        <v>0</v>
      </c>
    </row>
    <row r="1278" spans="1:11">
      <c r="A1278" s="2" t="s">
        <v>746</v>
      </c>
      <c r="B1278" s="2" t="s">
        <v>2281</v>
      </c>
      <c r="C1278" s="9">
        <v>10046229</v>
      </c>
      <c r="D1278" s="2" t="s">
        <v>2292</v>
      </c>
      <c r="E1278" s="10">
        <v>6</v>
      </c>
      <c r="F1278" s="9" t="s">
        <v>2293</v>
      </c>
      <c r="G1278" s="11">
        <v>46238</v>
      </c>
      <c r="H1278" s="12">
        <v>102.58</v>
      </c>
      <c r="I1278" s="12">
        <v>91.3</v>
      </c>
      <c r="J1278" s="9" t="s">
        <v>3</v>
      </c>
      <c r="K1278" s="8">
        <v>0</v>
      </c>
    </row>
    <row r="1279" spans="1:11">
      <c r="A1279" s="2" t="s">
        <v>746</v>
      </c>
      <c r="B1279" s="2" t="s">
        <v>2294</v>
      </c>
      <c r="C1279" s="9">
        <v>10046405</v>
      </c>
      <c r="D1279" s="2" t="s">
        <v>2295</v>
      </c>
      <c r="E1279" s="10">
        <v>12</v>
      </c>
      <c r="F1279" s="9" t="s">
        <v>1015</v>
      </c>
      <c r="G1279" s="11">
        <v>46238</v>
      </c>
      <c r="H1279" s="12">
        <v>112.84</v>
      </c>
      <c r="I1279" s="12">
        <v>103.85</v>
      </c>
      <c r="J1279" s="9" t="s">
        <v>3</v>
      </c>
      <c r="K1279" s="8">
        <v>0</v>
      </c>
    </row>
    <row r="1280" spans="1:11">
      <c r="A1280" s="2" t="s">
        <v>746</v>
      </c>
      <c r="B1280" s="2" t="s">
        <v>2294</v>
      </c>
      <c r="C1280" s="9">
        <v>10046406</v>
      </c>
      <c r="D1280" s="2" t="s">
        <v>2296</v>
      </c>
      <c r="E1280" s="10">
        <v>3</v>
      </c>
      <c r="F1280" s="9" t="s">
        <v>2297</v>
      </c>
      <c r="G1280" s="11">
        <v>46238</v>
      </c>
      <c r="H1280" s="12">
        <v>216.08</v>
      </c>
      <c r="I1280" s="12">
        <v>198.8</v>
      </c>
      <c r="J1280" s="9" t="s">
        <v>3</v>
      </c>
      <c r="K1280" s="8">
        <v>0</v>
      </c>
    </row>
    <row r="1281" spans="1:11">
      <c r="A1281" s="2" t="s">
        <v>925</v>
      </c>
      <c r="B1281" s="2" t="s">
        <v>2298</v>
      </c>
      <c r="C1281" s="9">
        <v>10046500</v>
      </c>
      <c r="D1281" s="2" t="s">
        <v>2299</v>
      </c>
      <c r="E1281" s="10">
        <v>6</v>
      </c>
      <c r="F1281" s="9" t="s">
        <v>866</v>
      </c>
      <c r="G1281" s="11">
        <v>46238</v>
      </c>
      <c r="H1281" s="12">
        <v>22.18</v>
      </c>
      <c r="I1281" s="12">
        <v>19.739999999999998</v>
      </c>
      <c r="J1281" s="9" t="s">
        <v>3</v>
      </c>
      <c r="K1281" s="8">
        <v>0</v>
      </c>
    </row>
    <row r="1282" spans="1:11">
      <c r="A1282" s="2" t="s">
        <v>1120</v>
      </c>
      <c r="B1282" s="2" t="s">
        <v>2300</v>
      </c>
      <c r="C1282" s="9">
        <v>10047247</v>
      </c>
      <c r="D1282" s="2" t="s">
        <v>2301</v>
      </c>
      <c r="E1282" s="10">
        <v>6</v>
      </c>
      <c r="F1282" s="9" t="s">
        <v>2302</v>
      </c>
      <c r="G1282" s="11">
        <v>46238</v>
      </c>
      <c r="H1282" s="12">
        <v>85.86</v>
      </c>
      <c r="I1282" s="12">
        <v>76.44</v>
      </c>
      <c r="J1282" s="9" t="s">
        <v>3</v>
      </c>
      <c r="K1282" s="8">
        <v>0</v>
      </c>
    </row>
    <row r="1283" spans="1:11">
      <c r="A1283" s="2" t="s">
        <v>1120</v>
      </c>
      <c r="B1283" s="2" t="s">
        <v>2303</v>
      </c>
      <c r="C1283" s="9">
        <v>10047601</v>
      </c>
      <c r="D1283" s="2" t="s">
        <v>2304</v>
      </c>
      <c r="E1283" s="10">
        <v>2</v>
      </c>
      <c r="F1283" s="9" t="s">
        <v>2305</v>
      </c>
      <c r="G1283" s="11">
        <v>46238</v>
      </c>
      <c r="H1283" s="12">
        <v>64.180000000000007</v>
      </c>
      <c r="I1283" s="12">
        <v>57.12</v>
      </c>
      <c r="J1283" s="9" t="s">
        <v>3</v>
      </c>
      <c r="K1283" s="8">
        <v>0</v>
      </c>
    </row>
    <row r="1284" spans="1:11">
      <c r="A1284" s="2" t="s">
        <v>746</v>
      </c>
      <c r="B1284" s="2" t="s">
        <v>2277</v>
      </c>
      <c r="C1284" s="9">
        <v>10048478</v>
      </c>
      <c r="D1284" s="2" t="s">
        <v>2306</v>
      </c>
      <c r="E1284" s="10">
        <v>6</v>
      </c>
      <c r="F1284" s="9" t="s">
        <v>2307</v>
      </c>
      <c r="G1284" s="11">
        <v>46238</v>
      </c>
      <c r="H1284" s="12">
        <v>43.98</v>
      </c>
      <c r="I1284" s="12">
        <v>39.14</v>
      </c>
      <c r="J1284" s="9" t="s">
        <v>3</v>
      </c>
      <c r="K1284" s="8">
        <v>0</v>
      </c>
    </row>
    <row r="1285" spans="1:11">
      <c r="A1285" s="2" t="s">
        <v>746</v>
      </c>
      <c r="B1285" s="2" t="s">
        <v>2277</v>
      </c>
      <c r="C1285" s="9">
        <v>10048482</v>
      </c>
      <c r="D1285" s="2" t="s">
        <v>2308</v>
      </c>
      <c r="E1285" s="10">
        <v>6</v>
      </c>
      <c r="F1285" s="9" t="s">
        <v>2309</v>
      </c>
      <c r="G1285" s="11">
        <v>46238</v>
      </c>
      <c r="H1285" s="12">
        <v>46.63</v>
      </c>
      <c r="I1285" s="12">
        <v>41.5</v>
      </c>
      <c r="J1285" s="9" t="s">
        <v>3</v>
      </c>
      <c r="K1285" s="8">
        <v>0</v>
      </c>
    </row>
    <row r="1286" spans="1:11">
      <c r="A1286" s="2" t="s">
        <v>746</v>
      </c>
      <c r="B1286" s="2" t="s">
        <v>2277</v>
      </c>
      <c r="C1286" s="9">
        <v>10048483</v>
      </c>
      <c r="D1286" s="2" t="s">
        <v>2310</v>
      </c>
      <c r="E1286" s="10">
        <v>6</v>
      </c>
      <c r="F1286" s="9" t="s">
        <v>1315</v>
      </c>
      <c r="G1286" s="11">
        <v>46238</v>
      </c>
      <c r="H1286" s="12">
        <v>37.46</v>
      </c>
      <c r="I1286" s="12">
        <v>33.340000000000003</v>
      </c>
      <c r="J1286" s="9" t="s">
        <v>3</v>
      </c>
      <c r="K1286" s="8">
        <v>0</v>
      </c>
    </row>
    <row r="1287" spans="1:11">
      <c r="A1287" s="2" t="s">
        <v>746</v>
      </c>
      <c r="B1287" s="2" t="s">
        <v>2277</v>
      </c>
      <c r="C1287" s="9">
        <v>10048484</v>
      </c>
      <c r="D1287" s="2" t="s">
        <v>2311</v>
      </c>
      <c r="E1287" s="10">
        <v>6</v>
      </c>
      <c r="F1287" s="9" t="s">
        <v>2307</v>
      </c>
      <c r="G1287" s="11">
        <v>46238</v>
      </c>
      <c r="H1287" s="12">
        <v>37.46</v>
      </c>
      <c r="I1287" s="12">
        <v>33.340000000000003</v>
      </c>
      <c r="J1287" s="9" t="s">
        <v>3</v>
      </c>
      <c r="K1287" s="8">
        <v>0</v>
      </c>
    </row>
    <row r="1288" spans="1:11">
      <c r="A1288" s="2" t="s">
        <v>746</v>
      </c>
      <c r="B1288" s="2" t="s">
        <v>2277</v>
      </c>
      <c r="C1288" s="9">
        <v>10048485</v>
      </c>
      <c r="D1288" s="2" t="s">
        <v>2312</v>
      </c>
      <c r="E1288" s="10">
        <v>6</v>
      </c>
      <c r="F1288" s="9" t="s">
        <v>1315</v>
      </c>
      <c r="G1288" s="11">
        <v>46238</v>
      </c>
      <c r="H1288" s="12">
        <v>46.17</v>
      </c>
      <c r="I1288" s="12">
        <v>41.09</v>
      </c>
      <c r="J1288" s="9" t="s">
        <v>3</v>
      </c>
      <c r="K1288" s="8">
        <v>0</v>
      </c>
    </row>
    <row r="1289" spans="1:11">
      <c r="A1289" s="2" t="s">
        <v>746</v>
      </c>
      <c r="B1289" s="2" t="s">
        <v>2277</v>
      </c>
      <c r="C1289" s="9">
        <v>10048486</v>
      </c>
      <c r="D1289" s="2" t="s">
        <v>2313</v>
      </c>
      <c r="E1289" s="10">
        <v>6</v>
      </c>
      <c r="F1289" s="9" t="s">
        <v>2309</v>
      </c>
      <c r="G1289" s="11">
        <v>46238</v>
      </c>
      <c r="H1289" s="12">
        <v>48.45</v>
      </c>
      <c r="I1289" s="12">
        <v>43.12</v>
      </c>
      <c r="J1289" s="9" t="s">
        <v>3</v>
      </c>
      <c r="K1289" s="8">
        <v>0</v>
      </c>
    </row>
    <row r="1290" spans="1:11">
      <c r="A1290" s="2" t="s">
        <v>746</v>
      </c>
      <c r="B1290" s="2" t="s">
        <v>2277</v>
      </c>
      <c r="C1290" s="9">
        <v>10048488</v>
      </c>
      <c r="D1290" s="2" t="s">
        <v>2314</v>
      </c>
      <c r="E1290" s="10">
        <v>6</v>
      </c>
      <c r="F1290" s="9" t="s">
        <v>2309</v>
      </c>
      <c r="G1290" s="11">
        <v>46238</v>
      </c>
      <c r="H1290" s="12">
        <v>41.93</v>
      </c>
      <c r="I1290" s="12">
        <v>37.32</v>
      </c>
      <c r="J1290" s="9" t="s">
        <v>3</v>
      </c>
      <c r="K1290" s="8">
        <v>0</v>
      </c>
    </row>
    <row r="1291" spans="1:11">
      <c r="A1291" s="2" t="s">
        <v>746</v>
      </c>
      <c r="B1291" s="2" t="s">
        <v>2277</v>
      </c>
      <c r="C1291" s="9">
        <v>10048490</v>
      </c>
      <c r="D1291" s="2" t="s">
        <v>2315</v>
      </c>
      <c r="E1291" s="10">
        <v>6</v>
      </c>
      <c r="F1291" s="9" t="s">
        <v>2307</v>
      </c>
      <c r="G1291" s="11">
        <v>46238</v>
      </c>
      <c r="H1291" s="12">
        <v>37.46</v>
      </c>
      <c r="I1291" s="12">
        <v>33.340000000000003</v>
      </c>
      <c r="J1291" s="9" t="s">
        <v>3</v>
      </c>
      <c r="K1291" s="8">
        <v>0</v>
      </c>
    </row>
    <row r="1292" spans="1:11">
      <c r="A1292" s="2" t="s">
        <v>746</v>
      </c>
      <c r="B1292" s="2" t="s">
        <v>2277</v>
      </c>
      <c r="C1292" s="9">
        <v>10048492</v>
      </c>
      <c r="D1292" s="2" t="s">
        <v>2316</v>
      </c>
      <c r="E1292" s="10">
        <v>6</v>
      </c>
      <c r="F1292" s="9" t="s">
        <v>2307</v>
      </c>
      <c r="G1292" s="11">
        <v>46238</v>
      </c>
      <c r="H1292" s="12">
        <v>37.46</v>
      </c>
      <c r="I1292" s="12">
        <v>33.340000000000003</v>
      </c>
      <c r="J1292" s="9" t="s">
        <v>3</v>
      </c>
      <c r="K1292" s="8">
        <v>0</v>
      </c>
    </row>
    <row r="1293" spans="1:11">
      <c r="A1293" s="2" t="s">
        <v>746</v>
      </c>
      <c r="B1293" s="2" t="s">
        <v>2277</v>
      </c>
      <c r="C1293" s="9">
        <v>10048493</v>
      </c>
      <c r="D1293" s="2" t="s">
        <v>2317</v>
      </c>
      <c r="E1293" s="10">
        <v>6</v>
      </c>
      <c r="F1293" s="9" t="s">
        <v>2307</v>
      </c>
      <c r="G1293" s="11">
        <v>46238</v>
      </c>
      <c r="H1293" s="12">
        <v>37.46</v>
      </c>
      <c r="I1293" s="12">
        <v>33.340000000000003</v>
      </c>
      <c r="J1293" s="9" t="s">
        <v>3</v>
      </c>
      <c r="K1293" s="8">
        <v>0</v>
      </c>
    </row>
    <row r="1294" spans="1:11">
      <c r="A1294" s="2" t="s">
        <v>746</v>
      </c>
      <c r="B1294" s="2" t="s">
        <v>2277</v>
      </c>
      <c r="C1294" s="9">
        <v>10048497</v>
      </c>
      <c r="D1294" s="2" t="s">
        <v>2318</v>
      </c>
      <c r="E1294" s="10">
        <v>6</v>
      </c>
      <c r="F1294" s="9" t="s">
        <v>2307</v>
      </c>
      <c r="G1294" s="11">
        <v>46238</v>
      </c>
      <c r="H1294" s="12">
        <v>46.17</v>
      </c>
      <c r="I1294" s="12">
        <v>41.09</v>
      </c>
      <c r="J1294" s="9" t="s">
        <v>3</v>
      </c>
      <c r="K1294" s="8">
        <v>0</v>
      </c>
    </row>
    <row r="1295" spans="1:11">
      <c r="A1295" s="2" t="s">
        <v>746</v>
      </c>
      <c r="B1295" s="2" t="s">
        <v>2277</v>
      </c>
      <c r="C1295" s="9">
        <v>10048498</v>
      </c>
      <c r="D1295" s="2" t="s">
        <v>2319</v>
      </c>
      <c r="E1295" s="10">
        <v>6</v>
      </c>
      <c r="F1295" s="9" t="s">
        <v>2307</v>
      </c>
      <c r="G1295" s="11">
        <v>46238</v>
      </c>
      <c r="H1295" s="12">
        <v>43.98</v>
      </c>
      <c r="I1295" s="12">
        <v>39.14</v>
      </c>
      <c r="J1295" s="9" t="s">
        <v>3</v>
      </c>
      <c r="K1295" s="8">
        <v>0</v>
      </c>
    </row>
    <row r="1296" spans="1:11">
      <c r="A1296" s="2" t="s">
        <v>949</v>
      </c>
      <c r="B1296" s="2" t="s">
        <v>2320</v>
      </c>
      <c r="C1296" s="9">
        <v>10048501</v>
      </c>
      <c r="D1296" s="2" t="s">
        <v>2321</v>
      </c>
      <c r="E1296" s="10">
        <v>12</v>
      </c>
      <c r="F1296" s="9" t="s">
        <v>2322</v>
      </c>
      <c r="G1296" s="11">
        <v>46238</v>
      </c>
      <c r="H1296" s="12">
        <v>36.840000000000003</v>
      </c>
      <c r="I1296" s="12">
        <v>32.79</v>
      </c>
      <c r="J1296" s="9" t="s">
        <v>3</v>
      </c>
      <c r="K1296" s="8">
        <v>0</v>
      </c>
    </row>
    <row r="1297" spans="1:11">
      <c r="A1297" s="2" t="s">
        <v>949</v>
      </c>
      <c r="B1297" s="2" t="s">
        <v>2320</v>
      </c>
      <c r="C1297" s="9">
        <v>10048503</v>
      </c>
      <c r="D1297" s="2" t="s">
        <v>2323</v>
      </c>
      <c r="E1297" s="10">
        <v>12</v>
      </c>
      <c r="F1297" s="9" t="s">
        <v>2322</v>
      </c>
      <c r="G1297" s="11">
        <v>46238</v>
      </c>
      <c r="H1297" s="12">
        <v>36.840000000000003</v>
      </c>
      <c r="I1297" s="12">
        <v>32.79</v>
      </c>
      <c r="J1297" s="9" t="s">
        <v>3</v>
      </c>
      <c r="K1297" s="8">
        <v>0</v>
      </c>
    </row>
    <row r="1298" spans="1:11">
      <c r="A1298" s="2" t="s">
        <v>949</v>
      </c>
      <c r="B1298" s="2" t="s">
        <v>2320</v>
      </c>
      <c r="C1298" s="9">
        <v>10048504</v>
      </c>
      <c r="D1298" s="2" t="s">
        <v>2324</v>
      </c>
      <c r="E1298" s="10">
        <v>12</v>
      </c>
      <c r="F1298" s="9" t="s">
        <v>2322</v>
      </c>
      <c r="G1298" s="11">
        <v>46238</v>
      </c>
      <c r="H1298" s="12">
        <v>46.62</v>
      </c>
      <c r="I1298" s="12">
        <v>41.49</v>
      </c>
      <c r="J1298" s="9" t="s">
        <v>3</v>
      </c>
      <c r="K1298" s="8">
        <v>0</v>
      </c>
    </row>
    <row r="1299" spans="1:11">
      <c r="A1299" s="2" t="s">
        <v>949</v>
      </c>
      <c r="B1299" s="2" t="s">
        <v>2320</v>
      </c>
      <c r="C1299" s="9">
        <v>10048506</v>
      </c>
      <c r="D1299" s="2" t="s">
        <v>2325</v>
      </c>
      <c r="E1299" s="10">
        <v>24</v>
      </c>
      <c r="F1299" s="9" t="s">
        <v>2326</v>
      </c>
      <c r="G1299" s="11">
        <v>46238</v>
      </c>
      <c r="H1299" s="12">
        <v>35.99</v>
      </c>
      <c r="I1299" s="12">
        <v>32.03</v>
      </c>
      <c r="J1299" s="9" t="s">
        <v>3</v>
      </c>
      <c r="K1299" s="8">
        <v>0</v>
      </c>
    </row>
    <row r="1300" spans="1:11">
      <c r="A1300" s="2" t="s">
        <v>949</v>
      </c>
      <c r="B1300" s="2" t="s">
        <v>2320</v>
      </c>
      <c r="C1300" s="9">
        <v>10048507</v>
      </c>
      <c r="D1300" s="2" t="s">
        <v>2327</v>
      </c>
      <c r="E1300" s="10">
        <v>12</v>
      </c>
      <c r="F1300" s="9" t="s">
        <v>866</v>
      </c>
      <c r="G1300" s="11">
        <v>46238</v>
      </c>
      <c r="H1300" s="12">
        <v>52.29</v>
      </c>
      <c r="I1300" s="12">
        <v>46.54</v>
      </c>
      <c r="J1300" s="9" t="s">
        <v>3</v>
      </c>
      <c r="K1300" s="8">
        <v>0</v>
      </c>
    </row>
    <row r="1301" spans="1:11">
      <c r="A1301" s="2" t="s">
        <v>949</v>
      </c>
      <c r="B1301" s="2" t="s">
        <v>2320</v>
      </c>
      <c r="C1301" s="9">
        <v>10048521</v>
      </c>
      <c r="D1301" s="2" t="s">
        <v>2328</v>
      </c>
      <c r="E1301" s="10">
        <v>12</v>
      </c>
      <c r="F1301" s="9" t="s">
        <v>650</v>
      </c>
      <c r="G1301" s="11">
        <v>46238</v>
      </c>
      <c r="H1301" s="12">
        <v>61.92</v>
      </c>
      <c r="I1301" s="12">
        <v>55.11</v>
      </c>
      <c r="J1301" s="9" t="s">
        <v>3</v>
      </c>
      <c r="K1301" s="8">
        <v>0</v>
      </c>
    </row>
    <row r="1302" spans="1:11">
      <c r="A1302" s="2" t="s">
        <v>949</v>
      </c>
      <c r="B1302" s="2" t="s">
        <v>2320</v>
      </c>
      <c r="C1302" s="9">
        <v>10048523</v>
      </c>
      <c r="D1302" s="2" t="s">
        <v>2329</v>
      </c>
      <c r="E1302" s="10">
        <v>12</v>
      </c>
      <c r="F1302" s="9" t="s">
        <v>650</v>
      </c>
      <c r="G1302" s="11">
        <v>46238</v>
      </c>
      <c r="H1302" s="12">
        <v>61.92</v>
      </c>
      <c r="I1302" s="12">
        <v>55.11</v>
      </c>
      <c r="J1302" s="9" t="s">
        <v>3</v>
      </c>
      <c r="K1302" s="8">
        <v>0</v>
      </c>
    </row>
    <row r="1303" spans="1:11">
      <c r="A1303" s="2" t="s">
        <v>949</v>
      </c>
      <c r="B1303" s="2" t="s">
        <v>2320</v>
      </c>
      <c r="C1303" s="9">
        <v>10048525</v>
      </c>
      <c r="D1303" s="2" t="s">
        <v>2330</v>
      </c>
      <c r="E1303" s="10">
        <v>12</v>
      </c>
      <c r="F1303" s="9" t="s">
        <v>2331</v>
      </c>
      <c r="G1303" s="11">
        <v>46238</v>
      </c>
      <c r="H1303" s="12">
        <v>90.7</v>
      </c>
      <c r="I1303" s="12">
        <v>80.72</v>
      </c>
      <c r="J1303" s="9" t="s">
        <v>3</v>
      </c>
      <c r="K1303" s="8">
        <v>0</v>
      </c>
    </row>
    <row r="1304" spans="1:11">
      <c r="A1304" s="2" t="s">
        <v>949</v>
      </c>
      <c r="B1304" s="2" t="s">
        <v>2320</v>
      </c>
      <c r="C1304" s="9">
        <v>10048529</v>
      </c>
      <c r="D1304" s="2" t="s">
        <v>2332</v>
      </c>
      <c r="E1304" s="10">
        <v>12</v>
      </c>
      <c r="F1304" s="9" t="s">
        <v>650</v>
      </c>
      <c r="G1304" s="11">
        <v>46238</v>
      </c>
      <c r="H1304" s="12">
        <v>61.92</v>
      </c>
      <c r="I1304" s="12">
        <v>55.11</v>
      </c>
      <c r="J1304" s="9" t="s">
        <v>3</v>
      </c>
      <c r="K1304" s="8">
        <v>0</v>
      </c>
    </row>
    <row r="1305" spans="1:11">
      <c r="A1305" s="2" t="s">
        <v>949</v>
      </c>
      <c r="B1305" s="2" t="s">
        <v>2320</v>
      </c>
      <c r="C1305" s="9">
        <v>10048541</v>
      </c>
      <c r="D1305" s="2" t="s">
        <v>2333</v>
      </c>
      <c r="E1305" s="10">
        <v>12</v>
      </c>
      <c r="F1305" s="9" t="s">
        <v>2334</v>
      </c>
      <c r="G1305" s="11">
        <v>46238</v>
      </c>
      <c r="H1305" s="12">
        <v>90.7</v>
      </c>
      <c r="I1305" s="12">
        <v>80.72</v>
      </c>
      <c r="J1305" s="9" t="s">
        <v>3</v>
      </c>
      <c r="K1305" s="8">
        <v>0</v>
      </c>
    </row>
    <row r="1306" spans="1:11">
      <c r="A1306" s="2" t="s">
        <v>949</v>
      </c>
      <c r="B1306" s="2" t="s">
        <v>2320</v>
      </c>
      <c r="C1306" s="9">
        <v>10048543</v>
      </c>
      <c r="D1306" s="2" t="s">
        <v>2335</v>
      </c>
      <c r="E1306" s="10">
        <v>12</v>
      </c>
      <c r="F1306" s="9" t="s">
        <v>1526</v>
      </c>
      <c r="G1306" s="11">
        <v>46238</v>
      </c>
      <c r="H1306" s="12">
        <v>61.92</v>
      </c>
      <c r="I1306" s="12">
        <v>55.11</v>
      </c>
      <c r="J1306" s="9" t="s">
        <v>3</v>
      </c>
      <c r="K1306" s="8">
        <v>0</v>
      </c>
    </row>
    <row r="1307" spans="1:11">
      <c r="A1307" s="2" t="s">
        <v>949</v>
      </c>
      <c r="B1307" s="2" t="s">
        <v>2320</v>
      </c>
      <c r="C1307" s="9">
        <v>10048545</v>
      </c>
      <c r="D1307" s="2" t="s">
        <v>2336</v>
      </c>
      <c r="E1307" s="10">
        <v>12</v>
      </c>
      <c r="F1307" s="9" t="s">
        <v>1526</v>
      </c>
      <c r="G1307" s="11">
        <v>46238</v>
      </c>
      <c r="H1307" s="12">
        <v>61.92</v>
      </c>
      <c r="I1307" s="12">
        <v>55.11</v>
      </c>
      <c r="J1307" s="9" t="s">
        <v>3</v>
      </c>
      <c r="K1307" s="8">
        <v>0</v>
      </c>
    </row>
    <row r="1308" spans="1:11">
      <c r="A1308" s="2" t="s">
        <v>949</v>
      </c>
      <c r="B1308" s="2" t="s">
        <v>2320</v>
      </c>
      <c r="C1308" s="9">
        <v>10048549</v>
      </c>
      <c r="D1308" s="2" t="s">
        <v>2337</v>
      </c>
      <c r="E1308" s="10">
        <v>6</v>
      </c>
      <c r="F1308" s="9" t="s">
        <v>2322</v>
      </c>
      <c r="G1308" s="11">
        <v>46238</v>
      </c>
      <c r="H1308" s="12">
        <v>30.11</v>
      </c>
      <c r="I1308" s="12">
        <v>26.8</v>
      </c>
      <c r="J1308" s="9" t="s">
        <v>3</v>
      </c>
      <c r="K1308" s="8">
        <v>0</v>
      </c>
    </row>
    <row r="1309" spans="1:11">
      <c r="A1309" s="2" t="s">
        <v>949</v>
      </c>
      <c r="B1309" s="2" t="s">
        <v>2320</v>
      </c>
      <c r="C1309" s="9">
        <v>10048551</v>
      </c>
      <c r="D1309" s="2" t="s">
        <v>2338</v>
      </c>
      <c r="E1309" s="10">
        <v>12</v>
      </c>
      <c r="F1309" s="9" t="s">
        <v>1526</v>
      </c>
      <c r="G1309" s="11">
        <v>46238</v>
      </c>
      <c r="H1309" s="12">
        <v>61.92</v>
      </c>
      <c r="I1309" s="12">
        <v>55.11</v>
      </c>
      <c r="J1309" s="9" t="s">
        <v>3</v>
      </c>
      <c r="K1309" s="8">
        <v>0</v>
      </c>
    </row>
    <row r="1310" spans="1:11">
      <c r="A1310" s="2" t="s">
        <v>949</v>
      </c>
      <c r="B1310" s="2" t="s">
        <v>2320</v>
      </c>
      <c r="C1310" s="9">
        <v>10048555</v>
      </c>
      <c r="D1310" s="2" t="s">
        <v>2339</v>
      </c>
      <c r="E1310" s="10">
        <v>12</v>
      </c>
      <c r="F1310" s="9" t="s">
        <v>1526</v>
      </c>
      <c r="G1310" s="11">
        <v>46238</v>
      </c>
      <c r="H1310" s="12">
        <v>61.92</v>
      </c>
      <c r="I1310" s="12">
        <v>55.11</v>
      </c>
      <c r="J1310" s="9" t="s">
        <v>3</v>
      </c>
      <c r="K1310" s="8">
        <v>0</v>
      </c>
    </row>
    <row r="1311" spans="1:11">
      <c r="A1311" s="2" t="s">
        <v>949</v>
      </c>
      <c r="B1311" s="2" t="s">
        <v>2320</v>
      </c>
      <c r="C1311" s="9">
        <v>10048580</v>
      </c>
      <c r="D1311" s="2" t="s">
        <v>2340</v>
      </c>
      <c r="E1311" s="10">
        <v>12</v>
      </c>
      <c r="F1311" s="9" t="s">
        <v>1323</v>
      </c>
      <c r="G1311" s="11">
        <v>46238</v>
      </c>
      <c r="H1311" s="12">
        <v>52.29</v>
      </c>
      <c r="I1311" s="12">
        <v>46.54</v>
      </c>
      <c r="J1311" s="9" t="s">
        <v>3</v>
      </c>
      <c r="K1311" s="8">
        <v>0</v>
      </c>
    </row>
    <row r="1312" spans="1:11">
      <c r="A1312" s="2" t="s">
        <v>949</v>
      </c>
      <c r="B1312" s="2" t="s">
        <v>2320</v>
      </c>
      <c r="C1312" s="9">
        <v>10048628</v>
      </c>
      <c r="D1312" s="2" t="s">
        <v>2341</v>
      </c>
      <c r="E1312" s="10">
        <v>12</v>
      </c>
      <c r="F1312" s="9" t="s">
        <v>2322</v>
      </c>
      <c r="G1312" s="11">
        <v>46238</v>
      </c>
      <c r="H1312" s="12">
        <v>46.62</v>
      </c>
      <c r="I1312" s="12">
        <v>41.49</v>
      </c>
      <c r="J1312" s="9" t="s">
        <v>3</v>
      </c>
      <c r="K1312" s="8">
        <v>0</v>
      </c>
    </row>
    <row r="1313" spans="1:11">
      <c r="A1313" s="2" t="s">
        <v>949</v>
      </c>
      <c r="B1313" s="2" t="s">
        <v>2320</v>
      </c>
      <c r="C1313" s="9">
        <v>10048670</v>
      </c>
      <c r="D1313" s="2" t="s">
        <v>2342</v>
      </c>
      <c r="E1313" s="10">
        <v>6</v>
      </c>
      <c r="F1313" s="9" t="s">
        <v>1306</v>
      </c>
      <c r="G1313" s="11">
        <v>46238</v>
      </c>
      <c r="H1313" s="12">
        <v>24.65</v>
      </c>
      <c r="I1313" s="12">
        <v>21.94</v>
      </c>
      <c r="J1313" s="9" t="s">
        <v>3</v>
      </c>
      <c r="K1313" s="8">
        <v>0</v>
      </c>
    </row>
    <row r="1314" spans="1:11">
      <c r="A1314" s="2" t="s">
        <v>949</v>
      </c>
      <c r="B1314" s="2" t="s">
        <v>2320</v>
      </c>
      <c r="C1314" s="9">
        <v>10048671</v>
      </c>
      <c r="D1314" s="2" t="s">
        <v>2343</v>
      </c>
      <c r="E1314" s="10">
        <v>6</v>
      </c>
      <c r="F1314" s="9" t="s">
        <v>1306</v>
      </c>
      <c r="G1314" s="11">
        <v>46238</v>
      </c>
      <c r="H1314" s="12">
        <v>24.65</v>
      </c>
      <c r="I1314" s="12">
        <v>21.94</v>
      </c>
      <c r="J1314" s="9" t="s">
        <v>3</v>
      </c>
      <c r="K1314" s="8">
        <v>0</v>
      </c>
    </row>
    <row r="1315" spans="1:11">
      <c r="A1315" s="2" t="s">
        <v>949</v>
      </c>
      <c r="B1315" s="2" t="s">
        <v>2320</v>
      </c>
      <c r="C1315" s="9">
        <v>10048715</v>
      </c>
      <c r="D1315" s="2" t="s">
        <v>2344</v>
      </c>
      <c r="E1315" s="10">
        <v>6</v>
      </c>
      <c r="F1315" s="9" t="s">
        <v>2345</v>
      </c>
      <c r="G1315" s="11">
        <v>46238</v>
      </c>
      <c r="H1315" s="12">
        <v>38.340000000000003</v>
      </c>
      <c r="I1315" s="12">
        <v>34.119999999999997</v>
      </c>
      <c r="J1315" s="9" t="s">
        <v>3</v>
      </c>
      <c r="K1315" s="8">
        <v>0</v>
      </c>
    </row>
    <row r="1316" spans="1:11">
      <c r="A1316" s="2" t="s">
        <v>949</v>
      </c>
      <c r="B1316" s="2" t="s">
        <v>2346</v>
      </c>
      <c r="C1316" s="9">
        <v>10048801</v>
      </c>
      <c r="D1316" s="2" t="s">
        <v>2347</v>
      </c>
      <c r="E1316" s="10">
        <v>12</v>
      </c>
      <c r="F1316" s="9" t="s">
        <v>632</v>
      </c>
      <c r="G1316" s="11">
        <v>46238</v>
      </c>
      <c r="H1316" s="12">
        <v>31.46</v>
      </c>
      <c r="I1316" s="12">
        <v>28</v>
      </c>
      <c r="J1316" s="9" t="s">
        <v>3</v>
      </c>
      <c r="K1316" s="8">
        <v>0</v>
      </c>
    </row>
    <row r="1317" spans="1:11">
      <c r="A1317" s="2" t="s">
        <v>949</v>
      </c>
      <c r="B1317" s="2" t="s">
        <v>2346</v>
      </c>
      <c r="C1317" s="9">
        <v>10048810</v>
      </c>
      <c r="D1317" s="2" t="s">
        <v>2348</v>
      </c>
      <c r="E1317" s="10">
        <v>12</v>
      </c>
      <c r="F1317" s="9" t="s">
        <v>632</v>
      </c>
      <c r="G1317" s="11">
        <v>46238</v>
      </c>
      <c r="H1317" s="12">
        <v>31.46</v>
      </c>
      <c r="I1317" s="12">
        <v>28</v>
      </c>
      <c r="J1317" s="9" t="s">
        <v>3</v>
      </c>
      <c r="K1317" s="8">
        <v>0</v>
      </c>
    </row>
    <row r="1318" spans="1:11">
      <c r="A1318" s="2" t="s">
        <v>949</v>
      </c>
      <c r="B1318" s="2" t="s">
        <v>2346</v>
      </c>
      <c r="C1318" s="9">
        <v>10048836</v>
      </c>
      <c r="D1318" s="2" t="s">
        <v>2349</v>
      </c>
      <c r="E1318" s="10">
        <v>12</v>
      </c>
      <c r="F1318" s="9" t="s">
        <v>632</v>
      </c>
      <c r="G1318" s="11">
        <v>46238</v>
      </c>
      <c r="H1318" s="12">
        <v>31.46</v>
      </c>
      <c r="I1318" s="12">
        <v>28</v>
      </c>
      <c r="J1318" s="9" t="s">
        <v>3</v>
      </c>
      <c r="K1318" s="8">
        <v>0</v>
      </c>
    </row>
    <row r="1319" spans="1:11">
      <c r="A1319" s="2" t="s">
        <v>949</v>
      </c>
      <c r="B1319" s="2" t="s">
        <v>2346</v>
      </c>
      <c r="C1319" s="9">
        <v>10048839</v>
      </c>
      <c r="D1319" s="2" t="s">
        <v>2350</v>
      </c>
      <c r="E1319" s="10">
        <v>12</v>
      </c>
      <c r="F1319" s="9" t="s">
        <v>632</v>
      </c>
      <c r="G1319" s="11">
        <v>46238</v>
      </c>
      <c r="H1319" s="12">
        <v>38.4</v>
      </c>
      <c r="I1319" s="12">
        <v>34.18</v>
      </c>
      <c r="J1319" s="9" t="s">
        <v>3</v>
      </c>
      <c r="K1319" s="8">
        <v>0</v>
      </c>
    </row>
    <row r="1320" spans="1:11">
      <c r="A1320" s="2" t="s">
        <v>949</v>
      </c>
      <c r="B1320" s="2" t="s">
        <v>2346</v>
      </c>
      <c r="C1320" s="9">
        <v>10048844</v>
      </c>
      <c r="D1320" s="2" t="s">
        <v>2351</v>
      </c>
      <c r="E1320" s="10">
        <v>12</v>
      </c>
      <c r="F1320" s="9" t="s">
        <v>632</v>
      </c>
      <c r="G1320" s="11">
        <v>46238</v>
      </c>
      <c r="H1320" s="12">
        <v>38.4</v>
      </c>
      <c r="I1320" s="12">
        <v>34.18</v>
      </c>
      <c r="J1320" s="9" t="s">
        <v>3</v>
      </c>
      <c r="K1320" s="8">
        <v>0</v>
      </c>
    </row>
    <row r="1321" spans="1:11">
      <c r="A1321" s="2" t="s">
        <v>949</v>
      </c>
      <c r="B1321" s="2" t="s">
        <v>2346</v>
      </c>
      <c r="C1321" s="9">
        <v>10048852</v>
      </c>
      <c r="D1321" s="2" t="s">
        <v>2352</v>
      </c>
      <c r="E1321" s="10">
        <v>12</v>
      </c>
      <c r="F1321" s="9" t="s">
        <v>632</v>
      </c>
      <c r="G1321" s="11">
        <v>46238</v>
      </c>
      <c r="H1321" s="12">
        <v>38.4</v>
      </c>
      <c r="I1321" s="12">
        <v>34.18</v>
      </c>
      <c r="J1321" s="9" t="s">
        <v>3</v>
      </c>
      <c r="K1321" s="8">
        <v>0</v>
      </c>
    </row>
    <row r="1322" spans="1:11">
      <c r="A1322" s="2" t="s">
        <v>949</v>
      </c>
      <c r="B1322" s="2" t="s">
        <v>2346</v>
      </c>
      <c r="C1322" s="9">
        <v>10048860</v>
      </c>
      <c r="D1322" s="2" t="s">
        <v>2353</v>
      </c>
      <c r="E1322" s="10">
        <v>12</v>
      </c>
      <c r="F1322" s="9" t="s">
        <v>632</v>
      </c>
      <c r="G1322" s="11">
        <v>46238</v>
      </c>
      <c r="H1322" s="12">
        <v>38.4</v>
      </c>
      <c r="I1322" s="12">
        <v>34.18</v>
      </c>
      <c r="J1322" s="9" t="s">
        <v>3</v>
      </c>
      <c r="K1322" s="8">
        <v>0</v>
      </c>
    </row>
    <row r="1323" spans="1:11">
      <c r="A1323" s="2" t="s">
        <v>949</v>
      </c>
      <c r="B1323" s="2" t="s">
        <v>2346</v>
      </c>
      <c r="C1323" s="9">
        <v>10048875</v>
      </c>
      <c r="D1323" s="2" t="s">
        <v>2354</v>
      </c>
      <c r="E1323" s="10">
        <v>12</v>
      </c>
      <c r="F1323" s="9" t="s">
        <v>632</v>
      </c>
      <c r="G1323" s="11">
        <v>46238</v>
      </c>
      <c r="H1323" s="12">
        <v>38.4</v>
      </c>
      <c r="I1323" s="12">
        <v>34.18</v>
      </c>
      <c r="J1323" s="9" t="s">
        <v>3</v>
      </c>
      <c r="K1323" s="8">
        <v>0</v>
      </c>
    </row>
    <row r="1324" spans="1:11">
      <c r="A1324" s="2" t="s">
        <v>949</v>
      </c>
      <c r="B1324" s="2" t="s">
        <v>2346</v>
      </c>
      <c r="C1324" s="9">
        <v>10048881</v>
      </c>
      <c r="D1324" s="2" t="s">
        <v>2355</v>
      </c>
      <c r="E1324" s="10">
        <v>12</v>
      </c>
      <c r="F1324" s="9" t="s">
        <v>632</v>
      </c>
      <c r="G1324" s="11">
        <v>46238</v>
      </c>
      <c r="H1324" s="12">
        <v>38.4</v>
      </c>
      <c r="I1324" s="12">
        <v>34.18</v>
      </c>
      <c r="J1324" s="9" t="s">
        <v>3</v>
      </c>
      <c r="K1324" s="8">
        <v>0</v>
      </c>
    </row>
    <row r="1325" spans="1:11">
      <c r="A1325" s="2" t="s">
        <v>949</v>
      </c>
      <c r="B1325" s="2" t="s">
        <v>2346</v>
      </c>
      <c r="C1325" s="9">
        <v>10048887</v>
      </c>
      <c r="D1325" s="2" t="s">
        <v>2356</v>
      </c>
      <c r="E1325" s="10">
        <v>12</v>
      </c>
      <c r="F1325" s="9" t="s">
        <v>632</v>
      </c>
      <c r="G1325" s="11">
        <v>46238</v>
      </c>
      <c r="H1325" s="12">
        <v>35.43</v>
      </c>
      <c r="I1325" s="12">
        <v>31.53</v>
      </c>
      <c r="J1325" s="9" t="s">
        <v>3</v>
      </c>
      <c r="K1325" s="8">
        <v>0</v>
      </c>
    </row>
    <row r="1326" spans="1:11">
      <c r="A1326" s="2" t="s">
        <v>949</v>
      </c>
      <c r="B1326" s="2" t="s">
        <v>2346</v>
      </c>
      <c r="C1326" s="9">
        <v>10048930</v>
      </c>
      <c r="D1326" s="2" t="s">
        <v>2350</v>
      </c>
      <c r="E1326" s="10">
        <v>2</v>
      </c>
      <c r="F1326" s="9" t="s">
        <v>2357</v>
      </c>
      <c r="G1326" s="11">
        <v>46238</v>
      </c>
      <c r="H1326" s="12">
        <v>36.61</v>
      </c>
      <c r="I1326" s="12">
        <v>32.58</v>
      </c>
      <c r="J1326" s="9" t="s">
        <v>3</v>
      </c>
      <c r="K1326" s="8">
        <v>0</v>
      </c>
    </row>
    <row r="1327" spans="1:11">
      <c r="A1327" s="2" t="s">
        <v>949</v>
      </c>
      <c r="B1327" s="2" t="s">
        <v>2346</v>
      </c>
      <c r="C1327" s="9">
        <v>10048932</v>
      </c>
      <c r="D1327" s="2" t="s">
        <v>2358</v>
      </c>
      <c r="E1327" s="10">
        <v>12</v>
      </c>
      <c r="F1327" s="9" t="s">
        <v>632</v>
      </c>
      <c r="G1327" s="11">
        <v>46238</v>
      </c>
      <c r="H1327" s="12">
        <v>38.4</v>
      </c>
      <c r="I1327" s="12">
        <v>34.18</v>
      </c>
      <c r="J1327" s="9" t="s">
        <v>3</v>
      </c>
      <c r="K1327" s="8">
        <v>0</v>
      </c>
    </row>
    <row r="1328" spans="1:11">
      <c r="A1328" s="2" t="s">
        <v>949</v>
      </c>
      <c r="B1328" s="2" t="s">
        <v>2346</v>
      </c>
      <c r="C1328" s="9">
        <v>10048990</v>
      </c>
      <c r="D1328" s="2" t="s">
        <v>2359</v>
      </c>
      <c r="E1328" s="10">
        <v>12</v>
      </c>
      <c r="F1328" s="9" t="s">
        <v>632</v>
      </c>
      <c r="G1328" s="11">
        <v>46238</v>
      </c>
      <c r="H1328" s="12">
        <v>38.4</v>
      </c>
      <c r="I1328" s="12">
        <v>34.18</v>
      </c>
      <c r="J1328" s="9" t="s">
        <v>3</v>
      </c>
      <c r="K1328" s="8">
        <v>0</v>
      </c>
    </row>
    <row r="1329" spans="1:11">
      <c r="A1329" s="2" t="s">
        <v>949</v>
      </c>
      <c r="B1329" s="2" t="s">
        <v>2346</v>
      </c>
      <c r="C1329" s="9">
        <v>10048992</v>
      </c>
      <c r="D1329" s="2" t="s">
        <v>2360</v>
      </c>
      <c r="E1329" s="10">
        <v>12</v>
      </c>
      <c r="F1329" s="9" t="s">
        <v>632</v>
      </c>
      <c r="G1329" s="11">
        <v>46238</v>
      </c>
      <c r="H1329" s="12">
        <v>38.4</v>
      </c>
      <c r="I1329" s="12">
        <v>34.18</v>
      </c>
      <c r="J1329" s="9" t="s">
        <v>3</v>
      </c>
      <c r="K1329" s="8">
        <v>0</v>
      </c>
    </row>
    <row r="1330" spans="1:11">
      <c r="A1330" s="2" t="s">
        <v>949</v>
      </c>
      <c r="B1330" s="2" t="s">
        <v>2346</v>
      </c>
      <c r="C1330" s="9">
        <v>10048993</v>
      </c>
      <c r="D1330" s="2" t="s">
        <v>2361</v>
      </c>
      <c r="E1330" s="10">
        <v>12</v>
      </c>
      <c r="F1330" s="9" t="s">
        <v>632</v>
      </c>
      <c r="G1330" s="11">
        <v>46238</v>
      </c>
      <c r="H1330" s="12">
        <v>38.4</v>
      </c>
      <c r="I1330" s="12">
        <v>34.18</v>
      </c>
      <c r="J1330" s="9" t="s">
        <v>3</v>
      </c>
      <c r="K1330" s="8">
        <v>0</v>
      </c>
    </row>
    <row r="1331" spans="1:11">
      <c r="A1331" s="2" t="s">
        <v>663</v>
      </c>
      <c r="B1331" s="2" t="s">
        <v>2362</v>
      </c>
      <c r="C1331" s="9">
        <v>10049005</v>
      </c>
      <c r="D1331" s="2" t="s">
        <v>2363</v>
      </c>
      <c r="E1331" s="10">
        <v>6</v>
      </c>
      <c r="F1331" s="9" t="s">
        <v>2364</v>
      </c>
      <c r="G1331" s="11">
        <v>46238</v>
      </c>
      <c r="H1331" s="12">
        <v>30.89</v>
      </c>
      <c r="I1331" s="12">
        <v>27.49</v>
      </c>
      <c r="J1331" s="9" t="s">
        <v>3</v>
      </c>
      <c r="K1331" s="8">
        <v>0</v>
      </c>
    </row>
    <row r="1332" spans="1:11">
      <c r="A1332" s="2" t="s">
        <v>663</v>
      </c>
      <c r="B1332" s="2" t="s">
        <v>2362</v>
      </c>
      <c r="C1332" s="9">
        <v>10049137</v>
      </c>
      <c r="D1332" s="2" t="s">
        <v>2365</v>
      </c>
      <c r="E1332" s="10">
        <v>12</v>
      </c>
      <c r="F1332" s="9" t="s">
        <v>2364</v>
      </c>
      <c r="G1332" s="11">
        <v>46238</v>
      </c>
      <c r="H1332" s="12">
        <v>61.92</v>
      </c>
      <c r="I1332" s="12">
        <v>55.11</v>
      </c>
      <c r="J1332" s="9" t="s">
        <v>3</v>
      </c>
      <c r="K1332" s="8">
        <v>0</v>
      </c>
    </row>
    <row r="1333" spans="1:11">
      <c r="A1333" s="2" t="s">
        <v>663</v>
      </c>
      <c r="B1333" s="2" t="s">
        <v>2362</v>
      </c>
      <c r="C1333" s="9">
        <v>10049140</v>
      </c>
      <c r="D1333" s="2" t="s">
        <v>2366</v>
      </c>
      <c r="E1333" s="10">
        <v>12</v>
      </c>
      <c r="F1333" s="9" t="s">
        <v>2364</v>
      </c>
      <c r="G1333" s="11">
        <v>46238</v>
      </c>
      <c r="H1333" s="12">
        <v>61.92</v>
      </c>
      <c r="I1333" s="12">
        <v>55.11</v>
      </c>
      <c r="J1333" s="9" t="s">
        <v>3</v>
      </c>
      <c r="K1333" s="8">
        <v>0</v>
      </c>
    </row>
    <row r="1334" spans="1:11">
      <c r="A1334" s="2" t="s">
        <v>663</v>
      </c>
      <c r="B1334" s="2" t="s">
        <v>2362</v>
      </c>
      <c r="C1334" s="9">
        <v>10049142</v>
      </c>
      <c r="D1334" s="2" t="s">
        <v>2367</v>
      </c>
      <c r="E1334" s="10">
        <v>12</v>
      </c>
      <c r="F1334" s="9" t="s">
        <v>2364</v>
      </c>
      <c r="G1334" s="11">
        <v>46238</v>
      </c>
      <c r="H1334" s="12">
        <v>61.92</v>
      </c>
      <c r="I1334" s="12">
        <v>55.11</v>
      </c>
      <c r="J1334" s="9" t="s">
        <v>3</v>
      </c>
      <c r="K1334" s="8">
        <v>0</v>
      </c>
    </row>
    <row r="1335" spans="1:11">
      <c r="A1335" s="2" t="s">
        <v>663</v>
      </c>
      <c r="B1335" s="2" t="s">
        <v>2362</v>
      </c>
      <c r="C1335" s="9">
        <v>10049144</v>
      </c>
      <c r="D1335" s="2" t="s">
        <v>2368</v>
      </c>
      <c r="E1335" s="10">
        <v>12</v>
      </c>
      <c r="F1335" s="9" t="s">
        <v>2364</v>
      </c>
      <c r="G1335" s="11">
        <v>46238</v>
      </c>
      <c r="H1335" s="12">
        <v>61.92</v>
      </c>
      <c r="I1335" s="12">
        <v>55.11</v>
      </c>
      <c r="J1335" s="9" t="s">
        <v>3</v>
      </c>
      <c r="K1335" s="8">
        <v>0</v>
      </c>
    </row>
    <row r="1336" spans="1:11">
      <c r="A1336" s="2" t="s">
        <v>663</v>
      </c>
      <c r="B1336" s="2" t="s">
        <v>2362</v>
      </c>
      <c r="C1336" s="9">
        <v>10049145</v>
      </c>
      <c r="D1336" s="2" t="s">
        <v>2369</v>
      </c>
      <c r="E1336" s="10">
        <v>12</v>
      </c>
      <c r="F1336" s="9" t="s">
        <v>2364</v>
      </c>
      <c r="G1336" s="11">
        <v>46238</v>
      </c>
      <c r="H1336" s="12">
        <v>61.92</v>
      </c>
      <c r="I1336" s="12">
        <v>55.11</v>
      </c>
      <c r="J1336" s="9" t="s">
        <v>3</v>
      </c>
      <c r="K1336" s="8">
        <v>0</v>
      </c>
    </row>
    <row r="1337" spans="1:11">
      <c r="A1337" s="2" t="s">
        <v>663</v>
      </c>
      <c r="B1337" s="2" t="s">
        <v>2362</v>
      </c>
      <c r="C1337" s="9">
        <v>10049148</v>
      </c>
      <c r="D1337" s="2" t="s">
        <v>2370</v>
      </c>
      <c r="E1337" s="10">
        <v>12</v>
      </c>
      <c r="F1337" s="9" t="s">
        <v>2364</v>
      </c>
      <c r="G1337" s="11">
        <v>46238</v>
      </c>
      <c r="H1337" s="12">
        <v>61.92</v>
      </c>
      <c r="I1337" s="12">
        <v>55.11</v>
      </c>
      <c r="J1337" s="9" t="s">
        <v>3</v>
      </c>
      <c r="K1337" s="8">
        <v>0</v>
      </c>
    </row>
    <row r="1338" spans="1:11">
      <c r="A1338" s="2" t="s">
        <v>663</v>
      </c>
      <c r="B1338" s="2" t="s">
        <v>2362</v>
      </c>
      <c r="C1338" s="9">
        <v>10049154</v>
      </c>
      <c r="D1338" s="2" t="s">
        <v>2371</v>
      </c>
      <c r="E1338" s="10">
        <v>12</v>
      </c>
      <c r="F1338" s="9" t="s">
        <v>2364</v>
      </c>
      <c r="G1338" s="11">
        <v>46238</v>
      </c>
      <c r="H1338" s="12">
        <v>61.92</v>
      </c>
      <c r="I1338" s="12">
        <v>55.11</v>
      </c>
      <c r="J1338" s="9" t="s">
        <v>3</v>
      </c>
      <c r="K1338" s="8">
        <v>0</v>
      </c>
    </row>
    <row r="1339" spans="1:11">
      <c r="A1339" s="2" t="s">
        <v>663</v>
      </c>
      <c r="B1339" s="2" t="s">
        <v>2362</v>
      </c>
      <c r="C1339" s="9">
        <v>10049173</v>
      </c>
      <c r="D1339" s="2" t="s">
        <v>2372</v>
      </c>
      <c r="E1339" s="10">
        <v>6</v>
      </c>
      <c r="F1339" s="9" t="s">
        <v>2364</v>
      </c>
      <c r="G1339" s="11">
        <v>46238</v>
      </c>
      <c r="H1339" s="12">
        <v>27.75</v>
      </c>
      <c r="I1339" s="12">
        <v>24.7</v>
      </c>
      <c r="J1339" s="9" t="s">
        <v>3</v>
      </c>
      <c r="K1339" s="8">
        <v>0</v>
      </c>
    </row>
    <row r="1340" spans="1:11">
      <c r="A1340" s="2" t="s">
        <v>663</v>
      </c>
      <c r="B1340" s="2" t="s">
        <v>2362</v>
      </c>
      <c r="C1340" s="9">
        <v>10049241</v>
      </c>
      <c r="D1340" s="2" t="s">
        <v>2373</v>
      </c>
      <c r="E1340" s="10">
        <v>6</v>
      </c>
      <c r="F1340" s="9" t="s">
        <v>2364</v>
      </c>
      <c r="G1340" s="11">
        <v>46238</v>
      </c>
      <c r="H1340" s="12">
        <v>42.88</v>
      </c>
      <c r="I1340" s="12">
        <v>38.159999999999997</v>
      </c>
      <c r="J1340" s="9" t="s">
        <v>3</v>
      </c>
      <c r="K1340" s="8">
        <v>0</v>
      </c>
    </row>
    <row r="1341" spans="1:11">
      <c r="A1341" s="2" t="s">
        <v>663</v>
      </c>
      <c r="B1341" s="2" t="s">
        <v>2362</v>
      </c>
      <c r="C1341" s="9">
        <v>10049274</v>
      </c>
      <c r="D1341" s="2" t="s">
        <v>2374</v>
      </c>
      <c r="E1341" s="10">
        <v>6</v>
      </c>
      <c r="F1341" s="9" t="s">
        <v>2364</v>
      </c>
      <c r="G1341" s="11">
        <v>46238</v>
      </c>
      <c r="H1341" s="12">
        <v>30.89</v>
      </c>
      <c r="I1341" s="12">
        <v>27.49</v>
      </c>
      <c r="J1341" s="9" t="s">
        <v>3</v>
      </c>
      <c r="K1341" s="8">
        <v>0</v>
      </c>
    </row>
    <row r="1342" spans="1:11">
      <c r="A1342" s="2" t="s">
        <v>663</v>
      </c>
      <c r="B1342" s="2" t="s">
        <v>2362</v>
      </c>
      <c r="C1342" s="9">
        <v>10049282</v>
      </c>
      <c r="D1342" s="2" t="s">
        <v>2375</v>
      </c>
      <c r="E1342" s="10">
        <v>6</v>
      </c>
      <c r="F1342" s="9" t="s">
        <v>1691</v>
      </c>
      <c r="G1342" s="11">
        <v>46238</v>
      </c>
      <c r="H1342" s="12">
        <v>54.33</v>
      </c>
      <c r="I1342" s="12">
        <v>48.35</v>
      </c>
      <c r="J1342" s="9" t="s">
        <v>3</v>
      </c>
      <c r="K1342" s="8">
        <v>0</v>
      </c>
    </row>
    <row r="1343" spans="1:11">
      <c r="A1343" s="2" t="s">
        <v>663</v>
      </c>
      <c r="B1343" s="2" t="s">
        <v>2362</v>
      </c>
      <c r="C1343" s="9">
        <v>10049293</v>
      </c>
      <c r="D1343" s="2" t="s">
        <v>2376</v>
      </c>
      <c r="E1343" s="10">
        <v>6</v>
      </c>
      <c r="F1343" s="9" t="s">
        <v>2364</v>
      </c>
      <c r="G1343" s="11">
        <v>46238</v>
      </c>
      <c r="H1343" s="12">
        <v>27.75</v>
      </c>
      <c r="I1343" s="12">
        <v>24.7</v>
      </c>
      <c r="J1343" s="9" t="s">
        <v>3</v>
      </c>
      <c r="K1343" s="8">
        <v>0</v>
      </c>
    </row>
    <row r="1344" spans="1:11">
      <c r="A1344" s="2" t="s">
        <v>687</v>
      </c>
      <c r="B1344" s="2" t="s">
        <v>2377</v>
      </c>
      <c r="C1344" s="9">
        <v>10049305</v>
      </c>
      <c r="D1344" s="2" t="s">
        <v>2378</v>
      </c>
      <c r="E1344" s="10">
        <v>12</v>
      </c>
      <c r="F1344" s="9" t="s">
        <v>955</v>
      </c>
      <c r="G1344" s="11">
        <v>46238</v>
      </c>
      <c r="H1344" s="12">
        <v>40.68</v>
      </c>
      <c r="I1344" s="12">
        <v>36.24</v>
      </c>
      <c r="J1344" s="9" t="s">
        <v>3</v>
      </c>
      <c r="K1344" s="8">
        <v>0</v>
      </c>
    </row>
    <row r="1345" spans="1:11">
      <c r="A1345" s="2" t="s">
        <v>687</v>
      </c>
      <c r="B1345" s="2" t="s">
        <v>2377</v>
      </c>
      <c r="C1345" s="9">
        <v>10049310</v>
      </c>
      <c r="D1345" s="2" t="s">
        <v>2379</v>
      </c>
      <c r="E1345" s="10">
        <v>12</v>
      </c>
      <c r="F1345" s="9" t="s">
        <v>955</v>
      </c>
      <c r="G1345" s="11">
        <v>46238</v>
      </c>
      <c r="H1345" s="12">
        <v>40.68</v>
      </c>
      <c r="I1345" s="12">
        <v>36.24</v>
      </c>
      <c r="J1345" s="9" t="s">
        <v>3</v>
      </c>
      <c r="K1345" s="8">
        <v>0</v>
      </c>
    </row>
    <row r="1346" spans="1:11">
      <c r="A1346" s="2" t="s">
        <v>687</v>
      </c>
      <c r="B1346" s="2" t="s">
        <v>2377</v>
      </c>
      <c r="C1346" s="9">
        <v>10049312</v>
      </c>
      <c r="D1346" s="2" t="s">
        <v>2380</v>
      </c>
      <c r="E1346" s="10">
        <v>12</v>
      </c>
      <c r="F1346" s="9" t="s">
        <v>955</v>
      </c>
      <c r="G1346" s="11">
        <v>46238</v>
      </c>
      <c r="H1346" s="12">
        <v>40.68</v>
      </c>
      <c r="I1346" s="12">
        <v>36.24</v>
      </c>
      <c r="J1346" s="9" t="s">
        <v>3</v>
      </c>
      <c r="K1346" s="8">
        <v>0</v>
      </c>
    </row>
    <row r="1347" spans="1:11">
      <c r="A1347" s="2" t="s">
        <v>687</v>
      </c>
      <c r="B1347" s="2" t="s">
        <v>2377</v>
      </c>
      <c r="C1347" s="9">
        <v>10049315</v>
      </c>
      <c r="D1347" s="2" t="s">
        <v>2381</v>
      </c>
      <c r="E1347" s="10">
        <v>12</v>
      </c>
      <c r="F1347" s="9" t="s">
        <v>955</v>
      </c>
      <c r="G1347" s="11">
        <v>46238</v>
      </c>
      <c r="H1347" s="12">
        <v>40.68</v>
      </c>
      <c r="I1347" s="12">
        <v>36.24</v>
      </c>
      <c r="J1347" s="9" t="s">
        <v>3</v>
      </c>
      <c r="K1347" s="8">
        <v>0</v>
      </c>
    </row>
    <row r="1348" spans="1:11">
      <c r="A1348" s="2" t="s">
        <v>687</v>
      </c>
      <c r="B1348" s="2" t="s">
        <v>2377</v>
      </c>
      <c r="C1348" s="9">
        <v>10049316</v>
      </c>
      <c r="D1348" s="2" t="s">
        <v>2382</v>
      </c>
      <c r="E1348" s="10">
        <v>12</v>
      </c>
      <c r="F1348" s="9" t="s">
        <v>955</v>
      </c>
      <c r="G1348" s="11">
        <v>46238</v>
      </c>
      <c r="H1348" s="12">
        <v>40.68</v>
      </c>
      <c r="I1348" s="12">
        <v>36.24</v>
      </c>
      <c r="J1348" s="9" t="s">
        <v>3</v>
      </c>
      <c r="K1348" s="8">
        <v>0</v>
      </c>
    </row>
    <row r="1349" spans="1:11">
      <c r="A1349" s="2" t="s">
        <v>687</v>
      </c>
      <c r="B1349" s="2" t="s">
        <v>2377</v>
      </c>
      <c r="C1349" s="9">
        <v>10049318</v>
      </c>
      <c r="D1349" s="2" t="s">
        <v>2383</v>
      </c>
      <c r="E1349" s="10">
        <v>12</v>
      </c>
      <c r="F1349" s="9" t="s">
        <v>955</v>
      </c>
      <c r="G1349" s="11">
        <v>46238</v>
      </c>
      <c r="H1349" s="12">
        <v>40.68</v>
      </c>
      <c r="I1349" s="12">
        <v>36.24</v>
      </c>
      <c r="J1349" s="9" t="s">
        <v>3</v>
      </c>
      <c r="K1349" s="8">
        <v>0</v>
      </c>
    </row>
    <row r="1350" spans="1:11">
      <c r="A1350" s="2" t="s">
        <v>687</v>
      </c>
      <c r="B1350" s="2" t="s">
        <v>2377</v>
      </c>
      <c r="C1350" s="9">
        <v>10049328</v>
      </c>
      <c r="D1350" s="2" t="s">
        <v>2384</v>
      </c>
      <c r="E1350" s="10">
        <v>12</v>
      </c>
      <c r="F1350" s="9" t="s">
        <v>955</v>
      </c>
      <c r="G1350" s="11">
        <v>46238</v>
      </c>
      <c r="H1350" s="12">
        <v>40.68</v>
      </c>
      <c r="I1350" s="12">
        <v>36.24</v>
      </c>
      <c r="J1350" s="9" t="s">
        <v>3</v>
      </c>
      <c r="K1350" s="8">
        <v>0</v>
      </c>
    </row>
    <row r="1351" spans="1:11">
      <c r="A1351" s="2" t="s">
        <v>1174</v>
      </c>
      <c r="B1351" s="2" t="s">
        <v>2385</v>
      </c>
      <c r="C1351" s="9">
        <v>10049749</v>
      </c>
      <c r="D1351" s="2" t="s">
        <v>2386</v>
      </c>
      <c r="E1351" s="10">
        <v>12</v>
      </c>
      <c r="F1351" s="9" t="s">
        <v>2387</v>
      </c>
      <c r="G1351" s="11">
        <v>46238</v>
      </c>
      <c r="H1351" s="12">
        <v>28.32</v>
      </c>
      <c r="I1351" s="12">
        <v>25.2</v>
      </c>
      <c r="J1351" s="9" t="s">
        <v>3</v>
      </c>
      <c r="K1351" s="8">
        <v>0</v>
      </c>
    </row>
    <row r="1352" spans="1:11">
      <c r="A1352" s="2" t="s">
        <v>687</v>
      </c>
      <c r="B1352" s="2" t="s">
        <v>2388</v>
      </c>
      <c r="C1352" s="9">
        <v>10050065</v>
      </c>
      <c r="D1352" s="2" t="s">
        <v>2389</v>
      </c>
      <c r="E1352" s="10">
        <v>8</v>
      </c>
      <c r="F1352" s="9" t="s">
        <v>1756</v>
      </c>
      <c r="G1352" s="11">
        <v>46238</v>
      </c>
      <c r="H1352" s="12">
        <v>25.13</v>
      </c>
      <c r="I1352" s="12">
        <v>22.37</v>
      </c>
      <c r="J1352" s="9" t="s">
        <v>3</v>
      </c>
      <c r="K1352" s="8">
        <v>0</v>
      </c>
    </row>
    <row r="1353" spans="1:11">
      <c r="A1353" s="2" t="s">
        <v>687</v>
      </c>
      <c r="B1353" s="2" t="s">
        <v>2388</v>
      </c>
      <c r="C1353" s="9">
        <v>10050066</v>
      </c>
      <c r="D1353" s="2" t="s">
        <v>2390</v>
      </c>
      <c r="E1353" s="10">
        <v>8</v>
      </c>
      <c r="F1353" s="9" t="s">
        <v>1756</v>
      </c>
      <c r="G1353" s="11">
        <v>46238</v>
      </c>
      <c r="H1353" s="12">
        <v>25.13</v>
      </c>
      <c r="I1353" s="12">
        <v>22.37</v>
      </c>
      <c r="J1353" s="9" t="s">
        <v>3</v>
      </c>
      <c r="K1353" s="8">
        <v>0</v>
      </c>
    </row>
    <row r="1354" spans="1:11">
      <c r="A1354" s="2" t="s">
        <v>687</v>
      </c>
      <c r="B1354" s="2" t="s">
        <v>2388</v>
      </c>
      <c r="C1354" s="9">
        <v>10050067</v>
      </c>
      <c r="D1354" s="2" t="s">
        <v>2391</v>
      </c>
      <c r="E1354" s="10">
        <v>8</v>
      </c>
      <c r="F1354" s="9" t="s">
        <v>1756</v>
      </c>
      <c r="G1354" s="11">
        <v>46238</v>
      </c>
      <c r="H1354" s="12">
        <v>25.13</v>
      </c>
      <c r="I1354" s="12">
        <v>22.37</v>
      </c>
      <c r="J1354" s="9" t="s">
        <v>3</v>
      </c>
      <c r="K1354" s="8">
        <v>0</v>
      </c>
    </row>
    <row r="1355" spans="1:11">
      <c r="A1355" s="2" t="s">
        <v>687</v>
      </c>
      <c r="B1355" s="2" t="s">
        <v>2388</v>
      </c>
      <c r="C1355" s="9">
        <v>10050068</v>
      </c>
      <c r="D1355" s="2" t="s">
        <v>2392</v>
      </c>
      <c r="E1355" s="10">
        <v>8</v>
      </c>
      <c r="F1355" s="9" t="s">
        <v>1756</v>
      </c>
      <c r="G1355" s="11">
        <v>46238</v>
      </c>
      <c r="H1355" s="12">
        <v>29</v>
      </c>
      <c r="I1355" s="12">
        <v>25.81</v>
      </c>
      <c r="J1355" s="9" t="s">
        <v>3</v>
      </c>
      <c r="K1355" s="8">
        <v>0</v>
      </c>
    </row>
    <row r="1356" spans="1:11">
      <c r="A1356" s="2" t="s">
        <v>687</v>
      </c>
      <c r="B1356" s="2" t="s">
        <v>2388</v>
      </c>
      <c r="C1356" s="9">
        <v>10050069</v>
      </c>
      <c r="D1356" s="2" t="s">
        <v>2393</v>
      </c>
      <c r="E1356" s="10">
        <v>8</v>
      </c>
      <c r="F1356" s="9" t="s">
        <v>1756</v>
      </c>
      <c r="G1356" s="11">
        <v>46238</v>
      </c>
      <c r="H1356" s="12">
        <v>29</v>
      </c>
      <c r="I1356" s="12">
        <v>25.81</v>
      </c>
      <c r="J1356" s="9" t="s">
        <v>3</v>
      </c>
      <c r="K1356" s="8">
        <v>0</v>
      </c>
    </row>
    <row r="1357" spans="1:11">
      <c r="A1357" s="2" t="s">
        <v>687</v>
      </c>
      <c r="B1357" s="2" t="s">
        <v>2388</v>
      </c>
      <c r="C1357" s="9">
        <v>10050070</v>
      </c>
      <c r="D1357" s="2" t="s">
        <v>2394</v>
      </c>
      <c r="E1357" s="10">
        <v>8</v>
      </c>
      <c r="F1357" s="9" t="s">
        <v>1756</v>
      </c>
      <c r="G1357" s="11">
        <v>46238</v>
      </c>
      <c r="H1357" s="12">
        <v>29</v>
      </c>
      <c r="I1357" s="12">
        <v>25.81</v>
      </c>
      <c r="J1357" s="9" t="s">
        <v>3</v>
      </c>
      <c r="K1357" s="8">
        <v>0</v>
      </c>
    </row>
    <row r="1358" spans="1:11">
      <c r="A1358" s="2" t="s">
        <v>687</v>
      </c>
      <c r="B1358" s="2" t="s">
        <v>2388</v>
      </c>
      <c r="C1358" s="9">
        <v>10050174</v>
      </c>
      <c r="D1358" s="2" t="s">
        <v>2395</v>
      </c>
      <c r="E1358" s="10">
        <v>8</v>
      </c>
      <c r="F1358" s="9" t="s">
        <v>1756</v>
      </c>
      <c r="G1358" s="11">
        <v>46238</v>
      </c>
      <c r="H1358" s="12">
        <v>29</v>
      </c>
      <c r="I1358" s="12">
        <v>25.81</v>
      </c>
      <c r="J1358" s="9" t="s">
        <v>3</v>
      </c>
      <c r="K1358" s="8">
        <v>0</v>
      </c>
    </row>
    <row r="1359" spans="1:11">
      <c r="A1359" s="2" t="s">
        <v>687</v>
      </c>
      <c r="B1359" s="2" t="s">
        <v>2388</v>
      </c>
      <c r="C1359" s="9">
        <v>10050197</v>
      </c>
      <c r="D1359" s="2" t="s">
        <v>2396</v>
      </c>
      <c r="E1359" s="10">
        <v>8</v>
      </c>
      <c r="F1359" s="9" t="s">
        <v>1756</v>
      </c>
      <c r="G1359" s="11">
        <v>46238</v>
      </c>
      <c r="H1359" s="12">
        <v>25.13</v>
      </c>
      <c r="I1359" s="12">
        <v>22.37</v>
      </c>
      <c r="J1359" s="9" t="s">
        <v>3</v>
      </c>
      <c r="K1359" s="8">
        <v>0</v>
      </c>
    </row>
    <row r="1360" spans="1:11">
      <c r="A1360" s="2" t="s">
        <v>663</v>
      </c>
      <c r="B1360" s="2" t="s">
        <v>2397</v>
      </c>
      <c r="C1360" s="9">
        <v>10050270</v>
      </c>
      <c r="D1360" s="2" t="s">
        <v>2398</v>
      </c>
      <c r="E1360" s="10">
        <v>12</v>
      </c>
      <c r="F1360" s="9" t="s">
        <v>770</v>
      </c>
      <c r="G1360" s="11">
        <v>46238</v>
      </c>
      <c r="H1360" s="12">
        <v>135.33000000000001</v>
      </c>
      <c r="I1360" s="12">
        <v>120.44</v>
      </c>
      <c r="J1360" s="9" t="s">
        <v>3</v>
      </c>
      <c r="K1360" s="8">
        <v>0</v>
      </c>
    </row>
    <row r="1361" spans="1:11">
      <c r="A1361" s="2" t="s">
        <v>663</v>
      </c>
      <c r="B1361" s="2" t="s">
        <v>2397</v>
      </c>
      <c r="C1361" s="9">
        <v>10050271</v>
      </c>
      <c r="D1361" s="2" t="s">
        <v>2399</v>
      </c>
      <c r="E1361" s="10">
        <v>12</v>
      </c>
      <c r="F1361" s="9" t="s">
        <v>770</v>
      </c>
      <c r="G1361" s="11">
        <v>46238</v>
      </c>
      <c r="H1361" s="12">
        <v>135.33000000000001</v>
      </c>
      <c r="I1361" s="12">
        <v>120.44</v>
      </c>
      <c r="J1361" s="9" t="s">
        <v>3</v>
      </c>
      <c r="K1361" s="8">
        <v>0</v>
      </c>
    </row>
    <row r="1362" spans="1:11">
      <c r="A1362" s="2" t="s">
        <v>663</v>
      </c>
      <c r="B1362" s="2" t="s">
        <v>2397</v>
      </c>
      <c r="C1362" s="9">
        <v>10050279</v>
      </c>
      <c r="D1362" s="2" t="s">
        <v>2400</v>
      </c>
      <c r="E1362" s="10">
        <v>1</v>
      </c>
      <c r="F1362" s="9" t="s">
        <v>1428</v>
      </c>
      <c r="G1362" s="11">
        <v>46238</v>
      </c>
      <c r="H1362" s="12">
        <v>61.29</v>
      </c>
      <c r="I1362" s="12">
        <v>54.55</v>
      </c>
      <c r="J1362" s="9" t="s">
        <v>3</v>
      </c>
      <c r="K1362" s="8">
        <v>0</v>
      </c>
    </row>
    <row r="1363" spans="1:11">
      <c r="A1363" s="2" t="s">
        <v>607</v>
      </c>
      <c r="B1363" s="2" t="s">
        <v>2401</v>
      </c>
      <c r="C1363" s="9">
        <v>10050282</v>
      </c>
      <c r="D1363" s="2" t="s">
        <v>2402</v>
      </c>
      <c r="E1363" s="10">
        <v>6</v>
      </c>
      <c r="F1363" s="9" t="s">
        <v>2403</v>
      </c>
      <c r="G1363" s="11">
        <v>46238</v>
      </c>
      <c r="H1363" s="12">
        <v>30.97</v>
      </c>
      <c r="I1363" s="12">
        <v>27.56</v>
      </c>
      <c r="J1363" s="9" t="s">
        <v>3</v>
      </c>
      <c r="K1363" s="8">
        <v>0</v>
      </c>
    </row>
    <row r="1364" spans="1:11">
      <c r="A1364" s="2" t="s">
        <v>607</v>
      </c>
      <c r="B1364" s="2" t="s">
        <v>2401</v>
      </c>
      <c r="C1364" s="9">
        <v>10050292</v>
      </c>
      <c r="D1364" s="2" t="s">
        <v>2404</v>
      </c>
      <c r="E1364" s="10">
        <v>6</v>
      </c>
      <c r="F1364" s="9" t="s">
        <v>2403</v>
      </c>
      <c r="G1364" s="11">
        <v>46238</v>
      </c>
      <c r="H1364" s="12">
        <v>30.97</v>
      </c>
      <c r="I1364" s="12">
        <v>27.56</v>
      </c>
      <c r="J1364" s="9" t="s">
        <v>3</v>
      </c>
      <c r="K1364" s="8">
        <v>0</v>
      </c>
    </row>
    <row r="1365" spans="1:11">
      <c r="A1365" s="2" t="s">
        <v>607</v>
      </c>
      <c r="B1365" s="2" t="s">
        <v>2401</v>
      </c>
      <c r="C1365" s="9">
        <v>10050293</v>
      </c>
      <c r="D1365" s="2" t="s">
        <v>2405</v>
      </c>
      <c r="E1365" s="10">
        <v>6</v>
      </c>
      <c r="F1365" s="9" t="s">
        <v>2403</v>
      </c>
      <c r="G1365" s="11">
        <v>46238</v>
      </c>
      <c r="H1365" s="12">
        <v>30.97</v>
      </c>
      <c r="I1365" s="12">
        <v>27.56</v>
      </c>
      <c r="J1365" s="9" t="s">
        <v>3</v>
      </c>
      <c r="K1365" s="8">
        <v>0</v>
      </c>
    </row>
    <row r="1366" spans="1:11">
      <c r="A1366" s="2" t="s">
        <v>663</v>
      </c>
      <c r="B1366" s="2" t="s">
        <v>2397</v>
      </c>
      <c r="C1366" s="9">
        <v>10050306</v>
      </c>
      <c r="D1366" s="2" t="s">
        <v>2406</v>
      </c>
      <c r="E1366" s="10">
        <v>6</v>
      </c>
      <c r="F1366" s="9" t="s">
        <v>1015</v>
      </c>
      <c r="G1366" s="11">
        <v>46238</v>
      </c>
      <c r="H1366" s="12">
        <v>42.52</v>
      </c>
      <c r="I1366" s="12">
        <v>37.840000000000003</v>
      </c>
      <c r="J1366" s="9" t="s">
        <v>3</v>
      </c>
      <c r="K1366" s="8">
        <v>0</v>
      </c>
    </row>
    <row r="1367" spans="1:11">
      <c r="A1367" s="2" t="s">
        <v>663</v>
      </c>
      <c r="B1367" s="2" t="s">
        <v>2397</v>
      </c>
      <c r="C1367" s="9">
        <v>10050308</v>
      </c>
      <c r="D1367" s="2" t="s">
        <v>2407</v>
      </c>
      <c r="E1367" s="10">
        <v>6</v>
      </c>
      <c r="F1367" s="9" t="s">
        <v>763</v>
      </c>
      <c r="G1367" s="11">
        <v>46238</v>
      </c>
      <c r="H1367" s="12">
        <v>46.76</v>
      </c>
      <c r="I1367" s="12">
        <v>41.62</v>
      </c>
      <c r="J1367" s="9" t="s">
        <v>3</v>
      </c>
      <c r="K1367" s="8">
        <v>0</v>
      </c>
    </row>
    <row r="1368" spans="1:11">
      <c r="A1368" s="2" t="s">
        <v>607</v>
      </c>
      <c r="B1368" s="2" t="s">
        <v>2401</v>
      </c>
      <c r="C1368" s="9">
        <v>10050323</v>
      </c>
      <c r="D1368" s="2" t="s">
        <v>2408</v>
      </c>
      <c r="E1368" s="10">
        <v>6</v>
      </c>
      <c r="F1368" s="9" t="s">
        <v>1315</v>
      </c>
      <c r="G1368" s="11">
        <v>46238</v>
      </c>
      <c r="H1368" s="12">
        <v>34.57</v>
      </c>
      <c r="I1368" s="12">
        <v>30.77</v>
      </c>
      <c r="J1368" s="9" t="s">
        <v>3</v>
      </c>
      <c r="K1368" s="8">
        <v>0</v>
      </c>
    </row>
    <row r="1369" spans="1:11">
      <c r="A1369" s="2" t="s">
        <v>607</v>
      </c>
      <c r="B1369" s="2" t="s">
        <v>2401</v>
      </c>
      <c r="C1369" s="9">
        <v>10050324</v>
      </c>
      <c r="D1369" s="2" t="s">
        <v>2409</v>
      </c>
      <c r="E1369" s="10">
        <v>2</v>
      </c>
      <c r="F1369" s="9" t="s">
        <v>2410</v>
      </c>
      <c r="G1369" s="11">
        <v>46238</v>
      </c>
      <c r="H1369" s="12">
        <v>84.46</v>
      </c>
      <c r="I1369" s="12">
        <v>75.17</v>
      </c>
      <c r="J1369" s="9" t="s">
        <v>3</v>
      </c>
      <c r="K1369" s="8">
        <v>0</v>
      </c>
    </row>
    <row r="1370" spans="1:11">
      <c r="A1370" s="2" t="s">
        <v>607</v>
      </c>
      <c r="B1370" s="2" t="s">
        <v>2401</v>
      </c>
      <c r="C1370" s="9">
        <v>10050325</v>
      </c>
      <c r="D1370" s="2" t="s">
        <v>2411</v>
      </c>
      <c r="E1370" s="10">
        <v>6</v>
      </c>
      <c r="F1370" s="9" t="s">
        <v>1315</v>
      </c>
      <c r="G1370" s="11">
        <v>46238</v>
      </c>
      <c r="H1370" s="12">
        <v>34.57</v>
      </c>
      <c r="I1370" s="12">
        <v>30.77</v>
      </c>
      <c r="J1370" s="9" t="s">
        <v>3</v>
      </c>
      <c r="K1370" s="8">
        <v>0</v>
      </c>
    </row>
    <row r="1371" spans="1:11">
      <c r="A1371" s="2" t="s">
        <v>607</v>
      </c>
      <c r="B1371" s="2" t="s">
        <v>2401</v>
      </c>
      <c r="C1371" s="9">
        <v>10050331</v>
      </c>
      <c r="D1371" s="2" t="s">
        <v>2412</v>
      </c>
      <c r="E1371" s="10">
        <v>6</v>
      </c>
      <c r="F1371" s="9" t="s">
        <v>2403</v>
      </c>
      <c r="G1371" s="11">
        <v>46238</v>
      </c>
      <c r="H1371" s="12">
        <v>30.97</v>
      </c>
      <c r="I1371" s="12">
        <v>27.56</v>
      </c>
      <c r="J1371" s="9" t="s">
        <v>3</v>
      </c>
      <c r="K1371" s="8">
        <v>0</v>
      </c>
    </row>
    <row r="1372" spans="1:11">
      <c r="A1372" s="2" t="s">
        <v>607</v>
      </c>
      <c r="B1372" s="2" t="s">
        <v>2401</v>
      </c>
      <c r="C1372" s="9">
        <v>10050337</v>
      </c>
      <c r="D1372" s="2" t="s">
        <v>2413</v>
      </c>
      <c r="E1372" s="10">
        <v>6</v>
      </c>
      <c r="F1372" s="9" t="s">
        <v>2403</v>
      </c>
      <c r="G1372" s="11">
        <v>46238</v>
      </c>
      <c r="H1372" s="12">
        <v>30.97</v>
      </c>
      <c r="I1372" s="12">
        <v>27.56</v>
      </c>
      <c r="J1372" s="9" t="s">
        <v>3</v>
      </c>
      <c r="K1372" s="8">
        <v>0</v>
      </c>
    </row>
    <row r="1373" spans="1:11">
      <c r="A1373" s="2" t="s">
        <v>607</v>
      </c>
      <c r="B1373" s="2" t="s">
        <v>2401</v>
      </c>
      <c r="C1373" s="9">
        <v>10050339</v>
      </c>
      <c r="D1373" s="2" t="s">
        <v>2414</v>
      </c>
      <c r="E1373" s="10">
        <v>6</v>
      </c>
      <c r="F1373" s="9" t="s">
        <v>2403</v>
      </c>
      <c r="G1373" s="11">
        <v>46238</v>
      </c>
      <c r="H1373" s="12">
        <v>30.97</v>
      </c>
      <c r="I1373" s="12">
        <v>27.56</v>
      </c>
      <c r="J1373" s="9" t="s">
        <v>3</v>
      </c>
      <c r="K1373" s="8">
        <v>0</v>
      </c>
    </row>
    <row r="1374" spans="1:11">
      <c r="A1374" s="2" t="s">
        <v>663</v>
      </c>
      <c r="B1374" s="2" t="s">
        <v>2397</v>
      </c>
      <c r="C1374" s="9">
        <v>10050435</v>
      </c>
      <c r="D1374" s="2" t="s">
        <v>2415</v>
      </c>
      <c r="E1374" s="10">
        <v>6</v>
      </c>
      <c r="F1374" s="9" t="s">
        <v>770</v>
      </c>
      <c r="G1374" s="11">
        <v>46238</v>
      </c>
      <c r="H1374" s="12">
        <v>42.01</v>
      </c>
      <c r="I1374" s="12">
        <v>37.39</v>
      </c>
      <c r="J1374" s="9" t="s">
        <v>3</v>
      </c>
      <c r="K1374" s="8">
        <v>0</v>
      </c>
    </row>
    <row r="1375" spans="1:11">
      <c r="A1375" s="2" t="s">
        <v>663</v>
      </c>
      <c r="B1375" s="2" t="s">
        <v>2397</v>
      </c>
      <c r="C1375" s="9">
        <v>10050436</v>
      </c>
      <c r="D1375" s="2" t="s">
        <v>2416</v>
      </c>
      <c r="E1375" s="10">
        <v>6</v>
      </c>
      <c r="F1375" s="9" t="s">
        <v>770</v>
      </c>
      <c r="G1375" s="11">
        <v>46238</v>
      </c>
      <c r="H1375" s="12">
        <v>42.01</v>
      </c>
      <c r="I1375" s="12">
        <v>37.39</v>
      </c>
      <c r="J1375" s="9" t="s">
        <v>3</v>
      </c>
      <c r="K1375" s="8">
        <v>0</v>
      </c>
    </row>
    <row r="1376" spans="1:11">
      <c r="A1376" s="2" t="s">
        <v>663</v>
      </c>
      <c r="B1376" s="2" t="s">
        <v>2397</v>
      </c>
      <c r="C1376" s="9">
        <v>10050437</v>
      </c>
      <c r="D1376" s="2" t="s">
        <v>2417</v>
      </c>
      <c r="E1376" s="10">
        <v>6</v>
      </c>
      <c r="F1376" s="9" t="s">
        <v>763</v>
      </c>
      <c r="G1376" s="11">
        <v>46238</v>
      </c>
      <c r="H1376" s="12">
        <v>49.53</v>
      </c>
      <c r="I1376" s="12">
        <v>44.08</v>
      </c>
      <c r="J1376" s="9" t="s">
        <v>3</v>
      </c>
      <c r="K1376" s="8">
        <v>0</v>
      </c>
    </row>
    <row r="1377" spans="1:11">
      <c r="A1377" s="2" t="s">
        <v>851</v>
      </c>
      <c r="B1377" s="2" t="s">
        <v>2418</v>
      </c>
      <c r="C1377" s="9">
        <v>10050460</v>
      </c>
      <c r="D1377" s="2" t="s">
        <v>2419</v>
      </c>
      <c r="E1377" s="10">
        <v>12</v>
      </c>
      <c r="F1377" s="9" t="s">
        <v>770</v>
      </c>
      <c r="G1377" s="11">
        <v>46238</v>
      </c>
      <c r="H1377" s="12">
        <v>49.51</v>
      </c>
      <c r="I1377" s="12">
        <v>44.09</v>
      </c>
      <c r="J1377" s="9" t="s">
        <v>3</v>
      </c>
      <c r="K1377" s="8">
        <v>0</v>
      </c>
    </row>
    <row r="1378" spans="1:11">
      <c r="A1378" s="2" t="s">
        <v>851</v>
      </c>
      <c r="B1378" s="2" t="s">
        <v>2418</v>
      </c>
      <c r="C1378" s="9">
        <v>10050462</v>
      </c>
      <c r="D1378" s="2" t="s">
        <v>2420</v>
      </c>
      <c r="E1378" s="10">
        <v>6</v>
      </c>
      <c r="F1378" s="9" t="s">
        <v>1797</v>
      </c>
      <c r="G1378" s="11">
        <v>46238</v>
      </c>
      <c r="H1378" s="12">
        <v>25.66</v>
      </c>
      <c r="I1378" s="12">
        <v>22.82</v>
      </c>
      <c r="J1378" s="9" t="s">
        <v>3</v>
      </c>
      <c r="K1378" s="8">
        <v>0</v>
      </c>
    </row>
    <row r="1379" spans="1:11">
      <c r="A1379" s="2" t="s">
        <v>851</v>
      </c>
      <c r="B1379" s="2" t="s">
        <v>2418</v>
      </c>
      <c r="C1379" s="9">
        <v>10050463</v>
      </c>
      <c r="D1379" s="2" t="s">
        <v>2421</v>
      </c>
      <c r="E1379" s="10">
        <v>6</v>
      </c>
      <c r="F1379" s="9" t="s">
        <v>1797</v>
      </c>
      <c r="G1379" s="11">
        <v>46238</v>
      </c>
      <c r="H1379" s="12">
        <v>25.66</v>
      </c>
      <c r="I1379" s="12">
        <v>22.82</v>
      </c>
      <c r="J1379" s="9" t="s">
        <v>3</v>
      </c>
      <c r="K1379" s="8">
        <v>0</v>
      </c>
    </row>
    <row r="1380" spans="1:11">
      <c r="A1380" s="2" t="s">
        <v>851</v>
      </c>
      <c r="B1380" s="2" t="s">
        <v>2418</v>
      </c>
      <c r="C1380" s="9">
        <v>10050464</v>
      </c>
      <c r="D1380" s="2" t="s">
        <v>2422</v>
      </c>
      <c r="E1380" s="10">
        <v>6</v>
      </c>
      <c r="F1380" s="9" t="s">
        <v>1797</v>
      </c>
      <c r="G1380" s="11">
        <v>46238</v>
      </c>
      <c r="H1380" s="12">
        <v>25.66</v>
      </c>
      <c r="I1380" s="12">
        <v>22.82</v>
      </c>
      <c r="J1380" s="9" t="s">
        <v>3</v>
      </c>
      <c r="K1380" s="8">
        <v>0</v>
      </c>
    </row>
    <row r="1381" spans="1:11">
      <c r="A1381" s="2" t="s">
        <v>851</v>
      </c>
      <c r="B1381" s="2" t="s">
        <v>2418</v>
      </c>
      <c r="C1381" s="9">
        <v>10050467</v>
      </c>
      <c r="D1381" s="2" t="s">
        <v>2423</v>
      </c>
      <c r="E1381" s="10">
        <v>6</v>
      </c>
      <c r="F1381" s="9" t="s">
        <v>1797</v>
      </c>
      <c r="G1381" s="11">
        <v>46238</v>
      </c>
      <c r="H1381" s="12">
        <v>25.66</v>
      </c>
      <c r="I1381" s="12">
        <v>22.82</v>
      </c>
      <c r="J1381" s="9" t="s">
        <v>3</v>
      </c>
      <c r="K1381" s="8">
        <v>0</v>
      </c>
    </row>
    <row r="1382" spans="1:11">
      <c r="A1382" s="2" t="s">
        <v>687</v>
      </c>
      <c r="B1382" s="2" t="s">
        <v>2388</v>
      </c>
      <c r="C1382" s="9">
        <v>10050485</v>
      </c>
      <c r="D1382" s="2" t="s">
        <v>2424</v>
      </c>
      <c r="E1382" s="10">
        <v>6</v>
      </c>
      <c r="F1382" s="9" t="s">
        <v>1906</v>
      </c>
      <c r="G1382" s="11">
        <v>46238</v>
      </c>
      <c r="H1382" s="12">
        <v>29.04</v>
      </c>
      <c r="I1382" s="12">
        <v>25.85</v>
      </c>
      <c r="J1382" s="9" t="s">
        <v>3</v>
      </c>
      <c r="K1382" s="8">
        <v>0</v>
      </c>
    </row>
    <row r="1383" spans="1:11">
      <c r="A1383" s="2" t="s">
        <v>687</v>
      </c>
      <c r="B1383" s="2" t="s">
        <v>2388</v>
      </c>
      <c r="C1383" s="9">
        <v>10050486</v>
      </c>
      <c r="D1383" s="2" t="s">
        <v>2425</v>
      </c>
      <c r="E1383" s="10">
        <v>6</v>
      </c>
      <c r="F1383" s="9" t="s">
        <v>1906</v>
      </c>
      <c r="G1383" s="11">
        <v>46238</v>
      </c>
      <c r="H1383" s="12">
        <v>29.04</v>
      </c>
      <c r="I1383" s="12">
        <v>25.85</v>
      </c>
      <c r="J1383" s="9" t="s">
        <v>3</v>
      </c>
      <c r="K1383" s="8">
        <v>0</v>
      </c>
    </row>
    <row r="1384" spans="1:11">
      <c r="A1384" s="2" t="s">
        <v>687</v>
      </c>
      <c r="B1384" s="2" t="s">
        <v>2388</v>
      </c>
      <c r="C1384" s="9">
        <v>10050487</v>
      </c>
      <c r="D1384" s="2" t="s">
        <v>2426</v>
      </c>
      <c r="E1384" s="10">
        <v>6</v>
      </c>
      <c r="F1384" s="9" t="s">
        <v>1906</v>
      </c>
      <c r="G1384" s="11">
        <v>46238</v>
      </c>
      <c r="H1384" s="12">
        <v>29.04</v>
      </c>
      <c r="I1384" s="12">
        <v>25.85</v>
      </c>
      <c r="J1384" s="9" t="s">
        <v>3</v>
      </c>
      <c r="K1384" s="8">
        <v>0</v>
      </c>
    </row>
    <row r="1385" spans="1:11">
      <c r="A1385" s="2" t="s">
        <v>925</v>
      </c>
      <c r="B1385" s="2" t="s">
        <v>1601</v>
      </c>
      <c r="C1385" s="9">
        <v>10050530</v>
      </c>
      <c r="D1385" s="2" t="s">
        <v>2427</v>
      </c>
      <c r="E1385" s="10">
        <v>20</v>
      </c>
      <c r="F1385" s="9" t="s">
        <v>866</v>
      </c>
      <c r="G1385" s="11">
        <v>46238</v>
      </c>
      <c r="H1385" s="12">
        <v>136.30000000000001</v>
      </c>
      <c r="I1385" s="12">
        <v>121.3</v>
      </c>
      <c r="J1385" s="9" t="s">
        <v>3</v>
      </c>
      <c r="K1385" s="8">
        <v>0</v>
      </c>
    </row>
    <row r="1386" spans="1:11">
      <c r="A1386" s="2" t="s">
        <v>919</v>
      </c>
      <c r="B1386" s="2" t="s">
        <v>2428</v>
      </c>
      <c r="C1386" s="9">
        <v>10050549</v>
      </c>
      <c r="D1386" s="2" t="s">
        <v>2429</v>
      </c>
      <c r="E1386" s="10">
        <v>2</v>
      </c>
      <c r="F1386" s="9" t="s">
        <v>2430</v>
      </c>
      <c r="G1386" s="11">
        <v>46238</v>
      </c>
      <c r="H1386" s="12">
        <v>342.26</v>
      </c>
      <c r="I1386" s="12">
        <v>304.62</v>
      </c>
      <c r="J1386" s="9" t="s">
        <v>3</v>
      </c>
      <c r="K1386" s="8">
        <v>0</v>
      </c>
    </row>
    <row r="1387" spans="1:11">
      <c r="A1387" s="2" t="s">
        <v>919</v>
      </c>
      <c r="B1387" s="2" t="s">
        <v>920</v>
      </c>
      <c r="C1387" s="9">
        <v>10050565</v>
      </c>
      <c r="D1387" s="2" t="s">
        <v>2431</v>
      </c>
      <c r="E1387" s="10">
        <v>12</v>
      </c>
      <c r="F1387" s="9" t="s">
        <v>2432</v>
      </c>
      <c r="G1387" s="11">
        <v>46238</v>
      </c>
      <c r="H1387" s="12">
        <v>53.16</v>
      </c>
      <c r="I1387" s="12">
        <v>47.28</v>
      </c>
      <c r="J1387" s="9" t="s">
        <v>3</v>
      </c>
      <c r="K1387" s="8">
        <v>0</v>
      </c>
    </row>
    <row r="1388" spans="1:11">
      <c r="A1388" s="2" t="s">
        <v>919</v>
      </c>
      <c r="B1388" s="2" t="s">
        <v>920</v>
      </c>
      <c r="C1388" s="9">
        <v>10050566</v>
      </c>
      <c r="D1388" s="2" t="s">
        <v>2433</v>
      </c>
      <c r="E1388" s="10">
        <v>2</v>
      </c>
      <c r="F1388" s="9" t="s">
        <v>2430</v>
      </c>
      <c r="G1388" s="11">
        <v>46238</v>
      </c>
      <c r="H1388" s="12">
        <v>284.12</v>
      </c>
      <c r="I1388" s="12">
        <v>252.86</v>
      </c>
      <c r="J1388" s="9" t="s">
        <v>3</v>
      </c>
      <c r="K1388" s="8">
        <v>0</v>
      </c>
    </row>
    <row r="1389" spans="1:11">
      <c r="A1389" s="2" t="s">
        <v>919</v>
      </c>
      <c r="B1389" s="2" t="s">
        <v>920</v>
      </c>
      <c r="C1389" s="9">
        <v>10050567</v>
      </c>
      <c r="D1389" s="2" t="s">
        <v>2434</v>
      </c>
      <c r="E1389" s="10">
        <v>4</v>
      </c>
      <c r="F1389" s="9" t="s">
        <v>2435</v>
      </c>
      <c r="G1389" s="11">
        <v>46238</v>
      </c>
      <c r="H1389" s="12">
        <v>284.12</v>
      </c>
      <c r="I1389" s="12">
        <v>252.88</v>
      </c>
      <c r="J1389" s="9" t="s">
        <v>3</v>
      </c>
      <c r="K1389" s="8">
        <v>0</v>
      </c>
    </row>
    <row r="1390" spans="1:11">
      <c r="A1390" s="2" t="s">
        <v>919</v>
      </c>
      <c r="B1390" s="2" t="s">
        <v>2428</v>
      </c>
      <c r="C1390" s="9">
        <v>10050568</v>
      </c>
      <c r="D1390" s="2" t="s">
        <v>2436</v>
      </c>
      <c r="E1390" s="10">
        <v>4</v>
      </c>
      <c r="F1390" s="9" t="s">
        <v>2437</v>
      </c>
      <c r="G1390" s="11">
        <v>46238</v>
      </c>
      <c r="H1390" s="12">
        <v>39.92</v>
      </c>
      <c r="I1390" s="12">
        <v>35.520000000000003</v>
      </c>
      <c r="J1390" s="9" t="s">
        <v>3</v>
      </c>
      <c r="K1390" s="8">
        <v>0</v>
      </c>
    </row>
    <row r="1391" spans="1:11">
      <c r="A1391" s="2" t="s">
        <v>919</v>
      </c>
      <c r="B1391" s="2" t="s">
        <v>2428</v>
      </c>
      <c r="C1391" s="9">
        <v>10050569</v>
      </c>
      <c r="D1391" s="2" t="s">
        <v>2438</v>
      </c>
      <c r="E1391" s="10">
        <v>1</v>
      </c>
      <c r="F1391" s="9" t="s">
        <v>2432</v>
      </c>
      <c r="G1391" s="11">
        <v>46238</v>
      </c>
      <c r="H1391" s="12">
        <v>38.299999999999997</v>
      </c>
      <c r="I1391" s="12">
        <v>34.090000000000003</v>
      </c>
      <c r="J1391" s="9" t="s">
        <v>3</v>
      </c>
      <c r="K1391" s="8">
        <v>0</v>
      </c>
    </row>
    <row r="1392" spans="1:11">
      <c r="A1392" s="2" t="s">
        <v>919</v>
      </c>
      <c r="B1392" s="2" t="s">
        <v>2428</v>
      </c>
      <c r="C1392" s="9">
        <v>10050570</v>
      </c>
      <c r="D1392" s="2" t="s">
        <v>2439</v>
      </c>
      <c r="E1392" s="10">
        <v>12</v>
      </c>
      <c r="F1392" s="9" t="s">
        <v>2440</v>
      </c>
      <c r="G1392" s="11">
        <v>46238</v>
      </c>
      <c r="H1392" s="12">
        <v>45.72</v>
      </c>
      <c r="I1392" s="12">
        <v>40.68</v>
      </c>
      <c r="J1392" s="9" t="s">
        <v>3</v>
      </c>
      <c r="K1392" s="8">
        <v>0</v>
      </c>
    </row>
    <row r="1393" spans="1:11">
      <c r="A1393" s="2" t="s">
        <v>919</v>
      </c>
      <c r="B1393" s="2" t="s">
        <v>2428</v>
      </c>
      <c r="C1393" s="9">
        <v>10050571</v>
      </c>
      <c r="D1393" s="2" t="s">
        <v>2441</v>
      </c>
      <c r="E1393" s="10">
        <v>12</v>
      </c>
      <c r="F1393" s="9" t="s">
        <v>2432</v>
      </c>
      <c r="G1393" s="11">
        <v>46238</v>
      </c>
      <c r="H1393" s="12">
        <v>58.68</v>
      </c>
      <c r="I1393" s="12">
        <v>52.2</v>
      </c>
      <c r="J1393" s="9" t="s">
        <v>3</v>
      </c>
      <c r="K1393" s="8">
        <v>0</v>
      </c>
    </row>
    <row r="1394" spans="1:11">
      <c r="A1394" s="2" t="s">
        <v>919</v>
      </c>
      <c r="B1394" s="2" t="s">
        <v>920</v>
      </c>
      <c r="C1394" s="9">
        <v>10050572</v>
      </c>
      <c r="D1394" s="2" t="s">
        <v>2442</v>
      </c>
      <c r="E1394" s="10">
        <v>12</v>
      </c>
      <c r="F1394" s="9" t="s">
        <v>2432</v>
      </c>
      <c r="G1394" s="11">
        <v>46238</v>
      </c>
      <c r="H1394" s="12">
        <v>72.72</v>
      </c>
      <c r="I1394" s="12">
        <v>64.680000000000007</v>
      </c>
      <c r="J1394" s="9" t="s">
        <v>3</v>
      </c>
      <c r="K1394" s="8">
        <v>0</v>
      </c>
    </row>
    <row r="1395" spans="1:11">
      <c r="A1395" s="2" t="s">
        <v>919</v>
      </c>
      <c r="B1395" s="2" t="s">
        <v>2428</v>
      </c>
      <c r="C1395" s="9">
        <v>10050573</v>
      </c>
      <c r="D1395" s="2" t="s">
        <v>2443</v>
      </c>
      <c r="E1395" s="10">
        <v>10</v>
      </c>
      <c r="F1395" s="9" t="s">
        <v>2444</v>
      </c>
      <c r="G1395" s="11">
        <v>46238</v>
      </c>
      <c r="H1395" s="12">
        <v>61.4</v>
      </c>
      <c r="I1395" s="12">
        <v>54.6</v>
      </c>
      <c r="J1395" s="9" t="s">
        <v>3</v>
      </c>
      <c r="K1395" s="8">
        <v>0</v>
      </c>
    </row>
    <row r="1396" spans="1:11">
      <c r="A1396" s="2" t="s">
        <v>919</v>
      </c>
      <c r="B1396" s="2" t="s">
        <v>920</v>
      </c>
      <c r="C1396" s="9">
        <v>10050574</v>
      </c>
      <c r="D1396" s="2" t="s">
        <v>2445</v>
      </c>
      <c r="E1396" s="10">
        <v>3</v>
      </c>
      <c r="F1396" s="9" t="s">
        <v>2446</v>
      </c>
      <c r="G1396" s="11">
        <v>46238</v>
      </c>
      <c r="H1396" s="12">
        <v>138.6</v>
      </c>
      <c r="I1396" s="12">
        <v>134.34</v>
      </c>
      <c r="J1396" s="9" t="s">
        <v>3</v>
      </c>
      <c r="K1396" s="8">
        <v>0</v>
      </c>
    </row>
    <row r="1397" spans="1:11">
      <c r="A1397" s="2" t="s">
        <v>919</v>
      </c>
      <c r="B1397" s="2" t="s">
        <v>920</v>
      </c>
      <c r="C1397" s="9">
        <v>10050575</v>
      </c>
      <c r="D1397" s="2" t="s">
        <v>2447</v>
      </c>
      <c r="E1397" s="10">
        <v>1</v>
      </c>
      <c r="F1397" s="9" t="s">
        <v>2448</v>
      </c>
      <c r="G1397" s="11">
        <v>46238</v>
      </c>
      <c r="H1397" s="12">
        <v>58.11</v>
      </c>
      <c r="I1397" s="12">
        <v>51.72</v>
      </c>
      <c r="J1397" s="9" t="s">
        <v>3</v>
      </c>
      <c r="K1397" s="8">
        <v>0</v>
      </c>
    </row>
    <row r="1398" spans="1:11">
      <c r="A1398" s="2" t="s">
        <v>919</v>
      </c>
      <c r="B1398" s="2" t="s">
        <v>920</v>
      </c>
      <c r="C1398" s="9">
        <v>10050576</v>
      </c>
      <c r="D1398" s="2" t="s">
        <v>2449</v>
      </c>
      <c r="E1398" s="10">
        <v>3</v>
      </c>
      <c r="F1398" s="9" t="s">
        <v>2450</v>
      </c>
      <c r="G1398" s="11">
        <v>46238</v>
      </c>
      <c r="H1398" s="12">
        <v>122.19</v>
      </c>
      <c r="I1398" s="12">
        <v>108.75</v>
      </c>
      <c r="J1398" s="9" t="s">
        <v>3</v>
      </c>
      <c r="K1398" s="8">
        <v>0</v>
      </c>
    </row>
    <row r="1399" spans="1:11">
      <c r="A1399" s="2" t="s">
        <v>919</v>
      </c>
      <c r="B1399" s="2" t="s">
        <v>920</v>
      </c>
      <c r="C1399" s="9">
        <v>10050577</v>
      </c>
      <c r="D1399" s="2" t="s">
        <v>2451</v>
      </c>
      <c r="E1399" s="10">
        <v>3</v>
      </c>
      <c r="F1399" s="9" t="s">
        <v>2452</v>
      </c>
      <c r="G1399" s="11">
        <v>46238</v>
      </c>
      <c r="H1399" s="12">
        <v>122.19</v>
      </c>
      <c r="I1399" s="12">
        <v>108.75</v>
      </c>
      <c r="J1399" s="9" t="s">
        <v>3</v>
      </c>
      <c r="K1399" s="8">
        <v>0</v>
      </c>
    </row>
    <row r="1400" spans="1:11">
      <c r="A1400" s="2" t="s">
        <v>919</v>
      </c>
      <c r="B1400" s="2" t="s">
        <v>2428</v>
      </c>
      <c r="C1400" s="9">
        <v>10050579</v>
      </c>
      <c r="D1400" s="2" t="s">
        <v>2453</v>
      </c>
      <c r="E1400" s="10">
        <v>1</v>
      </c>
      <c r="F1400" s="9" t="s">
        <v>2430</v>
      </c>
      <c r="G1400" s="11">
        <v>46238</v>
      </c>
      <c r="H1400" s="12">
        <v>126.71</v>
      </c>
      <c r="I1400" s="12">
        <v>112.77</v>
      </c>
      <c r="J1400" s="9" t="s">
        <v>3</v>
      </c>
      <c r="K1400" s="8">
        <v>0</v>
      </c>
    </row>
    <row r="1401" spans="1:11">
      <c r="A1401" s="2" t="s">
        <v>919</v>
      </c>
      <c r="B1401" s="2" t="s">
        <v>2428</v>
      </c>
      <c r="C1401" s="9">
        <v>10050581</v>
      </c>
      <c r="D1401" s="2" t="s">
        <v>2454</v>
      </c>
      <c r="E1401" s="10">
        <v>4</v>
      </c>
      <c r="F1401" s="9" t="s">
        <v>922</v>
      </c>
      <c r="G1401" s="11">
        <v>46238</v>
      </c>
      <c r="H1401" s="12">
        <v>219.96</v>
      </c>
      <c r="I1401" s="12">
        <v>195.76</v>
      </c>
      <c r="J1401" s="9" t="s">
        <v>3</v>
      </c>
      <c r="K1401" s="8">
        <v>0</v>
      </c>
    </row>
    <row r="1402" spans="1:11">
      <c r="A1402" s="2" t="s">
        <v>919</v>
      </c>
      <c r="B1402" s="2" t="s">
        <v>2428</v>
      </c>
      <c r="C1402" s="9">
        <v>10050582</v>
      </c>
      <c r="D1402" s="2" t="s">
        <v>2455</v>
      </c>
      <c r="E1402" s="10">
        <v>2</v>
      </c>
      <c r="F1402" s="9" t="s">
        <v>2430</v>
      </c>
      <c r="G1402" s="11">
        <v>46238</v>
      </c>
      <c r="H1402" s="12">
        <v>279.8</v>
      </c>
      <c r="I1402" s="12">
        <v>249.02</v>
      </c>
      <c r="J1402" s="9" t="s">
        <v>3</v>
      </c>
      <c r="K1402" s="8">
        <v>0</v>
      </c>
    </row>
    <row r="1403" spans="1:11">
      <c r="A1403" s="2" t="s">
        <v>919</v>
      </c>
      <c r="B1403" s="2" t="s">
        <v>2428</v>
      </c>
      <c r="C1403" s="9">
        <v>10050584</v>
      </c>
      <c r="D1403" s="2" t="s">
        <v>2456</v>
      </c>
      <c r="E1403" s="10">
        <v>2</v>
      </c>
      <c r="F1403" s="9" t="s">
        <v>924</v>
      </c>
      <c r="G1403" s="11">
        <v>46238</v>
      </c>
      <c r="H1403" s="12">
        <v>43.58</v>
      </c>
      <c r="I1403" s="12">
        <v>38.78</v>
      </c>
      <c r="J1403" s="9" t="s">
        <v>3</v>
      </c>
      <c r="K1403" s="8">
        <v>0</v>
      </c>
    </row>
    <row r="1404" spans="1:11">
      <c r="A1404" s="2" t="s">
        <v>919</v>
      </c>
      <c r="B1404" s="2" t="s">
        <v>2428</v>
      </c>
      <c r="C1404" s="9">
        <v>10050585</v>
      </c>
      <c r="D1404" s="2" t="s">
        <v>2457</v>
      </c>
      <c r="E1404" s="10">
        <v>2</v>
      </c>
      <c r="F1404" s="9" t="s">
        <v>924</v>
      </c>
      <c r="G1404" s="11">
        <v>46238</v>
      </c>
      <c r="H1404" s="12">
        <v>46.16</v>
      </c>
      <c r="I1404" s="12">
        <v>41.08</v>
      </c>
      <c r="J1404" s="9" t="s">
        <v>3</v>
      </c>
      <c r="K1404" s="8">
        <v>0</v>
      </c>
    </row>
    <row r="1405" spans="1:11">
      <c r="A1405" s="2" t="s">
        <v>919</v>
      </c>
      <c r="B1405" s="2" t="s">
        <v>920</v>
      </c>
      <c r="C1405" s="9">
        <v>10050586</v>
      </c>
      <c r="D1405" s="2" t="s">
        <v>2458</v>
      </c>
      <c r="E1405" s="10">
        <v>2</v>
      </c>
      <c r="F1405" s="9" t="s">
        <v>2459</v>
      </c>
      <c r="G1405" s="11">
        <v>46238</v>
      </c>
      <c r="H1405" s="12">
        <v>86.34</v>
      </c>
      <c r="I1405" s="12">
        <v>76.84</v>
      </c>
      <c r="J1405" s="9" t="s">
        <v>3</v>
      </c>
      <c r="K1405" s="8">
        <v>0</v>
      </c>
    </row>
    <row r="1406" spans="1:11">
      <c r="A1406" s="2" t="s">
        <v>919</v>
      </c>
      <c r="B1406" s="2" t="s">
        <v>920</v>
      </c>
      <c r="C1406" s="9">
        <v>10050587</v>
      </c>
      <c r="D1406" s="2" t="s">
        <v>2460</v>
      </c>
      <c r="E1406" s="10">
        <v>4</v>
      </c>
      <c r="F1406" s="9" t="s">
        <v>2459</v>
      </c>
      <c r="G1406" s="11">
        <v>46238</v>
      </c>
      <c r="H1406" s="12">
        <v>113.96</v>
      </c>
      <c r="I1406" s="12">
        <v>101.44</v>
      </c>
      <c r="J1406" s="9" t="s">
        <v>3</v>
      </c>
      <c r="K1406" s="8">
        <v>0</v>
      </c>
    </row>
    <row r="1407" spans="1:11">
      <c r="A1407" s="2" t="s">
        <v>919</v>
      </c>
      <c r="B1407" s="2" t="s">
        <v>920</v>
      </c>
      <c r="C1407" s="9">
        <v>10050588</v>
      </c>
      <c r="D1407" s="2" t="s">
        <v>2461</v>
      </c>
      <c r="E1407" s="10">
        <v>4</v>
      </c>
      <c r="F1407" s="9" t="s">
        <v>2459</v>
      </c>
      <c r="G1407" s="11">
        <v>46238</v>
      </c>
      <c r="H1407" s="12">
        <v>89.96</v>
      </c>
      <c r="I1407" s="12">
        <v>80.08</v>
      </c>
      <c r="J1407" s="9" t="s">
        <v>3</v>
      </c>
      <c r="K1407" s="8">
        <v>0</v>
      </c>
    </row>
    <row r="1408" spans="1:11">
      <c r="A1408" s="2" t="s">
        <v>919</v>
      </c>
      <c r="B1408" s="2" t="s">
        <v>920</v>
      </c>
      <c r="C1408" s="9">
        <v>10050589</v>
      </c>
      <c r="D1408" s="2" t="s">
        <v>2462</v>
      </c>
      <c r="E1408" s="10">
        <v>4</v>
      </c>
      <c r="F1408" s="9" t="s">
        <v>924</v>
      </c>
      <c r="G1408" s="11">
        <v>46238</v>
      </c>
      <c r="H1408" s="12">
        <v>65.48</v>
      </c>
      <c r="I1408" s="12">
        <v>58.28</v>
      </c>
      <c r="J1408" s="9" t="s">
        <v>3</v>
      </c>
      <c r="K1408" s="8">
        <v>0</v>
      </c>
    </row>
    <row r="1409" spans="1:11">
      <c r="A1409" s="2" t="s">
        <v>919</v>
      </c>
      <c r="B1409" s="2" t="s">
        <v>2428</v>
      </c>
      <c r="C1409" s="9">
        <v>10050590</v>
      </c>
      <c r="D1409" s="2" t="s">
        <v>2463</v>
      </c>
      <c r="E1409" s="10">
        <v>4</v>
      </c>
      <c r="F1409" s="9" t="s">
        <v>924</v>
      </c>
      <c r="G1409" s="11">
        <v>46238</v>
      </c>
      <c r="H1409" s="12">
        <v>68.400000000000006</v>
      </c>
      <c r="I1409" s="12">
        <v>60.88</v>
      </c>
      <c r="J1409" s="9" t="s">
        <v>3</v>
      </c>
      <c r="K1409" s="8">
        <v>0</v>
      </c>
    </row>
    <row r="1410" spans="1:11">
      <c r="A1410" s="2" t="s">
        <v>919</v>
      </c>
      <c r="B1410" s="2" t="s">
        <v>920</v>
      </c>
      <c r="C1410" s="9">
        <v>10050592</v>
      </c>
      <c r="D1410" s="2" t="s">
        <v>2464</v>
      </c>
      <c r="E1410" s="10">
        <v>4</v>
      </c>
      <c r="F1410" s="9" t="s">
        <v>2465</v>
      </c>
      <c r="G1410" s="11">
        <v>46238</v>
      </c>
      <c r="H1410" s="12">
        <v>219.36</v>
      </c>
      <c r="I1410" s="12">
        <v>195.24</v>
      </c>
      <c r="J1410" s="9" t="s">
        <v>3</v>
      </c>
      <c r="K1410" s="8">
        <v>0</v>
      </c>
    </row>
    <row r="1411" spans="1:11">
      <c r="A1411" s="2" t="s">
        <v>919</v>
      </c>
      <c r="B1411" s="2" t="s">
        <v>920</v>
      </c>
      <c r="C1411" s="9">
        <v>10050593</v>
      </c>
      <c r="D1411" s="2" t="s">
        <v>2466</v>
      </c>
      <c r="E1411" s="10">
        <v>4</v>
      </c>
      <c r="F1411" s="9" t="s">
        <v>2465</v>
      </c>
      <c r="G1411" s="11">
        <v>46238</v>
      </c>
      <c r="H1411" s="12">
        <v>247.4</v>
      </c>
      <c r="I1411" s="12">
        <v>220.2</v>
      </c>
      <c r="J1411" s="9" t="s">
        <v>3</v>
      </c>
      <c r="K1411" s="8">
        <v>0</v>
      </c>
    </row>
    <row r="1412" spans="1:11">
      <c r="A1412" s="2" t="s">
        <v>919</v>
      </c>
      <c r="B1412" s="2" t="s">
        <v>920</v>
      </c>
      <c r="C1412" s="9">
        <v>10050594</v>
      </c>
      <c r="D1412" s="2" t="s">
        <v>2467</v>
      </c>
      <c r="E1412" s="10">
        <v>4</v>
      </c>
      <c r="F1412" s="9" t="s">
        <v>2468</v>
      </c>
      <c r="G1412" s="11">
        <v>46238</v>
      </c>
      <c r="H1412" s="12">
        <v>43.76</v>
      </c>
      <c r="I1412" s="12">
        <v>38.96</v>
      </c>
      <c r="J1412" s="9" t="s">
        <v>3</v>
      </c>
      <c r="K1412" s="8">
        <v>0</v>
      </c>
    </row>
    <row r="1413" spans="1:11">
      <c r="A1413" s="2" t="s">
        <v>919</v>
      </c>
      <c r="B1413" s="2" t="s">
        <v>2469</v>
      </c>
      <c r="C1413" s="9">
        <v>10050599</v>
      </c>
      <c r="D1413" s="2" t="s">
        <v>2470</v>
      </c>
      <c r="E1413" s="10">
        <v>12</v>
      </c>
      <c r="F1413" s="9" t="s">
        <v>2468</v>
      </c>
      <c r="G1413" s="11">
        <v>46238</v>
      </c>
      <c r="H1413" s="12">
        <v>67.290000000000006</v>
      </c>
      <c r="I1413" s="12">
        <v>59.84</v>
      </c>
      <c r="J1413" s="9" t="s">
        <v>3</v>
      </c>
      <c r="K1413" s="8">
        <v>0</v>
      </c>
    </row>
    <row r="1414" spans="1:11">
      <c r="A1414" s="2" t="s">
        <v>919</v>
      </c>
      <c r="B1414" s="2" t="s">
        <v>2469</v>
      </c>
      <c r="C1414" s="9">
        <v>10050600</v>
      </c>
      <c r="D1414" s="2" t="s">
        <v>2471</v>
      </c>
      <c r="E1414" s="10">
        <v>12</v>
      </c>
      <c r="F1414" s="9" t="s">
        <v>2468</v>
      </c>
      <c r="G1414" s="11">
        <v>46238</v>
      </c>
      <c r="H1414" s="12">
        <v>71.91</v>
      </c>
      <c r="I1414" s="12">
        <v>63.95</v>
      </c>
      <c r="J1414" s="9" t="s">
        <v>3</v>
      </c>
      <c r="K1414" s="8">
        <v>0</v>
      </c>
    </row>
    <row r="1415" spans="1:11">
      <c r="A1415" s="2" t="s">
        <v>919</v>
      </c>
      <c r="B1415" s="2" t="s">
        <v>2469</v>
      </c>
      <c r="C1415" s="9">
        <v>10050601</v>
      </c>
      <c r="D1415" s="2" t="s">
        <v>2472</v>
      </c>
      <c r="E1415" s="10">
        <v>4</v>
      </c>
      <c r="F1415" s="9" t="s">
        <v>2473</v>
      </c>
      <c r="G1415" s="11">
        <v>46238</v>
      </c>
      <c r="H1415" s="12">
        <v>90.61</v>
      </c>
      <c r="I1415" s="12">
        <v>80.64</v>
      </c>
      <c r="J1415" s="9" t="s">
        <v>3</v>
      </c>
      <c r="K1415" s="8">
        <v>0</v>
      </c>
    </row>
    <row r="1416" spans="1:11">
      <c r="A1416" s="2" t="s">
        <v>919</v>
      </c>
      <c r="B1416" s="2" t="s">
        <v>2474</v>
      </c>
      <c r="C1416" s="9">
        <v>10050603</v>
      </c>
      <c r="D1416" s="2" t="s">
        <v>2475</v>
      </c>
      <c r="E1416" s="10">
        <v>3</v>
      </c>
      <c r="F1416" s="9" t="s">
        <v>2476</v>
      </c>
      <c r="G1416" s="11">
        <v>46238</v>
      </c>
      <c r="H1416" s="12">
        <v>105.93</v>
      </c>
      <c r="I1416" s="12">
        <v>94.28</v>
      </c>
      <c r="J1416" s="9" t="s">
        <v>3</v>
      </c>
      <c r="K1416" s="8">
        <v>0</v>
      </c>
    </row>
    <row r="1417" spans="1:11">
      <c r="A1417" s="2" t="s">
        <v>919</v>
      </c>
      <c r="B1417" s="2" t="s">
        <v>2474</v>
      </c>
      <c r="C1417" s="9">
        <v>10050604</v>
      </c>
      <c r="D1417" s="2" t="s">
        <v>2477</v>
      </c>
      <c r="E1417" s="10">
        <v>3</v>
      </c>
      <c r="F1417" s="9" t="s">
        <v>2476</v>
      </c>
      <c r="G1417" s="11">
        <v>46238</v>
      </c>
      <c r="H1417" s="12">
        <v>47.87</v>
      </c>
      <c r="I1417" s="12">
        <v>42.6</v>
      </c>
      <c r="J1417" s="9" t="s">
        <v>3</v>
      </c>
      <c r="K1417" s="8">
        <v>0</v>
      </c>
    </row>
    <row r="1418" spans="1:11">
      <c r="A1418" s="2" t="s">
        <v>919</v>
      </c>
      <c r="B1418" s="2" t="s">
        <v>920</v>
      </c>
      <c r="C1418" s="9">
        <v>10050606</v>
      </c>
      <c r="D1418" s="2" t="s">
        <v>2478</v>
      </c>
      <c r="E1418" s="10">
        <v>2</v>
      </c>
      <c r="F1418" s="9" t="s">
        <v>922</v>
      </c>
      <c r="G1418" s="11">
        <v>46238</v>
      </c>
      <c r="H1418" s="12">
        <v>178.52</v>
      </c>
      <c r="I1418" s="12">
        <v>158.88</v>
      </c>
      <c r="J1418" s="9" t="s">
        <v>3</v>
      </c>
      <c r="K1418" s="8">
        <v>0</v>
      </c>
    </row>
    <row r="1419" spans="1:11">
      <c r="A1419" s="2" t="s">
        <v>1174</v>
      </c>
      <c r="B1419" s="2" t="s">
        <v>2385</v>
      </c>
      <c r="C1419" s="9">
        <v>10050609</v>
      </c>
      <c r="D1419" s="2" t="s">
        <v>2479</v>
      </c>
      <c r="E1419" s="10">
        <v>12</v>
      </c>
      <c r="F1419" s="9" t="s">
        <v>2387</v>
      </c>
      <c r="G1419" s="11">
        <v>46238</v>
      </c>
      <c r="H1419" s="12">
        <v>23.64</v>
      </c>
      <c r="I1419" s="12">
        <v>21</v>
      </c>
      <c r="J1419" s="9" t="s">
        <v>3</v>
      </c>
      <c r="K1419" s="8">
        <v>0</v>
      </c>
    </row>
    <row r="1420" spans="1:11">
      <c r="A1420" s="2" t="s">
        <v>1174</v>
      </c>
      <c r="B1420" s="2" t="s">
        <v>2385</v>
      </c>
      <c r="C1420" s="9">
        <v>10050610</v>
      </c>
      <c r="D1420" s="2" t="s">
        <v>2480</v>
      </c>
      <c r="E1420" s="10">
        <v>12</v>
      </c>
      <c r="F1420" s="9" t="s">
        <v>2387</v>
      </c>
      <c r="G1420" s="11">
        <v>46238</v>
      </c>
      <c r="H1420" s="12">
        <v>23.64</v>
      </c>
      <c r="I1420" s="12">
        <v>21</v>
      </c>
      <c r="J1420" s="9" t="s">
        <v>3</v>
      </c>
      <c r="K1420" s="8">
        <v>0</v>
      </c>
    </row>
    <row r="1421" spans="1:11">
      <c r="A1421" s="2" t="s">
        <v>1174</v>
      </c>
      <c r="B1421" s="2" t="s">
        <v>2385</v>
      </c>
      <c r="C1421" s="9">
        <v>10050613</v>
      </c>
      <c r="D1421" s="2" t="s">
        <v>2481</v>
      </c>
      <c r="E1421" s="10">
        <v>12</v>
      </c>
      <c r="F1421" s="9" t="s">
        <v>2387</v>
      </c>
      <c r="G1421" s="11">
        <v>46238</v>
      </c>
      <c r="H1421" s="12">
        <v>23.64</v>
      </c>
      <c r="I1421" s="12">
        <v>21</v>
      </c>
      <c r="J1421" s="9" t="s">
        <v>3</v>
      </c>
      <c r="K1421" s="8">
        <v>0</v>
      </c>
    </row>
    <row r="1422" spans="1:11">
      <c r="A1422" s="2" t="s">
        <v>1174</v>
      </c>
      <c r="B1422" s="2" t="s">
        <v>2385</v>
      </c>
      <c r="C1422" s="9">
        <v>10050616</v>
      </c>
      <c r="D1422" s="2" t="s">
        <v>2482</v>
      </c>
      <c r="E1422" s="10">
        <v>12</v>
      </c>
      <c r="F1422" s="9" t="s">
        <v>2387</v>
      </c>
      <c r="G1422" s="11">
        <v>46238</v>
      </c>
      <c r="H1422" s="12">
        <v>23.64</v>
      </c>
      <c r="I1422" s="12">
        <v>21</v>
      </c>
      <c r="J1422" s="9" t="s">
        <v>3</v>
      </c>
      <c r="K1422" s="8">
        <v>0</v>
      </c>
    </row>
    <row r="1423" spans="1:11">
      <c r="A1423" s="2" t="s">
        <v>1174</v>
      </c>
      <c r="B1423" s="2" t="s">
        <v>2385</v>
      </c>
      <c r="C1423" s="9">
        <v>10050619</v>
      </c>
      <c r="D1423" s="2" t="s">
        <v>2483</v>
      </c>
      <c r="E1423" s="10">
        <v>12</v>
      </c>
      <c r="F1423" s="9" t="s">
        <v>2387</v>
      </c>
      <c r="G1423" s="11">
        <v>46238</v>
      </c>
      <c r="H1423" s="12">
        <v>23.64</v>
      </c>
      <c r="I1423" s="12">
        <v>21</v>
      </c>
      <c r="J1423" s="9" t="s">
        <v>3</v>
      </c>
      <c r="K1423" s="8">
        <v>0</v>
      </c>
    </row>
    <row r="1424" spans="1:11">
      <c r="A1424" s="2" t="s">
        <v>1174</v>
      </c>
      <c r="B1424" s="2" t="s">
        <v>2385</v>
      </c>
      <c r="C1424" s="9">
        <v>10050635</v>
      </c>
      <c r="D1424" s="2" t="s">
        <v>2484</v>
      </c>
      <c r="E1424" s="10">
        <v>12</v>
      </c>
      <c r="F1424" s="9" t="s">
        <v>2387</v>
      </c>
      <c r="G1424" s="11">
        <v>46238</v>
      </c>
      <c r="H1424" s="12">
        <v>25.38</v>
      </c>
      <c r="I1424" s="12">
        <v>22.54</v>
      </c>
      <c r="J1424" s="9" t="s">
        <v>3</v>
      </c>
      <c r="K1424" s="8">
        <v>0</v>
      </c>
    </row>
    <row r="1425" spans="1:11">
      <c r="A1425" s="2" t="s">
        <v>1174</v>
      </c>
      <c r="B1425" s="2" t="s">
        <v>2385</v>
      </c>
      <c r="C1425" s="9">
        <v>10050646</v>
      </c>
      <c r="D1425" s="2" t="s">
        <v>2485</v>
      </c>
      <c r="E1425" s="10">
        <v>12</v>
      </c>
      <c r="F1425" s="9" t="s">
        <v>1689</v>
      </c>
      <c r="G1425" s="11">
        <v>46238</v>
      </c>
      <c r="H1425" s="12">
        <v>27.72</v>
      </c>
      <c r="I1425" s="12">
        <v>24.72</v>
      </c>
      <c r="J1425" s="9" t="s">
        <v>3</v>
      </c>
      <c r="K1425" s="8">
        <v>0</v>
      </c>
    </row>
    <row r="1426" spans="1:11">
      <c r="A1426" s="2" t="s">
        <v>1174</v>
      </c>
      <c r="B1426" s="2" t="s">
        <v>2385</v>
      </c>
      <c r="C1426" s="9">
        <v>10050648</v>
      </c>
      <c r="D1426" s="2" t="s">
        <v>2486</v>
      </c>
      <c r="E1426" s="10">
        <v>12</v>
      </c>
      <c r="F1426" s="9" t="s">
        <v>1689</v>
      </c>
      <c r="G1426" s="11">
        <v>46238</v>
      </c>
      <c r="H1426" s="12">
        <v>27.72</v>
      </c>
      <c r="I1426" s="12">
        <v>24.72</v>
      </c>
      <c r="J1426" s="9" t="s">
        <v>3</v>
      </c>
      <c r="K1426" s="8">
        <v>0</v>
      </c>
    </row>
    <row r="1427" spans="1:11">
      <c r="A1427" s="2" t="s">
        <v>919</v>
      </c>
      <c r="B1427" s="2" t="s">
        <v>2474</v>
      </c>
      <c r="C1427" s="9">
        <v>10050702</v>
      </c>
      <c r="D1427" s="2" t="s">
        <v>2487</v>
      </c>
      <c r="E1427" s="10">
        <v>840</v>
      </c>
      <c r="F1427" s="9" t="s">
        <v>2488</v>
      </c>
      <c r="G1427" s="11">
        <v>46238</v>
      </c>
      <c r="H1427" s="12">
        <v>80.900000000000006</v>
      </c>
      <c r="I1427" s="12">
        <v>71.91</v>
      </c>
      <c r="J1427" s="9" t="s">
        <v>3</v>
      </c>
      <c r="K1427" s="8">
        <v>0</v>
      </c>
    </row>
    <row r="1428" spans="1:11">
      <c r="A1428" s="2" t="s">
        <v>919</v>
      </c>
      <c r="B1428" s="2" t="s">
        <v>2474</v>
      </c>
      <c r="C1428" s="9">
        <v>10050703</v>
      </c>
      <c r="D1428" s="2" t="s">
        <v>2489</v>
      </c>
      <c r="E1428" s="10">
        <v>840</v>
      </c>
      <c r="F1428" s="9" t="s">
        <v>2488</v>
      </c>
      <c r="G1428" s="11">
        <v>46238</v>
      </c>
      <c r="H1428" s="12">
        <v>71.91</v>
      </c>
      <c r="I1428" s="12">
        <v>62.92</v>
      </c>
      <c r="J1428" s="9" t="s">
        <v>3</v>
      </c>
      <c r="K1428" s="8">
        <v>0</v>
      </c>
    </row>
    <row r="1429" spans="1:11">
      <c r="A1429" s="2" t="s">
        <v>919</v>
      </c>
      <c r="B1429" s="2" t="s">
        <v>920</v>
      </c>
      <c r="C1429" s="9">
        <v>10050713</v>
      </c>
      <c r="D1429" s="2" t="s">
        <v>2490</v>
      </c>
      <c r="E1429" s="10">
        <v>2</v>
      </c>
      <c r="F1429" s="9" t="s">
        <v>2491</v>
      </c>
      <c r="G1429" s="11">
        <v>46238</v>
      </c>
      <c r="H1429" s="12">
        <v>163.06</v>
      </c>
      <c r="I1429" s="12">
        <v>145.12</v>
      </c>
      <c r="J1429" s="9" t="s">
        <v>3</v>
      </c>
      <c r="K1429" s="8">
        <v>0</v>
      </c>
    </row>
    <row r="1430" spans="1:11">
      <c r="A1430" s="2" t="s">
        <v>919</v>
      </c>
      <c r="B1430" s="2" t="s">
        <v>920</v>
      </c>
      <c r="C1430" s="9">
        <v>10050714</v>
      </c>
      <c r="D1430" s="2" t="s">
        <v>2492</v>
      </c>
      <c r="E1430" s="10">
        <v>4</v>
      </c>
      <c r="F1430" s="9" t="s">
        <v>924</v>
      </c>
      <c r="G1430" s="11">
        <v>46238</v>
      </c>
      <c r="H1430" s="12">
        <v>96.6</v>
      </c>
      <c r="I1430" s="12">
        <v>85.96</v>
      </c>
      <c r="J1430" s="9" t="s">
        <v>3</v>
      </c>
      <c r="K1430" s="8">
        <v>0</v>
      </c>
    </row>
    <row r="1431" spans="1:11">
      <c r="A1431" s="2" t="s">
        <v>919</v>
      </c>
      <c r="B1431" s="2" t="s">
        <v>920</v>
      </c>
      <c r="C1431" s="9">
        <v>10050715</v>
      </c>
      <c r="D1431" s="2" t="s">
        <v>2493</v>
      </c>
      <c r="E1431" s="10">
        <v>4</v>
      </c>
      <c r="F1431" s="9" t="s">
        <v>924</v>
      </c>
      <c r="G1431" s="11">
        <v>46238</v>
      </c>
      <c r="H1431" s="12">
        <v>96.6</v>
      </c>
      <c r="I1431" s="12">
        <v>85.96</v>
      </c>
      <c r="J1431" s="9" t="s">
        <v>3</v>
      </c>
      <c r="K1431" s="8">
        <v>0</v>
      </c>
    </row>
    <row r="1432" spans="1:11">
      <c r="A1432" s="2" t="s">
        <v>919</v>
      </c>
      <c r="B1432" s="2" t="s">
        <v>920</v>
      </c>
      <c r="C1432" s="9">
        <v>10050716</v>
      </c>
      <c r="D1432" s="2" t="s">
        <v>2494</v>
      </c>
      <c r="E1432" s="10">
        <v>4</v>
      </c>
      <c r="F1432" s="9" t="s">
        <v>924</v>
      </c>
      <c r="G1432" s="11">
        <v>46238</v>
      </c>
      <c r="H1432" s="12">
        <v>96.6</v>
      </c>
      <c r="I1432" s="12">
        <v>85.96</v>
      </c>
      <c r="J1432" s="9" t="s">
        <v>3</v>
      </c>
      <c r="K1432" s="8">
        <v>0</v>
      </c>
    </row>
    <row r="1433" spans="1:11">
      <c r="A1433" s="2" t="s">
        <v>919</v>
      </c>
      <c r="B1433" s="2" t="s">
        <v>920</v>
      </c>
      <c r="C1433" s="9">
        <v>10050717</v>
      </c>
      <c r="D1433" s="2" t="s">
        <v>2495</v>
      </c>
      <c r="E1433" s="10">
        <v>42</v>
      </c>
      <c r="F1433" s="9" t="s">
        <v>2450</v>
      </c>
      <c r="G1433" s="11">
        <v>46238</v>
      </c>
      <c r="H1433" s="12">
        <v>47.04</v>
      </c>
      <c r="I1433" s="12">
        <v>42</v>
      </c>
      <c r="J1433" s="9" t="s">
        <v>3</v>
      </c>
      <c r="K1433" s="8">
        <v>0</v>
      </c>
    </row>
    <row r="1434" spans="1:11">
      <c r="A1434" s="2" t="s">
        <v>919</v>
      </c>
      <c r="B1434" s="2" t="s">
        <v>920</v>
      </c>
      <c r="C1434" s="9">
        <v>10050718</v>
      </c>
      <c r="D1434" s="2" t="s">
        <v>2496</v>
      </c>
      <c r="E1434" s="10">
        <v>42</v>
      </c>
      <c r="F1434" s="9" t="s">
        <v>2450</v>
      </c>
      <c r="G1434" s="11">
        <v>46238</v>
      </c>
      <c r="H1434" s="12">
        <v>47.04</v>
      </c>
      <c r="I1434" s="12">
        <v>42</v>
      </c>
      <c r="J1434" s="9" t="s">
        <v>3</v>
      </c>
      <c r="K1434" s="8">
        <v>0</v>
      </c>
    </row>
    <row r="1435" spans="1:11">
      <c r="A1435" s="2" t="s">
        <v>919</v>
      </c>
      <c r="B1435" s="2" t="s">
        <v>920</v>
      </c>
      <c r="C1435" s="9">
        <v>10050719</v>
      </c>
      <c r="D1435" s="2" t="s">
        <v>2497</v>
      </c>
      <c r="E1435" s="10">
        <v>4</v>
      </c>
      <c r="F1435" s="9" t="s">
        <v>2498</v>
      </c>
      <c r="G1435" s="11">
        <v>46238</v>
      </c>
      <c r="H1435" s="12">
        <v>100.72</v>
      </c>
      <c r="I1435" s="12">
        <v>89.64</v>
      </c>
      <c r="J1435" s="9" t="s">
        <v>3</v>
      </c>
      <c r="K1435" s="8">
        <v>0</v>
      </c>
    </row>
    <row r="1436" spans="1:11">
      <c r="A1436" s="2" t="s">
        <v>919</v>
      </c>
      <c r="B1436" s="2" t="s">
        <v>920</v>
      </c>
      <c r="C1436" s="9">
        <v>10050720</v>
      </c>
      <c r="D1436" s="2" t="s">
        <v>2499</v>
      </c>
      <c r="E1436" s="10">
        <v>4</v>
      </c>
      <c r="F1436" s="9" t="s">
        <v>2498</v>
      </c>
      <c r="G1436" s="11">
        <v>46238</v>
      </c>
      <c r="H1436" s="12">
        <v>103.96</v>
      </c>
      <c r="I1436" s="12">
        <v>92.52</v>
      </c>
      <c r="J1436" s="9" t="s">
        <v>3</v>
      </c>
      <c r="K1436" s="8">
        <v>0</v>
      </c>
    </row>
    <row r="1437" spans="1:11">
      <c r="A1437" s="2" t="s">
        <v>919</v>
      </c>
      <c r="B1437" s="2" t="s">
        <v>920</v>
      </c>
      <c r="C1437" s="9">
        <v>10050721</v>
      </c>
      <c r="D1437" s="2" t="s">
        <v>2500</v>
      </c>
      <c r="E1437" s="10">
        <v>2</v>
      </c>
      <c r="F1437" s="9" t="s">
        <v>922</v>
      </c>
      <c r="G1437" s="11">
        <v>46238</v>
      </c>
      <c r="H1437" s="12">
        <v>180.72</v>
      </c>
      <c r="I1437" s="12">
        <v>160.84</v>
      </c>
      <c r="J1437" s="9" t="s">
        <v>3</v>
      </c>
      <c r="K1437" s="8">
        <v>0</v>
      </c>
    </row>
    <row r="1438" spans="1:11">
      <c r="A1438" s="2" t="s">
        <v>919</v>
      </c>
      <c r="B1438" s="2" t="s">
        <v>2428</v>
      </c>
      <c r="C1438" s="9">
        <v>10050722</v>
      </c>
      <c r="D1438" s="2" t="s">
        <v>2501</v>
      </c>
      <c r="E1438" s="10">
        <v>12</v>
      </c>
      <c r="F1438" s="9" t="s">
        <v>2440</v>
      </c>
      <c r="G1438" s="11">
        <v>46238</v>
      </c>
      <c r="H1438" s="12">
        <v>67.319999999999993</v>
      </c>
      <c r="I1438" s="12">
        <v>59.88</v>
      </c>
      <c r="J1438" s="9" t="s">
        <v>3</v>
      </c>
      <c r="K1438" s="8">
        <v>0</v>
      </c>
    </row>
    <row r="1439" spans="1:11">
      <c r="A1439" s="2" t="s">
        <v>919</v>
      </c>
      <c r="B1439" s="2" t="s">
        <v>2428</v>
      </c>
      <c r="C1439" s="9">
        <v>10050730</v>
      </c>
      <c r="D1439" s="2" t="s">
        <v>2502</v>
      </c>
      <c r="E1439" s="10">
        <v>2</v>
      </c>
      <c r="F1439" s="9" t="s">
        <v>2430</v>
      </c>
      <c r="G1439" s="11">
        <v>46238</v>
      </c>
      <c r="H1439" s="12">
        <v>100.84</v>
      </c>
      <c r="I1439" s="12">
        <v>89.74</v>
      </c>
      <c r="J1439" s="9" t="s">
        <v>3</v>
      </c>
      <c r="K1439" s="8">
        <v>0</v>
      </c>
    </row>
    <row r="1440" spans="1:11">
      <c r="A1440" s="2" t="s">
        <v>919</v>
      </c>
      <c r="B1440" s="2" t="s">
        <v>2428</v>
      </c>
      <c r="C1440" s="9">
        <v>10050731</v>
      </c>
      <c r="D1440" s="2" t="s">
        <v>2503</v>
      </c>
      <c r="E1440" s="10">
        <v>2</v>
      </c>
      <c r="F1440" s="9" t="s">
        <v>922</v>
      </c>
      <c r="G1440" s="11">
        <v>46238</v>
      </c>
      <c r="H1440" s="12">
        <v>141.58000000000001</v>
      </c>
      <c r="I1440" s="12">
        <v>126</v>
      </c>
      <c r="J1440" s="9" t="s">
        <v>3</v>
      </c>
      <c r="K1440" s="8">
        <v>0</v>
      </c>
    </row>
    <row r="1441" spans="1:11">
      <c r="A1441" s="2" t="s">
        <v>891</v>
      </c>
      <c r="B1441" s="2" t="s">
        <v>2504</v>
      </c>
      <c r="C1441" s="9">
        <v>10050751</v>
      </c>
      <c r="D1441" s="2" t="s">
        <v>2505</v>
      </c>
      <c r="E1441" s="10">
        <v>12</v>
      </c>
      <c r="F1441" s="9" t="s">
        <v>2506</v>
      </c>
      <c r="G1441" s="11">
        <v>46238</v>
      </c>
      <c r="H1441" s="12">
        <v>67.44</v>
      </c>
      <c r="I1441" s="12">
        <v>60</v>
      </c>
      <c r="J1441" s="9" t="s">
        <v>3</v>
      </c>
      <c r="K1441" s="8">
        <v>0</v>
      </c>
    </row>
    <row r="1442" spans="1:11">
      <c r="A1442" s="2" t="s">
        <v>891</v>
      </c>
      <c r="B1442" s="2" t="s">
        <v>2504</v>
      </c>
      <c r="C1442" s="9">
        <v>10050762</v>
      </c>
      <c r="D1442" s="2" t="s">
        <v>2507</v>
      </c>
      <c r="E1442" s="10">
        <v>20</v>
      </c>
      <c r="F1442" s="9" t="s">
        <v>2440</v>
      </c>
      <c r="G1442" s="11">
        <v>46238</v>
      </c>
      <c r="H1442" s="12">
        <v>60.8</v>
      </c>
      <c r="I1442" s="12">
        <v>54.2</v>
      </c>
      <c r="J1442" s="9" t="s">
        <v>3</v>
      </c>
      <c r="K1442" s="8">
        <v>0</v>
      </c>
    </row>
    <row r="1443" spans="1:11">
      <c r="A1443" s="2" t="s">
        <v>891</v>
      </c>
      <c r="B1443" s="2" t="s">
        <v>2504</v>
      </c>
      <c r="C1443" s="9">
        <v>10050764</v>
      </c>
      <c r="D1443" s="2" t="s">
        <v>2508</v>
      </c>
      <c r="E1443" s="10">
        <v>12</v>
      </c>
      <c r="F1443" s="9" t="s">
        <v>2509</v>
      </c>
      <c r="G1443" s="11">
        <v>46238</v>
      </c>
      <c r="H1443" s="12">
        <v>50.28</v>
      </c>
      <c r="I1443" s="12">
        <v>44.76</v>
      </c>
      <c r="J1443" s="9" t="s">
        <v>3</v>
      </c>
      <c r="K1443" s="8">
        <v>0</v>
      </c>
    </row>
    <row r="1444" spans="1:11">
      <c r="A1444" s="2" t="s">
        <v>891</v>
      </c>
      <c r="B1444" s="2" t="s">
        <v>2504</v>
      </c>
      <c r="C1444" s="9">
        <v>10050766</v>
      </c>
      <c r="D1444" s="2" t="s">
        <v>2510</v>
      </c>
      <c r="E1444" s="10">
        <v>20</v>
      </c>
      <c r="F1444" s="9" t="s">
        <v>2511</v>
      </c>
      <c r="G1444" s="11">
        <v>46238</v>
      </c>
      <c r="H1444" s="12">
        <v>55.2</v>
      </c>
      <c r="I1444" s="12">
        <v>49.2</v>
      </c>
      <c r="J1444" s="9" t="s">
        <v>3</v>
      </c>
      <c r="K1444" s="8">
        <v>0</v>
      </c>
    </row>
    <row r="1445" spans="1:11">
      <c r="A1445" s="2" t="s">
        <v>891</v>
      </c>
      <c r="B1445" s="2" t="s">
        <v>2504</v>
      </c>
      <c r="C1445" s="9">
        <v>10050768</v>
      </c>
      <c r="D1445" s="2" t="s">
        <v>2512</v>
      </c>
      <c r="E1445" s="10">
        <v>20</v>
      </c>
      <c r="F1445" s="9" t="s">
        <v>2511</v>
      </c>
      <c r="G1445" s="11">
        <v>46238</v>
      </c>
      <c r="H1445" s="12">
        <v>59.2</v>
      </c>
      <c r="I1445" s="12">
        <v>52.6</v>
      </c>
      <c r="J1445" s="9" t="s">
        <v>3</v>
      </c>
      <c r="K1445" s="8">
        <v>0</v>
      </c>
    </row>
    <row r="1446" spans="1:11">
      <c r="A1446" s="2" t="s">
        <v>891</v>
      </c>
      <c r="B1446" s="2" t="s">
        <v>2504</v>
      </c>
      <c r="C1446" s="9">
        <v>10050773</v>
      </c>
      <c r="D1446" s="2" t="s">
        <v>2513</v>
      </c>
      <c r="E1446" s="10">
        <v>12</v>
      </c>
      <c r="F1446" s="9" t="s">
        <v>2440</v>
      </c>
      <c r="G1446" s="11">
        <v>46238</v>
      </c>
      <c r="H1446" s="12">
        <v>93.96</v>
      </c>
      <c r="I1446" s="12">
        <v>83.64</v>
      </c>
      <c r="J1446" s="9" t="s">
        <v>3</v>
      </c>
      <c r="K1446" s="8">
        <v>0</v>
      </c>
    </row>
    <row r="1447" spans="1:11">
      <c r="A1447" s="2" t="s">
        <v>919</v>
      </c>
      <c r="B1447" s="2" t="s">
        <v>2514</v>
      </c>
      <c r="C1447" s="9">
        <v>10050790</v>
      </c>
      <c r="D1447" s="2" t="s">
        <v>2515</v>
      </c>
      <c r="E1447" s="10">
        <v>24</v>
      </c>
      <c r="F1447" s="9" t="s">
        <v>2516</v>
      </c>
      <c r="G1447" s="11">
        <v>46238</v>
      </c>
      <c r="H1447" s="12">
        <v>90</v>
      </c>
      <c r="I1447" s="12">
        <v>80.16</v>
      </c>
      <c r="J1447" s="9" t="s">
        <v>3</v>
      </c>
      <c r="K1447" s="8">
        <v>0</v>
      </c>
    </row>
    <row r="1448" spans="1:11">
      <c r="A1448" s="2" t="s">
        <v>919</v>
      </c>
      <c r="B1448" s="2" t="s">
        <v>2517</v>
      </c>
      <c r="C1448" s="9">
        <v>10050797</v>
      </c>
      <c r="D1448" s="2" t="s">
        <v>2518</v>
      </c>
      <c r="E1448" s="10">
        <v>2</v>
      </c>
      <c r="F1448" s="9" t="s">
        <v>2519</v>
      </c>
      <c r="G1448" s="11">
        <v>46238</v>
      </c>
      <c r="H1448" s="12">
        <v>66.25</v>
      </c>
      <c r="I1448" s="12">
        <v>57.64</v>
      </c>
      <c r="J1448" s="9" t="s">
        <v>3</v>
      </c>
      <c r="K1448" s="8">
        <v>0</v>
      </c>
    </row>
    <row r="1449" spans="1:11">
      <c r="A1449" s="2" t="s">
        <v>919</v>
      </c>
      <c r="B1449" s="2" t="s">
        <v>2517</v>
      </c>
      <c r="C1449" s="9">
        <v>10050798</v>
      </c>
      <c r="D1449" s="2" t="s">
        <v>2520</v>
      </c>
      <c r="E1449" s="10">
        <v>2</v>
      </c>
      <c r="F1449" s="9" t="s">
        <v>2519</v>
      </c>
      <c r="G1449" s="11">
        <v>46238</v>
      </c>
      <c r="H1449" s="12">
        <v>66.25</v>
      </c>
      <c r="I1449" s="12">
        <v>57.64</v>
      </c>
      <c r="J1449" s="9" t="s">
        <v>3</v>
      </c>
      <c r="K1449" s="8">
        <v>0</v>
      </c>
    </row>
    <row r="1450" spans="1:11">
      <c r="A1450" s="2" t="s">
        <v>919</v>
      </c>
      <c r="B1450" s="2" t="s">
        <v>2517</v>
      </c>
      <c r="C1450" s="9">
        <v>10050800</v>
      </c>
      <c r="D1450" s="2" t="s">
        <v>2521</v>
      </c>
      <c r="E1450" s="10">
        <v>2</v>
      </c>
      <c r="F1450" s="9" t="s">
        <v>2522</v>
      </c>
      <c r="G1450" s="11">
        <v>46238</v>
      </c>
      <c r="H1450" s="12">
        <v>123.38</v>
      </c>
      <c r="I1450" s="12">
        <v>107.34</v>
      </c>
      <c r="J1450" s="9" t="s">
        <v>3</v>
      </c>
      <c r="K1450" s="8">
        <v>0</v>
      </c>
    </row>
    <row r="1451" spans="1:11">
      <c r="A1451" s="2" t="s">
        <v>919</v>
      </c>
      <c r="B1451" s="2" t="s">
        <v>2523</v>
      </c>
      <c r="C1451" s="9">
        <v>10050801</v>
      </c>
      <c r="D1451" s="2" t="s">
        <v>2524</v>
      </c>
      <c r="E1451" s="10">
        <v>2</v>
      </c>
      <c r="F1451" s="9" t="s">
        <v>2525</v>
      </c>
      <c r="G1451" s="11">
        <v>46238</v>
      </c>
      <c r="H1451" s="12">
        <v>87.08</v>
      </c>
      <c r="I1451" s="12">
        <v>77.5</v>
      </c>
      <c r="J1451" s="9" t="s">
        <v>3</v>
      </c>
      <c r="K1451" s="8">
        <v>0</v>
      </c>
    </row>
    <row r="1452" spans="1:11">
      <c r="A1452" s="2" t="s">
        <v>919</v>
      </c>
      <c r="B1452" s="2" t="s">
        <v>2523</v>
      </c>
      <c r="C1452" s="9">
        <v>10050802</v>
      </c>
      <c r="D1452" s="2" t="s">
        <v>2526</v>
      </c>
      <c r="E1452" s="10">
        <v>2</v>
      </c>
      <c r="F1452" s="9" t="s">
        <v>2527</v>
      </c>
      <c r="G1452" s="11">
        <v>46238</v>
      </c>
      <c r="H1452" s="12">
        <v>221.93</v>
      </c>
      <c r="I1452" s="12">
        <v>193.08</v>
      </c>
      <c r="J1452" s="9" t="s">
        <v>3</v>
      </c>
      <c r="K1452" s="8">
        <v>0</v>
      </c>
    </row>
    <row r="1453" spans="1:11">
      <c r="A1453" s="2" t="s">
        <v>919</v>
      </c>
      <c r="B1453" s="2" t="s">
        <v>2528</v>
      </c>
      <c r="C1453" s="9">
        <v>10050804</v>
      </c>
      <c r="D1453" s="2" t="s">
        <v>2529</v>
      </c>
      <c r="E1453" s="10">
        <v>12</v>
      </c>
      <c r="F1453" s="9" t="s">
        <v>2530</v>
      </c>
      <c r="G1453" s="11">
        <v>46238</v>
      </c>
      <c r="H1453" s="12">
        <v>37.200000000000003</v>
      </c>
      <c r="I1453" s="12">
        <v>33.119999999999997</v>
      </c>
      <c r="J1453" s="9" t="s">
        <v>3</v>
      </c>
      <c r="K1453" s="8">
        <v>0</v>
      </c>
    </row>
    <row r="1454" spans="1:11">
      <c r="A1454" s="2" t="s">
        <v>919</v>
      </c>
      <c r="B1454" s="2" t="s">
        <v>2528</v>
      </c>
      <c r="C1454" s="9">
        <v>10050805</v>
      </c>
      <c r="D1454" s="2" t="s">
        <v>2531</v>
      </c>
      <c r="E1454" s="10">
        <v>12</v>
      </c>
      <c r="F1454" s="9" t="s">
        <v>2532</v>
      </c>
      <c r="G1454" s="11">
        <v>46238</v>
      </c>
      <c r="H1454" s="12">
        <v>37.200000000000003</v>
      </c>
      <c r="I1454" s="12">
        <v>33.119999999999997</v>
      </c>
      <c r="J1454" s="9" t="s">
        <v>3</v>
      </c>
      <c r="K1454" s="8">
        <v>0</v>
      </c>
    </row>
    <row r="1455" spans="1:11">
      <c r="A1455" s="2" t="s">
        <v>919</v>
      </c>
      <c r="B1455" s="2" t="s">
        <v>2533</v>
      </c>
      <c r="C1455" s="9">
        <v>10050810</v>
      </c>
      <c r="D1455" s="2" t="s">
        <v>2534</v>
      </c>
      <c r="E1455" s="10">
        <v>200</v>
      </c>
      <c r="F1455" s="9" t="s">
        <v>2535</v>
      </c>
      <c r="G1455" s="11">
        <v>46238</v>
      </c>
      <c r="H1455" s="12">
        <v>68</v>
      </c>
      <c r="I1455" s="12">
        <v>60</v>
      </c>
      <c r="J1455" s="9" t="s">
        <v>3</v>
      </c>
      <c r="K1455" s="8">
        <v>0</v>
      </c>
    </row>
    <row r="1456" spans="1:11">
      <c r="A1456" s="2" t="s">
        <v>919</v>
      </c>
      <c r="B1456" s="2" t="s">
        <v>2533</v>
      </c>
      <c r="C1456" s="9">
        <v>10050811</v>
      </c>
      <c r="D1456" s="2" t="s">
        <v>2536</v>
      </c>
      <c r="E1456" s="10">
        <v>106</v>
      </c>
      <c r="F1456" s="9" t="s">
        <v>2537</v>
      </c>
      <c r="G1456" s="11">
        <v>46238</v>
      </c>
      <c r="H1456" s="12">
        <v>59.36</v>
      </c>
      <c r="I1456" s="12">
        <v>53</v>
      </c>
      <c r="J1456" s="9" t="s">
        <v>3</v>
      </c>
      <c r="K1456" s="8">
        <v>0</v>
      </c>
    </row>
    <row r="1457" spans="1:11">
      <c r="A1457" s="2" t="s">
        <v>919</v>
      </c>
      <c r="B1457" s="2" t="s">
        <v>2533</v>
      </c>
      <c r="C1457" s="9">
        <v>10050812</v>
      </c>
      <c r="D1457" s="2" t="s">
        <v>2538</v>
      </c>
      <c r="E1457" s="10">
        <v>200</v>
      </c>
      <c r="F1457" s="9" t="s">
        <v>2535</v>
      </c>
      <c r="G1457" s="11">
        <v>46238</v>
      </c>
      <c r="H1457" s="12">
        <v>60</v>
      </c>
      <c r="I1457" s="12">
        <v>54</v>
      </c>
      <c r="J1457" s="9" t="s">
        <v>3</v>
      </c>
      <c r="K1457" s="8">
        <v>0</v>
      </c>
    </row>
    <row r="1458" spans="1:11">
      <c r="A1458" s="2" t="s">
        <v>919</v>
      </c>
      <c r="B1458" s="2" t="s">
        <v>2539</v>
      </c>
      <c r="C1458" s="9">
        <v>10050814</v>
      </c>
      <c r="D1458" s="2" t="s">
        <v>2540</v>
      </c>
      <c r="E1458" s="10">
        <v>40</v>
      </c>
      <c r="F1458" s="9" t="s">
        <v>2541</v>
      </c>
      <c r="G1458" s="11">
        <v>46238</v>
      </c>
      <c r="H1458" s="12">
        <v>111.2</v>
      </c>
      <c r="I1458" s="12">
        <v>98.8</v>
      </c>
      <c r="J1458" s="9" t="s">
        <v>3</v>
      </c>
      <c r="K1458" s="8">
        <v>0</v>
      </c>
    </row>
    <row r="1459" spans="1:11">
      <c r="A1459" s="2" t="s">
        <v>919</v>
      </c>
      <c r="B1459" s="2" t="s">
        <v>2542</v>
      </c>
      <c r="C1459" s="9">
        <v>10050815</v>
      </c>
      <c r="D1459" s="2" t="s">
        <v>2543</v>
      </c>
      <c r="E1459" s="10">
        <v>40</v>
      </c>
      <c r="F1459" s="9" t="s">
        <v>2541</v>
      </c>
      <c r="G1459" s="11">
        <v>46238</v>
      </c>
      <c r="H1459" s="12">
        <v>146</v>
      </c>
      <c r="I1459" s="12">
        <v>130</v>
      </c>
      <c r="J1459" s="9" t="s">
        <v>3</v>
      </c>
      <c r="K1459" s="8">
        <v>0</v>
      </c>
    </row>
    <row r="1460" spans="1:11">
      <c r="A1460" s="2" t="s">
        <v>919</v>
      </c>
      <c r="B1460" s="2" t="s">
        <v>2544</v>
      </c>
      <c r="C1460" s="9">
        <v>10050817</v>
      </c>
      <c r="D1460" s="2" t="s">
        <v>2545</v>
      </c>
      <c r="E1460" s="10">
        <v>40</v>
      </c>
      <c r="F1460" s="9" t="s">
        <v>2541</v>
      </c>
      <c r="G1460" s="11">
        <v>46238</v>
      </c>
      <c r="H1460" s="12">
        <v>148.4</v>
      </c>
      <c r="I1460" s="12">
        <v>132</v>
      </c>
      <c r="J1460" s="9" t="s">
        <v>3</v>
      </c>
      <c r="K1460" s="8">
        <v>0</v>
      </c>
    </row>
    <row r="1461" spans="1:11">
      <c r="A1461" s="2" t="s">
        <v>919</v>
      </c>
      <c r="B1461" s="2" t="s">
        <v>2546</v>
      </c>
      <c r="C1461" s="9">
        <v>10050818</v>
      </c>
      <c r="D1461" s="2" t="s">
        <v>2547</v>
      </c>
      <c r="E1461" s="10">
        <v>40</v>
      </c>
      <c r="F1461" s="9" t="s">
        <v>2541</v>
      </c>
      <c r="G1461" s="11">
        <v>46238</v>
      </c>
      <c r="H1461" s="12">
        <v>109.6</v>
      </c>
      <c r="I1461" s="12">
        <v>97.6</v>
      </c>
      <c r="J1461" s="9" t="s">
        <v>3</v>
      </c>
      <c r="K1461" s="8">
        <v>0</v>
      </c>
    </row>
    <row r="1462" spans="1:11">
      <c r="A1462" s="2" t="s">
        <v>919</v>
      </c>
      <c r="B1462" s="2" t="s">
        <v>2548</v>
      </c>
      <c r="C1462" s="9">
        <v>10050820</v>
      </c>
      <c r="D1462" s="2" t="s">
        <v>2549</v>
      </c>
      <c r="E1462" s="10">
        <v>48</v>
      </c>
      <c r="F1462" s="9" t="s">
        <v>2541</v>
      </c>
      <c r="G1462" s="11">
        <v>46238</v>
      </c>
      <c r="H1462" s="12">
        <v>117.6</v>
      </c>
      <c r="I1462" s="12">
        <v>104.64</v>
      </c>
      <c r="J1462" s="9" t="s">
        <v>3</v>
      </c>
      <c r="K1462" s="8">
        <v>0</v>
      </c>
    </row>
    <row r="1463" spans="1:11">
      <c r="A1463" s="2" t="s">
        <v>919</v>
      </c>
      <c r="B1463" s="2" t="s">
        <v>2548</v>
      </c>
      <c r="C1463" s="9">
        <v>10050821</v>
      </c>
      <c r="D1463" s="2" t="s">
        <v>2550</v>
      </c>
      <c r="E1463" s="10">
        <v>2</v>
      </c>
      <c r="F1463" s="9" t="s">
        <v>1023</v>
      </c>
      <c r="G1463" s="11">
        <v>46238</v>
      </c>
      <c r="H1463" s="12">
        <v>69.2</v>
      </c>
      <c r="I1463" s="12">
        <v>61.6</v>
      </c>
      <c r="J1463" s="9" t="s">
        <v>3</v>
      </c>
      <c r="K1463" s="8">
        <v>0</v>
      </c>
    </row>
    <row r="1464" spans="1:11">
      <c r="A1464" s="2" t="s">
        <v>919</v>
      </c>
      <c r="B1464" s="2" t="s">
        <v>2542</v>
      </c>
      <c r="C1464" s="9">
        <v>10050822</v>
      </c>
      <c r="D1464" s="2" t="s">
        <v>2551</v>
      </c>
      <c r="E1464" s="10">
        <v>4</v>
      </c>
      <c r="F1464" s="9" t="s">
        <v>2552</v>
      </c>
      <c r="G1464" s="11">
        <v>46238</v>
      </c>
      <c r="H1464" s="12">
        <v>148.52000000000001</v>
      </c>
      <c r="I1464" s="12">
        <v>132.19999999999999</v>
      </c>
      <c r="J1464" s="9" t="s">
        <v>3</v>
      </c>
      <c r="K1464" s="8">
        <v>0</v>
      </c>
    </row>
    <row r="1465" spans="1:11">
      <c r="A1465" s="2" t="s">
        <v>891</v>
      </c>
      <c r="B1465" s="2" t="s">
        <v>2504</v>
      </c>
      <c r="C1465" s="9">
        <v>10050898</v>
      </c>
      <c r="D1465" s="2" t="s">
        <v>2553</v>
      </c>
      <c r="E1465" s="10">
        <v>12</v>
      </c>
      <c r="F1465" s="9" t="s">
        <v>2554</v>
      </c>
      <c r="G1465" s="11">
        <v>46238</v>
      </c>
      <c r="H1465" s="12">
        <v>68.52</v>
      </c>
      <c r="I1465" s="12">
        <v>60.96</v>
      </c>
      <c r="J1465" s="9" t="s">
        <v>3</v>
      </c>
      <c r="K1465" s="8">
        <v>0</v>
      </c>
    </row>
    <row r="1466" spans="1:11">
      <c r="A1466" s="2" t="s">
        <v>891</v>
      </c>
      <c r="B1466" s="2" t="s">
        <v>2504</v>
      </c>
      <c r="C1466" s="9">
        <v>10050899</v>
      </c>
      <c r="D1466" s="2" t="s">
        <v>2555</v>
      </c>
      <c r="E1466" s="10">
        <v>12</v>
      </c>
      <c r="F1466" s="9" t="s">
        <v>2554</v>
      </c>
      <c r="G1466" s="11">
        <v>46238</v>
      </c>
      <c r="H1466" s="12">
        <v>68.52</v>
      </c>
      <c r="I1466" s="12">
        <v>60.96</v>
      </c>
      <c r="J1466" s="9" t="s">
        <v>3</v>
      </c>
      <c r="K1466" s="8">
        <v>0</v>
      </c>
    </row>
    <row r="1467" spans="1:11">
      <c r="A1467" s="2" t="s">
        <v>891</v>
      </c>
      <c r="B1467" s="2" t="s">
        <v>2504</v>
      </c>
      <c r="C1467" s="9">
        <v>10050942</v>
      </c>
      <c r="D1467" s="2" t="s">
        <v>2556</v>
      </c>
      <c r="E1467" s="10">
        <v>18</v>
      </c>
      <c r="F1467" s="9" t="s">
        <v>2557</v>
      </c>
      <c r="G1467" s="11">
        <v>46238</v>
      </c>
      <c r="H1467" s="12">
        <v>82.8</v>
      </c>
      <c r="I1467" s="12">
        <v>73.62</v>
      </c>
      <c r="J1467" s="9" t="s">
        <v>3</v>
      </c>
      <c r="K1467" s="8">
        <v>0</v>
      </c>
    </row>
    <row r="1468" spans="1:11">
      <c r="A1468" s="2" t="s">
        <v>891</v>
      </c>
      <c r="B1468" s="2" t="s">
        <v>2504</v>
      </c>
      <c r="C1468" s="9">
        <v>10050964</v>
      </c>
      <c r="D1468" s="2" t="s">
        <v>2558</v>
      </c>
      <c r="E1468" s="10">
        <v>14</v>
      </c>
      <c r="F1468" s="9" t="s">
        <v>2506</v>
      </c>
      <c r="G1468" s="11">
        <v>46238</v>
      </c>
      <c r="H1468" s="12">
        <v>67.62</v>
      </c>
      <c r="I1468" s="12">
        <v>60.2</v>
      </c>
      <c r="J1468" s="9" t="s">
        <v>3</v>
      </c>
      <c r="K1468" s="8">
        <v>0</v>
      </c>
    </row>
    <row r="1469" spans="1:11">
      <c r="A1469" s="2" t="s">
        <v>891</v>
      </c>
      <c r="B1469" s="2" t="s">
        <v>2504</v>
      </c>
      <c r="C1469" s="9">
        <v>10050965</v>
      </c>
      <c r="D1469" s="2" t="s">
        <v>2559</v>
      </c>
      <c r="E1469" s="10">
        <v>14</v>
      </c>
      <c r="F1469" s="9" t="s">
        <v>2554</v>
      </c>
      <c r="G1469" s="11">
        <v>46238</v>
      </c>
      <c r="H1469" s="12">
        <v>92.68</v>
      </c>
      <c r="I1469" s="12">
        <v>82.46</v>
      </c>
      <c r="J1469" s="9" t="s">
        <v>3</v>
      </c>
      <c r="K1469" s="8">
        <v>0</v>
      </c>
    </row>
    <row r="1470" spans="1:11">
      <c r="A1470" s="2" t="s">
        <v>891</v>
      </c>
      <c r="B1470" s="2" t="s">
        <v>2504</v>
      </c>
      <c r="C1470" s="9">
        <v>10050966</v>
      </c>
      <c r="D1470" s="2" t="s">
        <v>2560</v>
      </c>
      <c r="E1470" s="10">
        <v>16</v>
      </c>
      <c r="F1470" s="9" t="s">
        <v>2440</v>
      </c>
      <c r="G1470" s="11">
        <v>46238</v>
      </c>
      <c r="H1470" s="12">
        <v>69.92</v>
      </c>
      <c r="I1470" s="12">
        <v>62.24</v>
      </c>
      <c r="J1470" s="9" t="s">
        <v>3</v>
      </c>
      <c r="K1470" s="8">
        <v>0</v>
      </c>
    </row>
    <row r="1471" spans="1:11">
      <c r="A1471" s="2" t="s">
        <v>891</v>
      </c>
      <c r="B1471" s="2" t="s">
        <v>2504</v>
      </c>
      <c r="C1471" s="9">
        <v>10050967</v>
      </c>
      <c r="D1471" s="2" t="s">
        <v>2561</v>
      </c>
      <c r="E1471" s="10">
        <v>1</v>
      </c>
      <c r="F1471" s="9" t="s">
        <v>2440</v>
      </c>
      <c r="G1471" s="11">
        <v>46238</v>
      </c>
      <c r="H1471" s="12">
        <v>59.2</v>
      </c>
      <c r="I1471" s="12">
        <v>52.69</v>
      </c>
      <c r="J1471" s="9" t="s">
        <v>3</v>
      </c>
      <c r="K1471" s="8">
        <v>0</v>
      </c>
    </row>
    <row r="1472" spans="1:11">
      <c r="A1472" s="2" t="s">
        <v>891</v>
      </c>
      <c r="B1472" s="2" t="s">
        <v>2504</v>
      </c>
      <c r="C1472" s="9">
        <v>10050988</v>
      </c>
      <c r="D1472" s="2" t="s">
        <v>2562</v>
      </c>
      <c r="E1472" s="10">
        <v>12</v>
      </c>
      <c r="F1472" s="9" t="s">
        <v>2554</v>
      </c>
      <c r="G1472" s="11">
        <v>46238</v>
      </c>
      <c r="H1472" s="12">
        <v>78.959999999999994</v>
      </c>
      <c r="I1472" s="12">
        <v>70.319999999999993</v>
      </c>
      <c r="J1472" s="9" t="s">
        <v>3</v>
      </c>
      <c r="K1472" s="8">
        <v>0</v>
      </c>
    </row>
    <row r="1473" spans="1:11">
      <c r="A1473" s="2" t="s">
        <v>891</v>
      </c>
      <c r="B1473" s="2" t="s">
        <v>2504</v>
      </c>
      <c r="C1473" s="9">
        <v>10050989</v>
      </c>
      <c r="D1473" s="2" t="s">
        <v>2563</v>
      </c>
      <c r="E1473" s="10">
        <v>14</v>
      </c>
      <c r="F1473" s="9" t="s">
        <v>2554</v>
      </c>
      <c r="G1473" s="11">
        <v>46238</v>
      </c>
      <c r="H1473" s="12">
        <v>124.32</v>
      </c>
      <c r="I1473" s="12">
        <v>110.6</v>
      </c>
      <c r="J1473" s="9" t="s">
        <v>3</v>
      </c>
      <c r="K1473" s="8">
        <v>0</v>
      </c>
    </row>
    <row r="1474" spans="1:11">
      <c r="A1474" s="2" t="s">
        <v>891</v>
      </c>
      <c r="B1474" s="2" t="s">
        <v>2504</v>
      </c>
      <c r="C1474" s="9">
        <v>10050990</v>
      </c>
      <c r="D1474" s="2" t="s">
        <v>2564</v>
      </c>
      <c r="E1474" s="10">
        <v>12</v>
      </c>
      <c r="F1474" s="9" t="s">
        <v>2554</v>
      </c>
      <c r="G1474" s="11">
        <v>46238</v>
      </c>
      <c r="H1474" s="12">
        <v>115.44</v>
      </c>
      <c r="I1474" s="12">
        <v>102.72</v>
      </c>
      <c r="J1474" s="9" t="s">
        <v>3</v>
      </c>
      <c r="K1474" s="8">
        <v>0</v>
      </c>
    </row>
    <row r="1475" spans="1:11">
      <c r="A1475" s="2" t="s">
        <v>891</v>
      </c>
      <c r="B1475" s="2" t="s">
        <v>2504</v>
      </c>
      <c r="C1475" s="9">
        <v>10050991</v>
      </c>
      <c r="D1475" s="2" t="s">
        <v>2565</v>
      </c>
      <c r="E1475" s="10">
        <v>12</v>
      </c>
      <c r="F1475" s="9" t="s">
        <v>2554</v>
      </c>
      <c r="G1475" s="11">
        <v>46238</v>
      </c>
      <c r="H1475" s="12">
        <v>115.44</v>
      </c>
      <c r="I1475" s="12">
        <v>102.72</v>
      </c>
      <c r="J1475" s="9" t="s">
        <v>3</v>
      </c>
      <c r="K1475" s="8">
        <v>0</v>
      </c>
    </row>
    <row r="1476" spans="1:11">
      <c r="A1476" s="2" t="s">
        <v>891</v>
      </c>
      <c r="B1476" s="2" t="s">
        <v>2504</v>
      </c>
      <c r="C1476" s="9">
        <v>10050993</v>
      </c>
      <c r="D1476" s="2" t="s">
        <v>2566</v>
      </c>
      <c r="E1476" s="10">
        <v>14</v>
      </c>
      <c r="F1476" s="9" t="s">
        <v>2554</v>
      </c>
      <c r="G1476" s="11">
        <v>46238</v>
      </c>
      <c r="H1476" s="12">
        <v>124.32</v>
      </c>
      <c r="I1476" s="12">
        <v>110.6</v>
      </c>
      <c r="J1476" s="9" t="s">
        <v>3</v>
      </c>
      <c r="K1476" s="8">
        <v>0</v>
      </c>
    </row>
    <row r="1477" spans="1:11">
      <c r="A1477" s="2" t="s">
        <v>891</v>
      </c>
      <c r="B1477" s="2" t="s">
        <v>2504</v>
      </c>
      <c r="C1477" s="9">
        <v>10050994</v>
      </c>
      <c r="D1477" s="2" t="s">
        <v>2567</v>
      </c>
      <c r="E1477" s="10">
        <v>24</v>
      </c>
      <c r="F1477" s="9" t="s">
        <v>2506</v>
      </c>
      <c r="G1477" s="11">
        <v>46238</v>
      </c>
      <c r="H1477" s="12">
        <v>121.68</v>
      </c>
      <c r="I1477" s="12">
        <v>108.24</v>
      </c>
      <c r="J1477" s="9" t="s">
        <v>3</v>
      </c>
      <c r="K1477" s="8">
        <v>0</v>
      </c>
    </row>
    <row r="1478" spans="1:11">
      <c r="A1478" s="2" t="s">
        <v>891</v>
      </c>
      <c r="B1478" s="2" t="s">
        <v>2504</v>
      </c>
      <c r="C1478" s="9">
        <v>10050995</v>
      </c>
      <c r="D1478" s="2" t="s">
        <v>2568</v>
      </c>
      <c r="E1478" s="10">
        <v>24</v>
      </c>
      <c r="F1478" s="9" t="s">
        <v>2509</v>
      </c>
      <c r="G1478" s="11">
        <v>46238</v>
      </c>
      <c r="H1478" s="12">
        <v>65.52</v>
      </c>
      <c r="I1478" s="12">
        <v>58.32</v>
      </c>
      <c r="J1478" s="9" t="s">
        <v>3</v>
      </c>
      <c r="K1478" s="8">
        <v>0</v>
      </c>
    </row>
    <row r="1479" spans="1:11">
      <c r="A1479" s="2" t="s">
        <v>663</v>
      </c>
      <c r="B1479" s="2" t="s">
        <v>2569</v>
      </c>
      <c r="C1479" s="9">
        <v>10051241</v>
      </c>
      <c r="D1479" s="2" t="s">
        <v>2570</v>
      </c>
      <c r="E1479" s="10">
        <v>6</v>
      </c>
      <c r="F1479" s="9" t="s">
        <v>2571</v>
      </c>
      <c r="G1479" s="11">
        <v>46238</v>
      </c>
      <c r="H1479" s="12">
        <v>19.350000000000001</v>
      </c>
      <c r="I1479" s="12">
        <v>17.22</v>
      </c>
      <c r="J1479" s="9" t="s">
        <v>3</v>
      </c>
      <c r="K1479" s="8">
        <v>0</v>
      </c>
    </row>
    <row r="1480" spans="1:11">
      <c r="A1480" s="2" t="s">
        <v>663</v>
      </c>
      <c r="B1480" s="2" t="s">
        <v>2569</v>
      </c>
      <c r="C1480" s="9">
        <v>10051242</v>
      </c>
      <c r="D1480" s="2" t="s">
        <v>2572</v>
      </c>
      <c r="E1480" s="10">
        <v>6</v>
      </c>
      <c r="F1480" s="9" t="s">
        <v>770</v>
      </c>
      <c r="G1480" s="11">
        <v>46238</v>
      </c>
      <c r="H1480" s="12">
        <v>42.65</v>
      </c>
      <c r="I1480" s="12">
        <v>37.96</v>
      </c>
      <c r="J1480" s="9" t="s">
        <v>3</v>
      </c>
      <c r="K1480" s="8">
        <v>0</v>
      </c>
    </row>
    <row r="1481" spans="1:11">
      <c r="A1481" s="2" t="s">
        <v>663</v>
      </c>
      <c r="B1481" s="2" t="s">
        <v>2569</v>
      </c>
      <c r="C1481" s="9">
        <v>10051245</v>
      </c>
      <c r="D1481" s="2" t="s">
        <v>2573</v>
      </c>
      <c r="E1481" s="10">
        <v>12</v>
      </c>
      <c r="F1481" s="9" t="s">
        <v>1689</v>
      </c>
      <c r="G1481" s="11">
        <v>46238</v>
      </c>
      <c r="H1481" s="12">
        <v>52.15</v>
      </c>
      <c r="I1481" s="12">
        <v>46.41</v>
      </c>
      <c r="J1481" s="9" t="s">
        <v>3</v>
      </c>
      <c r="K1481" s="8">
        <v>0</v>
      </c>
    </row>
    <row r="1482" spans="1:11">
      <c r="A1482" s="2" t="s">
        <v>663</v>
      </c>
      <c r="B1482" s="2" t="s">
        <v>2569</v>
      </c>
      <c r="C1482" s="9">
        <v>10051277</v>
      </c>
      <c r="D1482" s="2" t="s">
        <v>2574</v>
      </c>
      <c r="E1482" s="10">
        <v>6</v>
      </c>
      <c r="F1482" s="9" t="s">
        <v>774</v>
      </c>
      <c r="G1482" s="11">
        <v>46238</v>
      </c>
      <c r="H1482" s="12">
        <v>32.17</v>
      </c>
      <c r="I1482" s="12">
        <v>28.63</v>
      </c>
      <c r="J1482" s="9" t="s">
        <v>3</v>
      </c>
      <c r="K1482" s="8">
        <v>0</v>
      </c>
    </row>
    <row r="1483" spans="1:11">
      <c r="A1483" s="2" t="s">
        <v>663</v>
      </c>
      <c r="B1483" s="2" t="s">
        <v>2569</v>
      </c>
      <c r="C1483" s="9">
        <v>10051278</v>
      </c>
      <c r="D1483" s="2" t="s">
        <v>2575</v>
      </c>
      <c r="E1483" s="10">
        <v>12</v>
      </c>
      <c r="F1483" s="9" t="s">
        <v>2576</v>
      </c>
      <c r="G1483" s="11">
        <v>46238</v>
      </c>
      <c r="H1483" s="12">
        <v>63.06</v>
      </c>
      <c r="I1483" s="12">
        <v>56.12</v>
      </c>
      <c r="J1483" s="9" t="s">
        <v>3</v>
      </c>
      <c r="K1483" s="8">
        <v>0</v>
      </c>
    </row>
    <row r="1484" spans="1:11">
      <c r="A1484" s="2" t="s">
        <v>663</v>
      </c>
      <c r="B1484" s="2" t="s">
        <v>2569</v>
      </c>
      <c r="C1484" s="9">
        <v>10051287</v>
      </c>
      <c r="D1484" s="2" t="s">
        <v>2577</v>
      </c>
      <c r="E1484" s="10">
        <v>6</v>
      </c>
      <c r="F1484" s="9" t="s">
        <v>770</v>
      </c>
      <c r="G1484" s="11">
        <v>46238</v>
      </c>
      <c r="H1484" s="12">
        <v>29.97</v>
      </c>
      <c r="I1484" s="12">
        <v>26.67</v>
      </c>
      <c r="J1484" s="9" t="s">
        <v>3</v>
      </c>
      <c r="K1484" s="8">
        <v>0</v>
      </c>
    </row>
    <row r="1485" spans="1:11">
      <c r="A1485" s="2" t="s">
        <v>663</v>
      </c>
      <c r="B1485" s="2" t="s">
        <v>2569</v>
      </c>
      <c r="C1485" s="9">
        <v>10051288</v>
      </c>
      <c r="D1485" s="2" t="s">
        <v>2578</v>
      </c>
      <c r="E1485" s="10">
        <v>6</v>
      </c>
      <c r="F1485" s="9" t="s">
        <v>1412</v>
      </c>
      <c r="G1485" s="11">
        <v>46238</v>
      </c>
      <c r="H1485" s="12">
        <v>32.6</v>
      </c>
      <c r="I1485" s="12">
        <v>29.01</v>
      </c>
      <c r="J1485" s="9" t="s">
        <v>3</v>
      </c>
      <c r="K1485" s="8">
        <v>0</v>
      </c>
    </row>
    <row r="1486" spans="1:11">
      <c r="A1486" s="2" t="s">
        <v>663</v>
      </c>
      <c r="B1486" s="2" t="s">
        <v>2569</v>
      </c>
      <c r="C1486" s="9">
        <v>10051339</v>
      </c>
      <c r="D1486" s="2" t="s">
        <v>2579</v>
      </c>
      <c r="E1486" s="10">
        <v>6</v>
      </c>
      <c r="F1486" s="9" t="s">
        <v>774</v>
      </c>
      <c r="G1486" s="11">
        <v>46238</v>
      </c>
      <c r="H1486" s="12">
        <v>40.799999999999997</v>
      </c>
      <c r="I1486" s="12">
        <v>35.5</v>
      </c>
      <c r="J1486" s="9" t="s">
        <v>3</v>
      </c>
      <c r="K1486" s="8">
        <v>0</v>
      </c>
    </row>
    <row r="1487" spans="1:11">
      <c r="A1487" s="2" t="s">
        <v>663</v>
      </c>
      <c r="B1487" s="2" t="s">
        <v>2569</v>
      </c>
      <c r="C1487" s="9">
        <v>10051340</v>
      </c>
      <c r="D1487" s="2" t="s">
        <v>2580</v>
      </c>
      <c r="E1487" s="10">
        <v>6</v>
      </c>
      <c r="F1487" s="9" t="s">
        <v>774</v>
      </c>
      <c r="G1487" s="11">
        <v>46238</v>
      </c>
      <c r="H1487" s="12">
        <v>40.799999999999997</v>
      </c>
      <c r="I1487" s="12">
        <v>35.5</v>
      </c>
      <c r="J1487" s="9" t="s">
        <v>3</v>
      </c>
      <c r="K1487" s="8">
        <v>0</v>
      </c>
    </row>
    <row r="1488" spans="1:11">
      <c r="A1488" s="2" t="s">
        <v>663</v>
      </c>
      <c r="B1488" s="2" t="s">
        <v>2569</v>
      </c>
      <c r="C1488" s="9">
        <v>10051341</v>
      </c>
      <c r="D1488" s="2" t="s">
        <v>2581</v>
      </c>
      <c r="E1488" s="10">
        <v>6</v>
      </c>
      <c r="F1488" s="9" t="s">
        <v>776</v>
      </c>
      <c r="G1488" s="11">
        <v>46238</v>
      </c>
      <c r="H1488" s="12">
        <v>37.33</v>
      </c>
      <c r="I1488" s="12">
        <v>32.479999999999997</v>
      </c>
      <c r="J1488" s="9" t="s">
        <v>3</v>
      </c>
      <c r="K1488" s="8">
        <v>0</v>
      </c>
    </row>
    <row r="1489" spans="1:11">
      <c r="A1489" s="2" t="s">
        <v>663</v>
      </c>
      <c r="B1489" s="2" t="s">
        <v>2569</v>
      </c>
      <c r="C1489" s="9">
        <v>10051342</v>
      </c>
      <c r="D1489" s="2" t="s">
        <v>2582</v>
      </c>
      <c r="E1489" s="10">
        <v>6</v>
      </c>
      <c r="F1489" s="9" t="s">
        <v>776</v>
      </c>
      <c r="G1489" s="11">
        <v>46238</v>
      </c>
      <c r="H1489" s="12">
        <v>37.33</v>
      </c>
      <c r="I1489" s="12">
        <v>32.479999999999997</v>
      </c>
      <c r="J1489" s="9" t="s">
        <v>3</v>
      </c>
      <c r="K1489" s="8">
        <v>0</v>
      </c>
    </row>
    <row r="1490" spans="1:11">
      <c r="A1490" s="2" t="s">
        <v>663</v>
      </c>
      <c r="B1490" s="2" t="s">
        <v>2569</v>
      </c>
      <c r="C1490" s="9">
        <v>10051343</v>
      </c>
      <c r="D1490" s="2" t="s">
        <v>2583</v>
      </c>
      <c r="E1490" s="10">
        <v>6</v>
      </c>
      <c r="F1490" s="9" t="s">
        <v>2584</v>
      </c>
      <c r="G1490" s="11">
        <v>46238</v>
      </c>
      <c r="H1490" s="12">
        <v>40.799999999999997</v>
      </c>
      <c r="I1490" s="12">
        <v>35.5</v>
      </c>
      <c r="J1490" s="9" t="s">
        <v>3</v>
      </c>
      <c r="K1490" s="8">
        <v>0</v>
      </c>
    </row>
    <row r="1491" spans="1:11">
      <c r="A1491" s="2" t="s">
        <v>663</v>
      </c>
      <c r="B1491" s="2" t="s">
        <v>2569</v>
      </c>
      <c r="C1491" s="9">
        <v>10051344</v>
      </c>
      <c r="D1491" s="2" t="s">
        <v>2585</v>
      </c>
      <c r="E1491" s="10">
        <v>6</v>
      </c>
      <c r="F1491" s="9" t="s">
        <v>2584</v>
      </c>
      <c r="G1491" s="11">
        <v>46238</v>
      </c>
      <c r="H1491" s="12">
        <v>40.799999999999997</v>
      </c>
      <c r="I1491" s="12">
        <v>35.5</v>
      </c>
      <c r="J1491" s="9" t="s">
        <v>3</v>
      </c>
      <c r="K1491" s="8">
        <v>0</v>
      </c>
    </row>
    <row r="1492" spans="1:11">
      <c r="A1492" s="2" t="s">
        <v>663</v>
      </c>
      <c r="B1492" s="2" t="s">
        <v>2569</v>
      </c>
      <c r="C1492" s="9">
        <v>10051345</v>
      </c>
      <c r="D1492" s="2" t="s">
        <v>2586</v>
      </c>
      <c r="E1492" s="10">
        <v>6</v>
      </c>
      <c r="F1492" s="9" t="s">
        <v>2587</v>
      </c>
      <c r="G1492" s="11">
        <v>46238</v>
      </c>
      <c r="H1492" s="12">
        <v>41.68</v>
      </c>
      <c r="I1492" s="12">
        <v>36.26</v>
      </c>
      <c r="J1492" s="9" t="s">
        <v>3</v>
      </c>
      <c r="K1492" s="8">
        <v>0</v>
      </c>
    </row>
    <row r="1493" spans="1:11">
      <c r="A1493" s="2" t="s">
        <v>663</v>
      </c>
      <c r="B1493" s="2" t="s">
        <v>2569</v>
      </c>
      <c r="C1493" s="9">
        <v>10051346</v>
      </c>
      <c r="D1493" s="2" t="s">
        <v>2588</v>
      </c>
      <c r="E1493" s="10">
        <v>6</v>
      </c>
      <c r="F1493" s="9" t="s">
        <v>2587</v>
      </c>
      <c r="G1493" s="11">
        <v>46238</v>
      </c>
      <c r="H1493" s="12">
        <v>41.68</v>
      </c>
      <c r="I1493" s="12">
        <v>36.26</v>
      </c>
      <c r="J1493" s="9" t="s">
        <v>3</v>
      </c>
      <c r="K1493" s="8">
        <v>0</v>
      </c>
    </row>
    <row r="1494" spans="1:11">
      <c r="A1494" s="2" t="s">
        <v>746</v>
      </c>
      <c r="B1494" s="2" t="s">
        <v>2589</v>
      </c>
      <c r="C1494" s="9">
        <v>10051402</v>
      </c>
      <c r="D1494" s="2" t="s">
        <v>2590</v>
      </c>
      <c r="E1494" s="10">
        <v>12</v>
      </c>
      <c r="F1494" s="9" t="s">
        <v>1638</v>
      </c>
      <c r="G1494" s="11">
        <v>46238</v>
      </c>
      <c r="H1494" s="12">
        <v>46.08</v>
      </c>
      <c r="I1494" s="12">
        <v>41.04</v>
      </c>
      <c r="J1494" s="9" t="s">
        <v>3</v>
      </c>
      <c r="K1494" s="8">
        <v>0</v>
      </c>
    </row>
    <row r="1495" spans="1:11">
      <c r="A1495" s="2" t="s">
        <v>746</v>
      </c>
      <c r="B1495" s="2" t="s">
        <v>2589</v>
      </c>
      <c r="C1495" s="9">
        <v>10051405</v>
      </c>
      <c r="D1495" s="2" t="s">
        <v>2591</v>
      </c>
      <c r="E1495" s="10">
        <v>12</v>
      </c>
      <c r="F1495" s="9" t="s">
        <v>1638</v>
      </c>
      <c r="G1495" s="11">
        <v>46238</v>
      </c>
      <c r="H1495" s="12">
        <v>46.08</v>
      </c>
      <c r="I1495" s="12">
        <v>41.04</v>
      </c>
      <c r="J1495" s="9" t="s">
        <v>3</v>
      </c>
      <c r="K1495" s="8">
        <v>0</v>
      </c>
    </row>
    <row r="1496" spans="1:11">
      <c r="A1496" s="2" t="s">
        <v>746</v>
      </c>
      <c r="B1496" s="2" t="s">
        <v>2589</v>
      </c>
      <c r="C1496" s="9">
        <v>10051411</v>
      </c>
      <c r="D1496" s="2" t="s">
        <v>2592</v>
      </c>
      <c r="E1496" s="10">
        <v>12</v>
      </c>
      <c r="F1496" s="9" t="s">
        <v>1638</v>
      </c>
      <c r="G1496" s="11">
        <v>46238</v>
      </c>
      <c r="H1496" s="12">
        <v>46.08</v>
      </c>
      <c r="I1496" s="12">
        <v>41.04</v>
      </c>
      <c r="J1496" s="9" t="s">
        <v>3</v>
      </c>
      <c r="K1496" s="8">
        <v>0</v>
      </c>
    </row>
    <row r="1497" spans="1:11">
      <c r="A1497" s="2" t="s">
        <v>746</v>
      </c>
      <c r="B1497" s="2" t="s">
        <v>2589</v>
      </c>
      <c r="C1497" s="9">
        <v>10051412</v>
      </c>
      <c r="D1497" s="2" t="s">
        <v>2593</v>
      </c>
      <c r="E1497" s="10">
        <v>12</v>
      </c>
      <c r="F1497" s="9" t="s">
        <v>1638</v>
      </c>
      <c r="G1497" s="11">
        <v>46238</v>
      </c>
      <c r="H1497" s="12">
        <v>41.88</v>
      </c>
      <c r="I1497" s="12">
        <v>37.32</v>
      </c>
      <c r="J1497" s="9" t="s">
        <v>3</v>
      </c>
      <c r="K1497" s="8">
        <v>0</v>
      </c>
    </row>
    <row r="1498" spans="1:11">
      <c r="A1498" s="2" t="s">
        <v>1120</v>
      </c>
      <c r="B1498" s="2" t="s">
        <v>2594</v>
      </c>
      <c r="C1498" s="9">
        <v>10052007</v>
      </c>
      <c r="D1498" s="2" t="s">
        <v>2595</v>
      </c>
      <c r="E1498" s="10">
        <v>1</v>
      </c>
      <c r="F1498" s="9" t="s">
        <v>2596</v>
      </c>
      <c r="G1498" s="11">
        <v>46238</v>
      </c>
      <c r="H1498" s="12">
        <v>26.03</v>
      </c>
      <c r="I1498" s="12">
        <v>25.34</v>
      </c>
      <c r="J1498" s="9" t="s">
        <v>3</v>
      </c>
      <c r="K1498" s="8">
        <v>0</v>
      </c>
    </row>
    <row r="1499" spans="1:11">
      <c r="A1499" s="2" t="s">
        <v>842</v>
      </c>
      <c r="B1499" s="2" t="s">
        <v>2597</v>
      </c>
      <c r="C1499" s="9">
        <v>10052075</v>
      </c>
      <c r="D1499" s="2" t="s">
        <v>2598</v>
      </c>
      <c r="E1499" s="10">
        <v>10</v>
      </c>
      <c r="F1499" s="9" t="s">
        <v>995</v>
      </c>
      <c r="G1499" s="11">
        <v>46238</v>
      </c>
      <c r="H1499" s="12">
        <v>54.02</v>
      </c>
      <c r="I1499" s="12">
        <v>48.08</v>
      </c>
      <c r="J1499" s="9" t="s">
        <v>3</v>
      </c>
      <c r="K1499" s="8">
        <v>0</v>
      </c>
    </row>
    <row r="1500" spans="1:11">
      <c r="A1500" s="2" t="s">
        <v>842</v>
      </c>
      <c r="B1500" s="2" t="s">
        <v>2597</v>
      </c>
      <c r="C1500" s="9">
        <v>10052076</v>
      </c>
      <c r="D1500" s="2" t="s">
        <v>2599</v>
      </c>
      <c r="E1500" s="10">
        <v>10</v>
      </c>
      <c r="F1500" s="9" t="s">
        <v>995</v>
      </c>
      <c r="G1500" s="11">
        <v>46238</v>
      </c>
      <c r="H1500" s="12">
        <v>54.02</v>
      </c>
      <c r="I1500" s="12">
        <v>48.08</v>
      </c>
      <c r="J1500" s="9" t="s">
        <v>3</v>
      </c>
      <c r="K1500" s="8">
        <v>0</v>
      </c>
    </row>
    <row r="1501" spans="1:11">
      <c r="A1501" s="2" t="s">
        <v>842</v>
      </c>
      <c r="B1501" s="2" t="s">
        <v>2597</v>
      </c>
      <c r="C1501" s="9">
        <v>10052077</v>
      </c>
      <c r="D1501" s="2" t="s">
        <v>2600</v>
      </c>
      <c r="E1501" s="10">
        <v>10</v>
      </c>
      <c r="F1501" s="9" t="s">
        <v>995</v>
      </c>
      <c r="G1501" s="11">
        <v>46238</v>
      </c>
      <c r="H1501" s="12">
        <v>54.02</v>
      </c>
      <c r="I1501" s="12">
        <v>48.08</v>
      </c>
      <c r="J1501" s="9" t="s">
        <v>3</v>
      </c>
      <c r="K1501" s="8">
        <v>0</v>
      </c>
    </row>
    <row r="1502" spans="1:11">
      <c r="A1502" s="2" t="s">
        <v>842</v>
      </c>
      <c r="B1502" s="2" t="s">
        <v>2597</v>
      </c>
      <c r="C1502" s="9">
        <v>10052078</v>
      </c>
      <c r="D1502" s="2" t="s">
        <v>2601</v>
      </c>
      <c r="E1502" s="10">
        <v>10</v>
      </c>
      <c r="F1502" s="9" t="s">
        <v>995</v>
      </c>
      <c r="G1502" s="11">
        <v>46238</v>
      </c>
      <c r="H1502" s="12">
        <v>54.02</v>
      </c>
      <c r="I1502" s="12">
        <v>48.08</v>
      </c>
      <c r="J1502" s="9" t="s">
        <v>3</v>
      </c>
      <c r="K1502" s="8">
        <v>0</v>
      </c>
    </row>
    <row r="1503" spans="1:11">
      <c r="A1503" s="2" t="s">
        <v>842</v>
      </c>
      <c r="B1503" s="2" t="s">
        <v>2597</v>
      </c>
      <c r="C1503" s="9">
        <v>10052079</v>
      </c>
      <c r="D1503" s="2" t="s">
        <v>2602</v>
      </c>
      <c r="E1503" s="10">
        <v>10</v>
      </c>
      <c r="F1503" s="9" t="s">
        <v>995</v>
      </c>
      <c r="G1503" s="11">
        <v>46238</v>
      </c>
      <c r="H1503" s="12">
        <v>54.02</v>
      </c>
      <c r="I1503" s="12">
        <v>48.08</v>
      </c>
      <c r="J1503" s="9" t="s">
        <v>3</v>
      </c>
      <c r="K1503" s="8">
        <v>0</v>
      </c>
    </row>
    <row r="1504" spans="1:11">
      <c r="A1504" s="2" t="s">
        <v>842</v>
      </c>
      <c r="B1504" s="2" t="s">
        <v>2597</v>
      </c>
      <c r="C1504" s="9">
        <v>10052080</v>
      </c>
      <c r="D1504" s="2" t="s">
        <v>2603</v>
      </c>
      <c r="E1504" s="10">
        <v>12</v>
      </c>
      <c r="F1504" s="9" t="s">
        <v>2604</v>
      </c>
      <c r="G1504" s="11">
        <v>46238</v>
      </c>
      <c r="H1504" s="12">
        <v>50.17</v>
      </c>
      <c r="I1504" s="12">
        <v>44.65</v>
      </c>
      <c r="J1504" s="9" t="s">
        <v>3</v>
      </c>
      <c r="K1504" s="8">
        <v>0</v>
      </c>
    </row>
    <row r="1505" spans="1:11">
      <c r="A1505" s="2" t="s">
        <v>842</v>
      </c>
      <c r="B1505" s="2" t="s">
        <v>2597</v>
      </c>
      <c r="C1505" s="9">
        <v>10052081</v>
      </c>
      <c r="D1505" s="2" t="s">
        <v>2605</v>
      </c>
      <c r="E1505" s="10">
        <v>12</v>
      </c>
      <c r="F1505" s="9" t="s">
        <v>2604</v>
      </c>
      <c r="G1505" s="11">
        <v>46238</v>
      </c>
      <c r="H1505" s="12">
        <v>50.17</v>
      </c>
      <c r="I1505" s="12">
        <v>44.65</v>
      </c>
      <c r="J1505" s="9" t="s">
        <v>3</v>
      </c>
      <c r="K1505" s="8">
        <v>0</v>
      </c>
    </row>
    <row r="1506" spans="1:11">
      <c r="A1506" s="2" t="s">
        <v>842</v>
      </c>
      <c r="B1506" s="2" t="s">
        <v>2597</v>
      </c>
      <c r="C1506" s="9">
        <v>10052082</v>
      </c>
      <c r="D1506" s="2" t="s">
        <v>2606</v>
      </c>
      <c r="E1506" s="10">
        <v>10</v>
      </c>
      <c r="F1506" s="9" t="s">
        <v>995</v>
      </c>
      <c r="G1506" s="11">
        <v>46238</v>
      </c>
      <c r="H1506" s="12">
        <v>54.02</v>
      </c>
      <c r="I1506" s="12">
        <v>48.08</v>
      </c>
      <c r="J1506" s="9" t="s">
        <v>3</v>
      </c>
      <c r="K1506" s="8">
        <v>0</v>
      </c>
    </row>
    <row r="1507" spans="1:11">
      <c r="A1507" s="2" t="s">
        <v>842</v>
      </c>
      <c r="B1507" s="2" t="s">
        <v>2597</v>
      </c>
      <c r="C1507" s="9">
        <v>10052084</v>
      </c>
      <c r="D1507" s="2" t="s">
        <v>2607</v>
      </c>
      <c r="E1507" s="10">
        <v>8</v>
      </c>
      <c r="F1507" s="9" t="s">
        <v>982</v>
      </c>
      <c r="G1507" s="11">
        <v>46238</v>
      </c>
      <c r="H1507" s="12">
        <v>64.91</v>
      </c>
      <c r="I1507" s="12">
        <v>58.69</v>
      </c>
      <c r="J1507" s="9" t="s">
        <v>3</v>
      </c>
      <c r="K1507" s="8">
        <v>0</v>
      </c>
    </row>
    <row r="1508" spans="1:11">
      <c r="A1508" s="2" t="s">
        <v>949</v>
      </c>
      <c r="B1508" s="2" t="s">
        <v>950</v>
      </c>
      <c r="C1508" s="9">
        <v>10052104</v>
      </c>
      <c r="D1508" s="2" t="s">
        <v>2608</v>
      </c>
      <c r="E1508" s="10">
        <v>6</v>
      </c>
      <c r="F1508" s="9" t="s">
        <v>1015</v>
      </c>
      <c r="G1508" s="11">
        <v>46238</v>
      </c>
      <c r="H1508" s="12">
        <v>59.3</v>
      </c>
      <c r="I1508" s="12">
        <v>52.78</v>
      </c>
      <c r="J1508" s="9" t="s">
        <v>3</v>
      </c>
      <c r="K1508" s="8">
        <v>0</v>
      </c>
    </row>
    <row r="1509" spans="1:11">
      <c r="A1509" s="2" t="s">
        <v>906</v>
      </c>
      <c r="B1509" s="2" t="s">
        <v>2609</v>
      </c>
      <c r="C1509" s="9">
        <v>10052110</v>
      </c>
      <c r="D1509" s="2" t="s">
        <v>2610</v>
      </c>
      <c r="E1509" s="10">
        <v>12</v>
      </c>
      <c r="F1509" s="9" t="s">
        <v>969</v>
      </c>
      <c r="G1509" s="11">
        <v>46238</v>
      </c>
      <c r="H1509" s="12">
        <v>106.38</v>
      </c>
      <c r="I1509" s="12">
        <v>97.87</v>
      </c>
      <c r="J1509" s="9" t="s">
        <v>3</v>
      </c>
      <c r="K1509" s="8">
        <v>0</v>
      </c>
    </row>
    <row r="1510" spans="1:11">
      <c r="A1510" s="2" t="s">
        <v>906</v>
      </c>
      <c r="B1510" s="2" t="s">
        <v>2609</v>
      </c>
      <c r="C1510" s="9">
        <v>10052111</v>
      </c>
      <c r="D1510" s="2" t="s">
        <v>2611</v>
      </c>
      <c r="E1510" s="10">
        <v>12</v>
      </c>
      <c r="F1510" s="9" t="s">
        <v>969</v>
      </c>
      <c r="G1510" s="11">
        <v>46238</v>
      </c>
      <c r="H1510" s="12">
        <v>78.27</v>
      </c>
      <c r="I1510" s="12">
        <v>72.010000000000005</v>
      </c>
      <c r="J1510" s="9" t="s">
        <v>3</v>
      </c>
      <c r="K1510" s="8">
        <v>0</v>
      </c>
    </row>
    <row r="1511" spans="1:11">
      <c r="A1511" s="2" t="s">
        <v>906</v>
      </c>
      <c r="B1511" s="2" t="s">
        <v>2609</v>
      </c>
      <c r="C1511" s="9">
        <v>10052112</v>
      </c>
      <c r="D1511" s="2" t="s">
        <v>2612</v>
      </c>
      <c r="E1511" s="10">
        <v>12</v>
      </c>
      <c r="F1511" s="9" t="s">
        <v>969</v>
      </c>
      <c r="G1511" s="11">
        <v>46238</v>
      </c>
      <c r="H1511" s="12">
        <v>78</v>
      </c>
      <c r="I1511" s="12">
        <v>71.760000000000005</v>
      </c>
      <c r="J1511" s="9" t="s">
        <v>3</v>
      </c>
      <c r="K1511" s="8">
        <v>0</v>
      </c>
    </row>
    <row r="1512" spans="1:11">
      <c r="A1512" s="2" t="s">
        <v>906</v>
      </c>
      <c r="B1512" s="2" t="s">
        <v>2609</v>
      </c>
      <c r="C1512" s="9">
        <v>10052113</v>
      </c>
      <c r="D1512" s="2" t="s">
        <v>2613</v>
      </c>
      <c r="E1512" s="10">
        <v>12</v>
      </c>
      <c r="F1512" s="9" t="s">
        <v>969</v>
      </c>
      <c r="G1512" s="11">
        <v>46238</v>
      </c>
      <c r="H1512" s="12">
        <v>81.91</v>
      </c>
      <c r="I1512" s="12">
        <v>75.36</v>
      </c>
      <c r="J1512" s="9" t="s">
        <v>3</v>
      </c>
      <c r="K1512" s="8">
        <v>0</v>
      </c>
    </row>
    <row r="1513" spans="1:11">
      <c r="A1513" s="2" t="s">
        <v>906</v>
      </c>
      <c r="B1513" s="2" t="s">
        <v>2609</v>
      </c>
      <c r="C1513" s="9">
        <v>10052114</v>
      </c>
      <c r="D1513" s="2" t="s">
        <v>2614</v>
      </c>
      <c r="E1513" s="10">
        <v>12</v>
      </c>
      <c r="F1513" s="9" t="s">
        <v>969</v>
      </c>
      <c r="G1513" s="11">
        <v>46238</v>
      </c>
      <c r="H1513" s="12">
        <v>101.3</v>
      </c>
      <c r="I1513" s="12">
        <v>93.2</v>
      </c>
      <c r="J1513" s="9" t="s">
        <v>3</v>
      </c>
      <c r="K1513" s="8">
        <v>0</v>
      </c>
    </row>
    <row r="1514" spans="1:11">
      <c r="A1514" s="2" t="s">
        <v>906</v>
      </c>
      <c r="B1514" s="2" t="s">
        <v>2609</v>
      </c>
      <c r="C1514" s="9">
        <v>10052115</v>
      </c>
      <c r="D1514" s="2" t="s">
        <v>2615</v>
      </c>
      <c r="E1514" s="10">
        <v>12</v>
      </c>
      <c r="F1514" s="9" t="s">
        <v>969</v>
      </c>
      <c r="G1514" s="11">
        <v>46238</v>
      </c>
      <c r="H1514" s="12">
        <v>94.59</v>
      </c>
      <c r="I1514" s="12">
        <v>87.02</v>
      </c>
      <c r="J1514" s="9" t="s">
        <v>3</v>
      </c>
      <c r="K1514" s="8">
        <v>0</v>
      </c>
    </row>
    <row r="1515" spans="1:11">
      <c r="A1515" s="2" t="s">
        <v>906</v>
      </c>
      <c r="B1515" s="2" t="s">
        <v>2609</v>
      </c>
      <c r="C1515" s="9">
        <v>10052116</v>
      </c>
      <c r="D1515" s="2" t="s">
        <v>2616</v>
      </c>
      <c r="E1515" s="10">
        <v>12</v>
      </c>
      <c r="F1515" s="9" t="s">
        <v>969</v>
      </c>
      <c r="G1515" s="11">
        <v>46238</v>
      </c>
      <c r="H1515" s="12">
        <v>89.92</v>
      </c>
      <c r="I1515" s="12">
        <v>82.73</v>
      </c>
      <c r="J1515" s="9" t="s">
        <v>3</v>
      </c>
      <c r="K1515" s="8">
        <v>0</v>
      </c>
    </row>
    <row r="1516" spans="1:11">
      <c r="A1516" s="2" t="s">
        <v>906</v>
      </c>
      <c r="B1516" s="2" t="s">
        <v>2609</v>
      </c>
      <c r="C1516" s="9">
        <v>10052122</v>
      </c>
      <c r="D1516" s="2" t="s">
        <v>2617</v>
      </c>
      <c r="E1516" s="10">
        <v>12</v>
      </c>
      <c r="F1516" s="9" t="s">
        <v>969</v>
      </c>
      <c r="G1516" s="11">
        <v>46238</v>
      </c>
      <c r="H1516" s="12">
        <v>86.64</v>
      </c>
      <c r="I1516" s="12">
        <v>79.709999999999994</v>
      </c>
      <c r="J1516" s="9" t="s">
        <v>3</v>
      </c>
      <c r="K1516" s="8">
        <v>0</v>
      </c>
    </row>
    <row r="1517" spans="1:11">
      <c r="A1517" s="2" t="s">
        <v>906</v>
      </c>
      <c r="B1517" s="2" t="s">
        <v>2609</v>
      </c>
      <c r="C1517" s="9">
        <v>10052123</v>
      </c>
      <c r="D1517" s="2" t="s">
        <v>2618</v>
      </c>
      <c r="E1517" s="10">
        <v>12</v>
      </c>
      <c r="F1517" s="9" t="s">
        <v>969</v>
      </c>
      <c r="G1517" s="11">
        <v>46238</v>
      </c>
      <c r="H1517" s="12">
        <v>94.17</v>
      </c>
      <c r="I1517" s="12">
        <v>86.64</v>
      </c>
      <c r="J1517" s="9" t="s">
        <v>3</v>
      </c>
      <c r="K1517" s="8">
        <v>0</v>
      </c>
    </row>
    <row r="1518" spans="1:11">
      <c r="A1518" s="2" t="s">
        <v>906</v>
      </c>
      <c r="B1518" s="2" t="s">
        <v>2609</v>
      </c>
      <c r="C1518" s="9">
        <v>10052124</v>
      </c>
      <c r="D1518" s="2" t="s">
        <v>2619</v>
      </c>
      <c r="E1518" s="10">
        <v>1</v>
      </c>
      <c r="F1518" s="9" t="s">
        <v>2620</v>
      </c>
      <c r="G1518" s="11">
        <v>46238</v>
      </c>
      <c r="H1518" s="12">
        <v>47.17</v>
      </c>
      <c r="I1518" s="12">
        <v>43.4</v>
      </c>
      <c r="J1518" s="9" t="s">
        <v>3</v>
      </c>
      <c r="K1518" s="8">
        <v>1</v>
      </c>
    </row>
    <row r="1519" spans="1:11">
      <c r="A1519" s="2" t="s">
        <v>906</v>
      </c>
      <c r="B1519" s="2" t="s">
        <v>2609</v>
      </c>
      <c r="C1519" s="9">
        <v>10052125</v>
      </c>
      <c r="D1519" s="2" t="s">
        <v>2621</v>
      </c>
      <c r="E1519" s="10">
        <v>1</v>
      </c>
      <c r="F1519" s="9" t="s">
        <v>2620</v>
      </c>
      <c r="G1519" s="11">
        <v>46238</v>
      </c>
      <c r="H1519" s="12">
        <v>33.35</v>
      </c>
      <c r="I1519" s="12">
        <v>30.68</v>
      </c>
      <c r="J1519" s="9" t="s">
        <v>3</v>
      </c>
      <c r="K1519" s="8">
        <v>1</v>
      </c>
    </row>
    <row r="1520" spans="1:11">
      <c r="A1520" s="2" t="s">
        <v>906</v>
      </c>
      <c r="B1520" s="2" t="s">
        <v>2609</v>
      </c>
      <c r="C1520" s="9">
        <v>10052126</v>
      </c>
      <c r="D1520" s="2" t="s">
        <v>2622</v>
      </c>
      <c r="E1520" s="10">
        <v>1</v>
      </c>
      <c r="F1520" s="9" t="s">
        <v>1377</v>
      </c>
      <c r="G1520" s="11">
        <v>46238</v>
      </c>
      <c r="H1520" s="12">
        <v>33.200000000000003</v>
      </c>
      <c r="I1520" s="12">
        <v>30.54</v>
      </c>
      <c r="J1520" s="9" t="s">
        <v>3</v>
      </c>
      <c r="K1520" s="8">
        <v>1</v>
      </c>
    </row>
    <row r="1521" spans="1:11">
      <c r="A1521" s="2" t="s">
        <v>906</v>
      </c>
      <c r="B1521" s="2" t="s">
        <v>2609</v>
      </c>
      <c r="C1521" s="9">
        <v>10052127</v>
      </c>
      <c r="D1521" s="2" t="s">
        <v>2623</v>
      </c>
      <c r="E1521" s="10">
        <v>1</v>
      </c>
      <c r="F1521" s="9" t="s">
        <v>979</v>
      </c>
      <c r="G1521" s="11">
        <v>46238</v>
      </c>
      <c r="H1521" s="12">
        <v>37.380000000000003</v>
      </c>
      <c r="I1521" s="12">
        <v>34.39</v>
      </c>
      <c r="J1521" s="9" t="s">
        <v>3</v>
      </c>
      <c r="K1521" s="8">
        <v>1</v>
      </c>
    </row>
    <row r="1522" spans="1:11">
      <c r="A1522" s="2" t="s">
        <v>906</v>
      </c>
      <c r="B1522" s="2" t="s">
        <v>2609</v>
      </c>
      <c r="C1522" s="9">
        <v>10052128</v>
      </c>
      <c r="D1522" s="2" t="s">
        <v>2624</v>
      </c>
      <c r="E1522" s="10">
        <v>1</v>
      </c>
      <c r="F1522" s="9" t="s">
        <v>2620</v>
      </c>
      <c r="G1522" s="11">
        <v>46238</v>
      </c>
      <c r="H1522" s="12">
        <v>43.71</v>
      </c>
      <c r="I1522" s="12">
        <v>41.2</v>
      </c>
      <c r="J1522" s="9" t="s">
        <v>3</v>
      </c>
      <c r="K1522" s="8">
        <v>1</v>
      </c>
    </row>
    <row r="1523" spans="1:11">
      <c r="A1523" s="2" t="s">
        <v>906</v>
      </c>
      <c r="B1523" s="2" t="s">
        <v>2609</v>
      </c>
      <c r="C1523" s="9">
        <v>10052129</v>
      </c>
      <c r="D1523" s="2" t="s">
        <v>2625</v>
      </c>
      <c r="E1523" s="10">
        <v>1</v>
      </c>
      <c r="F1523" s="9" t="s">
        <v>2626</v>
      </c>
      <c r="G1523" s="11">
        <v>46238</v>
      </c>
      <c r="H1523" s="12">
        <v>41.58</v>
      </c>
      <c r="I1523" s="12">
        <v>38.25</v>
      </c>
      <c r="J1523" s="9" t="s">
        <v>3</v>
      </c>
      <c r="K1523" s="8">
        <v>1</v>
      </c>
    </row>
    <row r="1524" spans="1:11">
      <c r="A1524" s="2" t="s">
        <v>906</v>
      </c>
      <c r="B1524" s="2" t="s">
        <v>2609</v>
      </c>
      <c r="C1524" s="9">
        <v>10052131</v>
      </c>
      <c r="D1524" s="2" t="s">
        <v>2627</v>
      </c>
      <c r="E1524" s="10">
        <v>1</v>
      </c>
      <c r="F1524" s="9" t="s">
        <v>1023</v>
      </c>
      <c r="G1524" s="11">
        <v>46238</v>
      </c>
      <c r="H1524" s="12">
        <v>38.96</v>
      </c>
      <c r="I1524" s="12">
        <v>35.840000000000003</v>
      </c>
      <c r="J1524" s="9" t="s">
        <v>3</v>
      </c>
      <c r="K1524" s="8">
        <v>1</v>
      </c>
    </row>
    <row r="1525" spans="1:11">
      <c r="A1525" s="2" t="s">
        <v>1120</v>
      </c>
      <c r="B1525" s="2" t="s">
        <v>2628</v>
      </c>
      <c r="C1525" s="9">
        <v>10052951</v>
      </c>
      <c r="D1525" s="2" t="s">
        <v>2629</v>
      </c>
      <c r="E1525" s="10">
        <v>1</v>
      </c>
      <c r="F1525" s="9" t="s">
        <v>2630</v>
      </c>
      <c r="G1525" s="11">
        <v>46238</v>
      </c>
      <c r="H1525" s="12">
        <v>94.79</v>
      </c>
      <c r="I1525" s="12">
        <v>84.5</v>
      </c>
      <c r="J1525" s="9" t="s">
        <v>3</v>
      </c>
      <c r="K1525" s="8">
        <v>0</v>
      </c>
    </row>
    <row r="1526" spans="1:11">
      <c r="A1526" s="2" t="s">
        <v>746</v>
      </c>
      <c r="B1526" s="2" t="s">
        <v>2631</v>
      </c>
      <c r="C1526" s="9">
        <v>10053102</v>
      </c>
      <c r="D1526" s="2" t="s">
        <v>2632</v>
      </c>
      <c r="E1526" s="10">
        <v>12</v>
      </c>
      <c r="F1526" s="9" t="s">
        <v>781</v>
      </c>
      <c r="G1526" s="11">
        <v>46238</v>
      </c>
      <c r="H1526" s="12">
        <v>153.91</v>
      </c>
      <c r="I1526" s="12">
        <v>136.97999999999999</v>
      </c>
      <c r="J1526" s="9" t="s">
        <v>3</v>
      </c>
      <c r="K1526" s="8">
        <v>0</v>
      </c>
    </row>
    <row r="1527" spans="1:11">
      <c r="A1527" s="2" t="s">
        <v>746</v>
      </c>
      <c r="B1527" s="2" t="s">
        <v>2631</v>
      </c>
      <c r="C1527" s="9">
        <v>10053104</v>
      </c>
      <c r="D1527" s="2" t="s">
        <v>2632</v>
      </c>
      <c r="E1527" s="10">
        <v>12</v>
      </c>
      <c r="F1527" s="9" t="s">
        <v>2633</v>
      </c>
      <c r="G1527" s="11">
        <v>46238</v>
      </c>
      <c r="H1527" s="12">
        <v>86.89</v>
      </c>
      <c r="I1527" s="12">
        <v>77.33</v>
      </c>
      <c r="J1527" s="9" t="s">
        <v>3</v>
      </c>
      <c r="K1527" s="8">
        <v>0</v>
      </c>
    </row>
    <row r="1528" spans="1:11">
      <c r="A1528" s="2" t="s">
        <v>746</v>
      </c>
      <c r="B1528" s="2" t="s">
        <v>2631</v>
      </c>
      <c r="C1528" s="9">
        <v>10053105</v>
      </c>
      <c r="D1528" s="2" t="s">
        <v>2634</v>
      </c>
      <c r="E1528" s="10">
        <v>12</v>
      </c>
      <c r="F1528" s="9" t="s">
        <v>1534</v>
      </c>
      <c r="G1528" s="11">
        <v>46238</v>
      </c>
      <c r="H1528" s="12">
        <v>94.76</v>
      </c>
      <c r="I1528" s="12">
        <v>84.34</v>
      </c>
      <c r="J1528" s="9" t="s">
        <v>3</v>
      </c>
      <c r="K1528" s="8">
        <v>0</v>
      </c>
    </row>
    <row r="1529" spans="1:11">
      <c r="A1529" s="2" t="s">
        <v>746</v>
      </c>
      <c r="B1529" s="2" t="s">
        <v>2631</v>
      </c>
      <c r="C1529" s="9">
        <v>10053106</v>
      </c>
      <c r="D1529" s="2" t="s">
        <v>2635</v>
      </c>
      <c r="E1529" s="10">
        <v>12</v>
      </c>
      <c r="F1529" s="9" t="s">
        <v>2633</v>
      </c>
      <c r="G1529" s="11">
        <v>46238</v>
      </c>
      <c r="H1529" s="12">
        <v>102.35</v>
      </c>
      <c r="I1529" s="12">
        <v>91.09</v>
      </c>
      <c r="J1529" s="9" t="s">
        <v>3</v>
      </c>
      <c r="K1529" s="8">
        <v>0</v>
      </c>
    </row>
    <row r="1530" spans="1:11">
      <c r="A1530" s="2" t="s">
        <v>746</v>
      </c>
      <c r="B1530" s="2" t="s">
        <v>2631</v>
      </c>
      <c r="C1530" s="9">
        <v>10053107</v>
      </c>
      <c r="D1530" s="2" t="s">
        <v>2636</v>
      </c>
      <c r="E1530" s="10">
        <v>12</v>
      </c>
      <c r="F1530" s="9" t="s">
        <v>2633</v>
      </c>
      <c r="G1530" s="11">
        <v>46238</v>
      </c>
      <c r="H1530" s="12">
        <v>95.22</v>
      </c>
      <c r="I1530" s="12">
        <v>84.75</v>
      </c>
      <c r="J1530" s="9" t="s">
        <v>3</v>
      </c>
      <c r="K1530" s="8">
        <v>0</v>
      </c>
    </row>
    <row r="1531" spans="1:11">
      <c r="A1531" s="2" t="s">
        <v>891</v>
      </c>
      <c r="B1531" s="2" t="s">
        <v>2637</v>
      </c>
      <c r="C1531" s="9">
        <v>10053150</v>
      </c>
      <c r="D1531" s="2" t="s">
        <v>2638</v>
      </c>
      <c r="E1531" s="10">
        <v>1</v>
      </c>
      <c r="F1531" s="9" t="s">
        <v>2639</v>
      </c>
      <c r="G1531" s="11">
        <v>46238</v>
      </c>
      <c r="H1531" s="12">
        <v>39.33</v>
      </c>
      <c r="I1531" s="12">
        <v>35</v>
      </c>
      <c r="J1531" s="9" t="s">
        <v>3</v>
      </c>
      <c r="K1531" s="8">
        <v>0</v>
      </c>
    </row>
    <row r="1532" spans="1:11">
      <c r="A1532" s="2" t="s">
        <v>891</v>
      </c>
      <c r="B1532" s="2" t="s">
        <v>2637</v>
      </c>
      <c r="C1532" s="9">
        <v>10053151</v>
      </c>
      <c r="D1532" s="2" t="s">
        <v>2640</v>
      </c>
      <c r="E1532" s="10">
        <v>1</v>
      </c>
      <c r="F1532" s="9" t="s">
        <v>2639</v>
      </c>
      <c r="G1532" s="11">
        <v>46238</v>
      </c>
      <c r="H1532" s="12">
        <v>39.33</v>
      </c>
      <c r="I1532" s="12">
        <v>35</v>
      </c>
      <c r="J1532" s="9" t="s">
        <v>3</v>
      </c>
      <c r="K1532" s="8">
        <v>0</v>
      </c>
    </row>
    <row r="1533" spans="1:11">
      <c r="A1533" s="2" t="s">
        <v>891</v>
      </c>
      <c r="B1533" s="2" t="s">
        <v>2637</v>
      </c>
      <c r="C1533" s="9">
        <v>10053152</v>
      </c>
      <c r="D1533" s="2" t="s">
        <v>2641</v>
      </c>
      <c r="E1533" s="10">
        <v>1</v>
      </c>
      <c r="F1533" s="9" t="s">
        <v>2639</v>
      </c>
      <c r="G1533" s="11">
        <v>46238</v>
      </c>
      <c r="H1533" s="12">
        <v>39.33</v>
      </c>
      <c r="I1533" s="12">
        <v>35</v>
      </c>
      <c r="J1533" s="9" t="s">
        <v>3</v>
      </c>
      <c r="K1533" s="8">
        <v>0</v>
      </c>
    </row>
    <row r="1534" spans="1:11">
      <c r="A1534" s="2" t="s">
        <v>891</v>
      </c>
      <c r="B1534" s="2" t="s">
        <v>2637</v>
      </c>
      <c r="C1534" s="9">
        <v>10053153</v>
      </c>
      <c r="D1534" s="2" t="s">
        <v>2642</v>
      </c>
      <c r="E1534" s="10">
        <v>1</v>
      </c>
      <c r="F1534" s="9" t="s">
        <v>2639</v>
      </c>
      <c r="G1534" s="11">
        <v>46238</v>
      </c>
      <c r="H1534" s="12">
        <v>39.33</v>
      </c>
      <c r="I1534" s="12">
        <v>35</v>
      </c>
      <c r="J1534" s="9" t="s">
        <v>3</v>
      </c>
      <c r="K1534" s="8">
        <v>0</v>
      </c>
    </row>
    <row r="1535" spans="1:11">
      <c r="A1535" s="2" t="s">
        <v>891</v>
      </c>
      <c r="B1535" s="2" t="s">
        <v>2637</v>
      </c>
      <c r="C1535" s="9">
        <v>10053154</v>
      </c>
      <c r="D1535" s="2" t="s">
        <v>2643</v>
      </c>
      <c r="E1535" s="10">
        <v>1</v>
      </c>
      <c r="F1535" s="9" t="s">
        <v>2639</v>
      </c>
      <c r="G1535" s="11">
        <v>46238</v>
      </c>
      <c r="H1535" s="12">
        <v>39.33</v>
      </c>
      <c r="I1535" s="12">
        <v>35</v>
      </c>
      <c r="J1535" s="9" t="s">
        <v>3</v>
      </c>
      <c r="K1535" s="8">
        <v>0</v>
      </c>
    </row>
    <row r="1536" spans="1:11">
      <c r="A1536" s="2" t="s">
        <v>891</v>
      </c>
      <c r="B1536" s="2" t="s">
        <v>2637</v>
      </c>
      <c r="C1536" s="9">
        <v>10053155</v>
      </c>
      <c r="D1536" s="2" t="s">
        <v>2644</v>
      </c>
      <c r="E1536" s="10">
        <v>1</v>
      </c>
      <c r="F1536" s="9" t="s">
        <v>2639</v>
      </c>
      <c r="G1536" s="11">
        <v>46238</v>
      </c>
      <c r="H1536" s="12">
        <v>39.33</v>
      </c>
      <c r="I1536" s="12">
        <v>35</v>
      </c>
      <c r="J1536" s="9" t="s">
        <v>3</v>
      </c>
      <c r="K1536" s="8">
        <v>0</v>
      </c>
    </row>
    <row r="1537" spans="1:11">
      <c r="A1537" s="2" t="s">
        <v>891</v>
      </c>
      <c r="B1537" s="2" t="s">
        <v>2637</v>
      </c>
      <c r="C1537" s="9">
        <v>10053156</v>
      </c>
      <c r="D1537" s="2" t="s">
        <v>2645</v>
      </c>
      <c r="E1537" s="10">
        <v>1</v>
      </c>
      <c r="F1537" s="9" t="s">
        <v>2639</v>
      </c>
      <c r="G1537" s="11">
        <v>46238</v>
      </c>
      <c r="H1537" s="12">
        <v>39.33</v>
      </c>
      <c r="I1537" s="12">
        <v>35</v>
      </c>
      <c r="J1537" s="9" t="s">
        <v>3</v>
      </c>
      <c r="K1537" s="8">
        <v>0</v>
      </c>
    </row>
    <row r="1538" spans="1:11">
      <c r="A1538" s="2" t="s">
        <v>891</v>
      </c>
      <c r="B1538" s="2" t="s">
        <v>2637</v>
      </c>
      <c r="C1538" s="9">
        <v>10053157</v>
      </c>
      <c r="D1538" s="2" t="s">
        <v>2646</v>
      </c>
      <c r="E1538" s="10">
        <v>1</v>
      </c>
      <c r="F1538" s="9" t="s">
        <v>2639</v>
      </c>
      <c r="G1538" s="11">
        <v>46238</v>
      </c>
      <c r="H1538" s="12">
        <v>39.33</v>
      </c>
      <c r="I1538" s="12">
        <v>35</v>
      </c>
      <c r="J1538" s="9" t="s">
        <v>3</v>
      </c>
      <c r="K1538" s="8">
        <v>0</v>
      </c>
    </row>
    <row r="1539" spans="1:11">
      <c r="A1539" s="2" t="s">
        <v>891</v>
      </c>
      <c r="B1539" s="2" t="s">
        <v>2637</v>
      </c>
      <c r="C1539" s="9">
        <v>10053158</v>
      </c>
      <c r="D1539" s="2" t="s">
        <v>2647</v>
      </c>
      <c r="E1539" s="10">
        <v>1</v>
      </c>
      <c r="F1539" s="9" t="s">
        <v>2639</v>
      </c>
      <c r="G1539" s="11">
        <v>46238</v>
      </c>
      <c r="H1539" s="12">
        <v>39.33</v>
      </c>
      <c r="I1539" s="12">
        <v>35</v>
      </c>
      <c r="J1539" s="9" t="s">
        <v>3</v>
      </c>
      <c r="K1539" s="8">
        <v>0</v>
      </c>
    </row>
    <row r="1540" spans="1:11">
      <c r="A1540" s="2" t="s">
        <v>891</v>
      </c>
      <c r="B1540" s="2" t="s">
        <v>2637</v>
      </c>
      <c r="C1540" s="9">
        <v>10053159</v>
      </c>
      <c r="D1540" s="2" t="s">
        <v>2648</v>
      </c>
      <c r="E1540" s="10">
        <v>1</v>
      </c>
      <c r="F1540" s="9" t="s">
        <v>2639</v>
      </c>
      <c r="G1540" s="11">
        <v>46238</v>
      </c>
      <c r="H1540" s="12">
        <v>39.33</v>
      </c>
      <c r="I1540" s="12">
        <v>35</v>
      </c>
      <c r="J1540" s="9" t="s">
        <v>3</v>
      </c>
      <c r="K1540" s="8">
        <v>0</v>
      </c>
    </row>
    <row r="1541" spans="1:11">
      <c r="A1541" s="2" t="s">
        <v>891</v>
      </c>
      <c r="B1541" s="2" t="s">
        <v>2637</v>
      </c>
      <c r="C1541" s="9">
        <v>10053160</v>
      </c>
      <c r="D1541" s="2" t="s">
        <v>2649</v>
      </c>
      <c r="E1541" s="10">
        <v>1</v>
      </c>
      <c r="F1541" s="9" t="s">
        <v>2639</v>
      </c>
      <c r="G1541" s="11">
        <v>46238</v>
      </c>
      <c r="H1541" s="12">
        <v>39.33</v>
      </c>
      <c r="I1541" s="12">
        <v>35</v>
      </c>
      <c r="J1541" s="9" t="s">
        <v>3</v>
      </c>
      <c r="K1541" s="8">
        <v>0</v>
      </c>
    </row>
    <row r="1542" spans="1:11">
      <c r="A1542" s="2" t="s">
        <v>891</v>
      </c>
      <c r="B1542" s="2" t="s">
        <v>2637</v>
      </c>
      <c r="C1542" s="9">
        <v>10053162</v>
      </c>
      <c r="D1542" s="2" t="s">
        <v>2648</v>
      </c>
      <c r="E1542" s="10">
        <v>2</v>
      </c>
      <c r="F1542" s="9" t="s">
        <v>2357</v>
      </c>
      <c r="G1542" s="11">
        <v>46238</v>
      </c>
      <c r="H1542" s="12">
        <v>39.32</v>
      </c>
      <c r="I1542" s="12">
        <v>35</v>
      </c>
      <c r="J1542" s="9" t="s">
        <v>3</v>
      </c>
      <c r="K1542" s="8">
        <v>0</v>
      </c>
    </row>
    <row r="1543" spans="1:11">
      <c r="A1543" s="2" t="s">
        <v>891</v>
      </c>
      <c r="B1543" s="2" t="s">
        <v>2637</v>
      </c>
      <c r="C1543" s="9">
        <v>10053163</v>
      </c>
      <c r="D1543" s="2" t="s">
        <v>2650</v>
      </c>
      <c r="E1543" s="10">
        <v>1</v>
      </c>
      <c r="F1543" s="9" t="s">
        <v>2639</v>
      </c>
      <c r="G1543" s="11">
        <v>46238</v>
      </c>
      <c r="H1543" s="12">
        <v>39.33</v>
      </c>
      <c r="I1543" s="12">
        <v>35</v>
      </c>
      <c r="J1543" s="9" t="s">
        <v>3</v>
      </c>
      <c r="K1543" s="8">
        <v>0</v>
      </c>
    </row>
    <row r="1544" spans="1:11">
      <c r="A1544" s="2" t="s">
        <v>891</v>
      </c>
      <c r="B1544" s="2" t="s">
        <v>2637</v>
      </c>
      <c r="C1544" s="9">
        <v>10053164</v>
      </c>
      <c r="D1544" s="2" t="s">
        <v>2641</v>
      </c>
      <c r="E1544" s="10">
        <v>2</v>
      </c>
      <c r="F1544" s="9" t="s">
        <v>2357</v>
      </c>
      <c r="G1544" s="11">
        <v>46238</v>
      </c>
      <c r="H1544" s="12">
        <v>39.32</v>
      </c>
      <c r="I1544" s="12">
        <v>35</v>
      </c>
      <c r="J1544" s="9" t="s">
        <v>3</v>
      </c>
      <c r="K1544" s="8">
        <v>0</v>
      </c>
    </row>
    <row r="1545" spans="1:11">
      <c r="A1545" s="2" t="s">
        <v>891</v>
      </c>
      <c r="B1545" s="2" t="s">
        <v>2637</v>
      </c>
      <c r="C1545" s="9">
        <v>10053165</v>
      </c>
      <c r="D1545" s="2" t="s">
        <v>2651</v>
      </c>
      <c r="E1545" s="10">
        <v>2</v>
      </c>
      <c r="F1545" s="9" t="s">
        <v>2357</v>
      </c>
      <c r="G1545" s="11">
        <v>46238</v>
      </c>
      <c r="H1545" s="12">
        <v>49.96</v>
      </c>
      <c r="I1545" s="12">
        <v>44.46</v>
      </c>
      <c r="J1545" s="9" t="s">
        <v>3</v>
      </c>
      <c r="K1545" s="8">
        <v>0</v>
      </c>
    </row>
    <row r="1546" spans="1:11">
      <c r="A1546" s="2" t="s">
        <v>891</v>
      </c>
      <c r="B1546" s="2" t="s">
        <v>2637</v>
      </c>
      <c r="C1546" s="9">
        <v>10053166</v>
      </c>
      <c r="D1546" s="2" t="s">
        <v>2652</v>
      </c>
      <c r="E1546" s="10">
        <v>2</v>
      </c>
      <c r="F1546" s="9" t="s">
        <v>2357</v>
      </c>
      <c r="G1546" s="11">
        <v>46238</v>
      </c>
      <c r="H1546" s="12">
        <v>39.32</v>
      </c>
      <c r="I1546" s="12">
        <v>35</v>
      </c>
      <c r="J1546" s="9" t="s">
        <v>3</v>
      </c>
      <c r="K1546" s="8">
        <v>0</v>
      </c>
    </row>
    <row r="1547" spans="1:11">
      <c r="A1547" s="2" t="s">
        <v>891</v>
      </c>
      <c r="B1547" s="2" t="s">
        <v>2637</v>
      </c>
      <c r="C1547" s="9">
        <v>10053167</v>
      </c>
      <c r="D1547" s="2" t="s">
        <v>2653</v>
      </c>
      <c r="E1547" s="10">
        <v>2</v>
      </c>
      <c r="F1547" s="9" t="s">
        <v>2357</v>
      </c>
      <c r="G1547" s="11">
        <v>46238</v>
      </c>
      <c r="H1547" s="12">
        <v>39.32</v>
      </c>
      <c r="I1547" s="12">
        <v>35</v>
      </c>
      <c r="J1547" s="9" t="s">
        <v>3</v>
      </c>
      <c r="K1547" s="8">
        <v>0</v>
      </c>
    </row>
    <row r="1548" spans="1:11">
      <c r="A1548" s="2" t="s">
        <v>891</v>
      </c>
      <c r="B1548" s="2" t="s">
        <v>2637</v>
      </c>
      <c r="C1548" s="9">
        <v>10053168</v>
      </c>
      <c r="D1548" s="2" t="s">
        <v>2654</v>
      </c>
      <c r="E1548" s="10">
        <v>1</v>
      </c>
      <c r="F1548" s="9" t="s">
        <v>2655</v>
      </c>
      <c r="G1548" s="11">
        <v>46238</v>
      </c>
      <c r="H1548" s="12">
        <v>33.67</v>
      </c>
      <c r="I1548" s="12">
        <v>29.97</v>
      </c>
      <c r="J1548" s="9" t="s">
        <v>3</v>
      </c>
      <c r="K1548" s="8">
        <v>0</v>
      </c>
    </row>
    <row r="1549" spans="1:11">
      <c r="A1549" s="2" t="s">
        <v>891</v>
      </c>
      <c r="B1549" s="2" t="s">
        <v>2637</v>
      </c>
      <c r="C1549" s="9">
        <v>10053169</v>
      </c>
      <c r="D1549" s="2" t="s">
        <v>2656</v>
      </c>
      <c r="E1549" s="10">
        <v>1</v>
      </c>
      <c r="F1549" s="9" t="s">
        <v>2657</v>
      </c>
      <c r="G1549" s="11">
        <v>46238</v>
      </c>
      <c r="H1549" s="12">
        <v>39.33</v>
      </c>
      <c r="I1549" s="12">
        <v>35</v>
      </c>
      <c r="J1549" s="9" t="s">
        <v>3</v>
      </c>
      <c r="K1549" s="8">
        <v>0</v>
      </c>
    </row>
    <row r="1550" spans="1:11">
      <c r="A1550" s="2" t="s">
        <v>891</v>
      </c>
      <c r="B1550" s="2" t="s">
        <v>2637</v>
      </c>
      <c r="C1550" s="9">
        <v>10053170</v>
      </c>
      <c r="D1550" s="2" t="s">
        <v>2658</v>
      </c>
      <c r="E1550" s="10">
        <v>2</v>
      </c>
      <c r="F1550" s="9" t="s">
        <v>2357</v>
      </c>
      <c r="G1550" s="11">
        <v>46238</v>
      </c>
      <c r="H1550" s="12">
        <v>39.32</v>
      </c>
      <c r="I1550" s="12">
        <v>35</v>
      </c>
      <c r="J1550" s="9" t="s">
        <v>3</v>
      </c>
      <c r="K1550" s="8">
        <v>0</v>
      </c>
    </row>
    <row r="1551" spans="1:11">
      <c r="A1551" s="2" t="s">
        <v>891</v>
      </c>
      <c r="B1551" s="2" t="s">
        <v>2637</v>
      </c>
      <c r="C1551" s="9">
        <v>10053171</v>
      </c>
      <c r="D1551" s="2" t="s">
        <v>2659</v>
      </c>
      <c r="E1551" s="10">
        <v>2</v>
      </c>
      <c r="F1551" s="9" t="s">
        <v>2357</v>
      </c>
      <c r="G1551" s="11">
        <v>46238</v>
      </c>
      <c r="H1551" s="12">
        <v>39.32</v>
      </c>
      <c r="I1551" s="12">
        <v>35</v>
      </c>
      <c r="J1551" s="9" t="s">
        <v>3</v>
      </c>
      <c r="K1551" s="8">
        <v>0</v>
      </c>
    </row>
    <row r="1552" spans="1:11">
      <c r="A1552" s="2" t="s">
        <v>663</v>
      </c>
      <c r="B1552" s="2" t="s">
        <v>2660</v>
      </c>
      <c r="C1552" s="9">
        <v>10053172</v>
      </c>
      <c r="D1552" s="2" t="s">
        <v>2661</v>
      </c>
      <c r="E1552" s="10">
        <v>12</v>
      </c>
      <c r="F1552" s="9" t="s">
        <v>1306</v>
      </c>
      <c r="G1552" s="11">
        <v>46238</v>
      </c>
      <c r="H1552" s="12">
        <v>52.57</v>
      </c>
      <c r="I1552" s="12">
        <v>46.79</v>
      </c>
      <c r="J1552" s="9" t="s">
        <v>3</v>
      </c>
      <c r="K1552" s="8">
        <v>0</v>
      </c>
    </row>
    <row r="1553" spans="1:11">
      <c r="A1553" s="2" t="s">
        <v>663</v>
      </c>
      <c r="B1553" s="2" t="s">
        <v>2660</v>
      </c>
      <c r="C1553" s="9">
        <v>10053174</v>
      </c>
      <c r="D1553" s="2" t="s">
        <v>2662</v>
      </c>
      <c r="E1553" s="10">
        <v>12</v>
      </c>
      <c r="F1553" s="9" t="s">
        <v>955</v>
      </c>
      <c r="G1553" s="11">
        <v>46238</v>
      </c>
      <c r="H1553" s="12">
        <v>56.54</v>
      </c>
      <c r="I1553" s="12">
        <v>50.34</v>
      </c>
      <c r="J1553" s="9" t="s">
        <v>3</v>
      </c>
      <c r="K1553" s="8">
        <v>0</v>
      </c>
    </row>
    <row r="1554" spans="1:11">
      <c r="A1554" s="2" t="s">
        <v>663</v>
      </c>
      <c r="B1554" s="2" t="s">
        <v>2660</v>
      </c>
      <c r="C1554" s="9">
        <v>10053175</v>
      </c>
      <c r="D1554" s="2" t="s">
        <v>2663</v>
      </c>
      <c r="E1554" s="10">
        <v>12</v>
      </c>
      <c r="F1554" s="9" t="s">
        <v>955</v>
      </c>
      <c r="G1554" s="11">
        <v>46238</v>
      </c>
      <c r="H1554" s="12">
        <v>56.54</v>
      </c>
      <c r="I1554" s="12">
        <v>50.34</v>
      </c>
      <c r="J1554" s="9" t="s">
        <v>3</v>
      </c>
      <c r="K1554" s="8">
        <v>0</v>
      </c>
    </row>
    <row r="1555" spans="1:11">
      <c r="A1555" s="2" t="s">
        <v>663</v>
      </c>
      <c r="B1555" s="2" t="s">
        <v>2660</v>
      </c>
      <c r="C1555" s="9">
        <v>10053176</v>
      </c>
      <c r="D1555" s="2" t="s">
        <v>2664</v>
      </c>
      <c r="E1555" s="10">
        <v>12</v>
      </c>
      <c r="F1555" s="9" t="s">
        <v>955</v>
      </c>
      <c r="G1555" s="11">
        <v>46238</v>
      </c>
      <c r="H1555" s="12">
        <v>56.56</v>
      </c>
      <c r="I1555" s="12">
        <v>50.34</v>
      </c>
      <c r="J1555" s="9" t="s">
        <v>3</v>
      </c>
      <c r="K1555" s="8">
        <v>0</v>
      </c>
    </row>
    <row r="1556" spans="1:11">
      <c r="A1556" s="2" t="s">
        <v>663</v>
      </c>
      <c r="B1556" s="2" t="s">
        <v>2660</v>
      </c>
      <c r="C1556" s="9">
        <v>10053177</v>
      </c>
      <c r="D1556" s="2" t="s">
        <v>2651</v>
      </c>
      <c r="E1556" s="10">
        <v>12</v>
      </c>
      <c r="F1556" s="9" t="s">
        <v>955</v>
      </c>
      <c r="G1556" s="11">
        <v>46238</v>
      </c>
      <c r="H1556" s="12">
        <v>56.56</v>
      </c>
      <c r="I1556" s="12">
        <v>50.34</v>
      </c>
      <c r="J1556" s="9" t="s">
        <v>3</v>
      </c>
      <c r="K1556" s="8">
        <v>0</v>
      </c>
    </row>
    <row r="1557" spans="1:11">
      <c r="A1557" s="2" t="s">
        <v>663</v>
      </c>
      <c r="B1557" s="2" t="s">
        <v>2660</v>
      </c>
      <c r="C1557" s="9">
        <v>10053178</v>
      </c>
      <c r="D1557" s="2" t="s">
        <v>2665</v>
      </c>
      <c r="E1557" s="10">
        <v>12</v>
      </c>
      <c r="F1557" s="9" t="s">
        <v>955</v>
      </c>
      <c r="G1557" s="11">
        <v>46238</v>
      </c>
      <c r="H1557" s="12">
        <v>56.56</v>
      </c>
      <c r="I1557" s="12">
        <v>50.34</v>
      </c>
      <c r="J1557" s="9" t="s">
        <v>3</v>
      </c>
      <c r="K1557" s="8">
        <v>0</v>
      </c>
    </row>
    <row r="1558" spans="1:11">
      <c r="A1558" s="2" t="s">
        <v>663</v>
      </c>
      <c r="B1558" s="2" t="s">
        <v>2660</v>
      </c>
      <c r="C1558" s="9">
        <v>10053179</v>
      </c>
      <c r="D1558" s="2" t="s">
        <v>2666</v>
      </c>
      <c r="E1558" s="10">
        <v>12</v>
      </c>
      <c r="F1558" s="9" t="s">
        <v>1306</v>
      </c>
      <c r="G1558" s="11">
        <v>46238</v>
      </c>
      <c r="H1558" s="12">
        <v>52.57</v>
      </c>
      <c r="I1558" s="12">
        <v>46.79</v>
      </c>
      <c r="J1558" s="9" t="s">
        <v>3</v>
      </c>
      <c r="K1558" s="8">
        <v>0</v>
      </c>
    </row>
    <row r="1559" spans="1:11">
      <c r="A1559" s="2" t="s">
        <v>663</v>
      </c>
      <c r="B1559" s="2" t="s">
        <v>2660</v>
      </c>
      <c r="C1559" s="9">
        <v>10053180</v>
      </c>
      <c r="D1559" s="2" t="s">
        <v>2667</v>
      </c>
      <c r="E1559" s="10">
        <v>12</v>
      </c>
      <c r="F1559" s="9" t="s">
        <v>1306</v>
      </c>
      <c r="G1559" s="11">
        <v>46238</v>
      </c>
      <c r="H1559" s="12">
        <v>52.57</v>
      </c>
      <c r="I1559" s="12">
        <v>46.79</v>
      </c>
      <c r="J1559" s="9" t="s">
        <v>3</v>
      </c>
      <c r="K1559" s="8">
        <v>0</v>
      </c>
    </row>
    <row r="1560" spans="1:11">
      <c r="A1560" s="2" t="s">
        <v>663</v>
      </c>
      <c r="B1560" s="2" t="s">
        <v>2660</v>
      </c>
      <c r="C1560" s="9">
        <v>10053181</v>
      </c>
      <c r="D1560" s="2" t="s">
        <v>2668</v>
      </c>
      <c r="E1560" s="10">
        <v>12</v>
      </c>
      <c r="F1560" s="9" t="s">
        <v>955</v>
      </c>
      <c r="G1560" s="11">
        <v>46238</v>
      </c>
      <c r="H1560" s="12">
        <v>56.56</v>
      </c>
      <c r="I1560" s="12">
        <v>50.34</v>
      </c>
      <c r="J1560" s="9" t="s">
        <v>3</v>
      </c>
      <c r="K1560" s="8">
        <v>0</v>
      </c>
    </row>
    <row r="1561" spans="1:11">
      <c r="A1561" s="2" t="s">
        <v>663</v>
      </c>
      <c r="B1561" s="2" t="s">
        <v>2660</v>
      </c>
      <c r="C1561" s="9">
        <v>10053182</v>
      </c>
      <c r="D1561" s="2" t="s">
        <v>2669</v>
      </c>
      <c r="E1561" s="10">
        <v>12</v>
      </c>
      <c r="F1561" s="9" t="s">
        <v>955</v>
      </c>
      <c r="G1561" s="11">
        <v>46238</v>
      </c>
      <c r="H1561" s="12">
        <v>56.56</v>
      </c>
      <c r="I1561" s="12">
        <v>50.34</v>
      </c>
      <c r="J1561" s="9" t="s">
        <v>3</v>
      </c>
      <c r="K1561" s="8">
        <v>0</v>
      </c>
    </row>
    <row r="1562" spans="1:11">
      <c r="A1562" s="2" t="s">
        <v>663</v>
      </c>
      <c r="B1562" s="2" t="s">
        <v>2660</v>
      </c>
      <c r="C1562" s="9">
        <v>10053183</v>
      </c>
      <c r="D1562" s="2" t="s">
        <v>2670</v>
      </c>
      <c r="E1562" s="10">
        <v>12</v>
      </c>
      <c r="F1562" s="9" t="s">
        <v>955</v>
      </c>
      <c r="G1562" s="11">
        <v>46238</v>
      </c>
      <c r="H1562" s="12">
        <v>56.56</v>
      </c>
      <c r="I1562" s="12">
        <v>50.34</v>
      </c>
      <c r="J1562" s="9" t="s">
        <v>3</v>
      </c>
      <c r="K1562" s="8">
        <v>0</v>
      </c>
    </row>
    <row r="1563" spans="1:11">
      <c r="A1563" s="2" t="s">
        <v>1662</v>
      </c>
      <c r="B1563" s="2" t="s">
        <v>2671</v>
      </c>
      <c r="C1563" s="9">
        <v>10054142</v>
      </c>
      <c r="D1563" s="2" t="s">
        <v>2672</v>
      </c>
      <c r="E1563" s="10">
        <v>12</v>
      </c>
      <c r="F1563" s="9" t="s">
        <v>2673</v>
      </c>
      <c r="G1563" s="11">
        <v>46238</v>
      </c>
      <c r="H1563" s="12">
        <v>18.579999999999998</v>
      </c>
      <c r="I1563" s="12">
        <v>17.09</v>
      </c>
      <c r="J1563" s="9" t="s">
        <v>3</v>
      </c>
      <c r="K1563" s="8">
        <v>0</v>
      </c>
    </row>
    <row r="1564" spans="1:11">
      <c r="A1564" s="2" t="s">
        <v>1662</v>
      </c>
      <c r="B1564" s="2" t="s">
        <v>2671</v>
      </c>
      <c r="C1564" s="9">
        <v>10054143</v>
      </c>
      <c r="D1564" s="2" t="s">
        <v>2674</v>
      </c>
      <c r="E1564" s="10">
        <v>12</v>
      </c>
      <c r="F1564" s="9" t="s">
        <v>2673</v>
      </c>
      <c r="G1564" s="11">
        <v>46238</v>
      </c>
      <c r="H1564" s="12">
        <v>18.579999999999998</v>
      </c>
      <c r="I1564" s="12">
        <v>17.09</v>
      </c>
      <c r="J1564" s="9" t="s">
        <v>3</v>
      </c>
      <c r="K1564" s="8">
        <v>0</v>
      </c>
    </row>
    <row r="1565" spans="1:11">
      <c r="A1565" s="2" t="s">
        <v>1662</v>
      </c>
      <c r="B1565" s="2" t="s">
        <v>2671</v>
      </c>
      <c r="C1565" s="9">
        <v>10054144</v>
      </c>
      <c r="D1565" s="2" t="s">
        <v>2675</v>
      </c>
      <c r="E1565" s="10">
        <v>12</v>
      </c>
      <c r="F1565" s="9" t="s">
        <v>2673</v>
      </c>
      <c r="G1565" s="11">
        <v>46238</v>
      </c>
      <c r="H1565" s="12">
        <v>18.579999999999998</v>
      </c>
      <c r="I1565" s="12">
        <v>17.09</v>
      </c>
      <c r="J1565" s="9" t="s">
        <v>3</v>
      </c>
      <c r="K1565" s="8">
        <v>0</v>
      </c>
    </row>
    <row r="1566" spans="1:11">
      <c r="A1566" s="2" t="s">
        <v>1662</v>
      </c>
      <c r="B1566" s="2" t="s">
        <v>2671</v>
      </c>
      <c r="C1566" s="9">
        <v>10054145</v>
      </c>
      <c r="D1566" s="2" t="s">
        <v>2676</v>
      </c>
      <c r="E1566" s="10">
        <v>12</v>
      </c>
      <c r="F1566" s="9" t="s">
        <v>2673</v>
      </c>
      <c r="G1566" s="11">
        <v>46238</v>
      </c>
      <c r="H1566" s="12">
        <v>18.579999999999998</v>
      </c>
      <c r="I1566" s="12">
        <v>17.09</v>
      </c>
      <c r="J1566" s="9" t="s">
        <v>3</v>
      </c>
      <c r="K1566" s="8">
        <v>0</v>
      </c>
    </row>
    <row r="1567" spans="1:11">
      <c r="A1567" s="2" t="s">
        <v>1662</v>
      </c>
      <c r="B1567" s="2" t="s">
        <v>2671</v>
      </c>
      <c r="C1567" s="9">
        <v>10054147</v>
      </c>
      <c r="D1567" s="2" t="s">
        <v>2677</v>
      </c>
      <c r="E1567" s="10">
        <v>12</v>
      </c>
      <c r="F1567" s="9" t="s">
        <v>2673</v>
      </c>
      <c r="G1567" s="11">
        <v>46238</v>
      </c>
      <c r="H1567" s="12">
        <v>18.579999999999998</v>
      </c>
      <c r="I1567" s="12">
        <v>17.09</v>
      </c>
      <c r="J1567" s="9" t="s">
        <v>3</v>
      </c>
      <c r="K1567" s="8">
        <v>0</v>
      </c>
    </row>
    <row r="1568" spans="1:11">
      <c r="A1568" s="2" t="s">
        <v>1662</v>
      </c>
      <c r="B1568" s="2" t="s">
        <v>2671</v>
      </c>
      <c r="C1568" s="9">
        <v>10054149</v>
      </c>
      <c r="D1568" s="2" t="s">
        <v>2678</v>
      </c>
      <c r="E1568" s="10">
        <v>12</v>
      </c>
      <c r="F1568" s="9" t="s">
        <v>2673</v>
      </c>
      <c r="G1568" s="11">
        <v>46238</v>
      </c>
      <c r="H1568" s="12">
        <v>18.579999999999998</v>
      </c>
      <c r="I1568" s="12">
        <v>17.09</v>
      </c>
      <c r="J1568" s="9" t="s">
        <v>3</v>
      </c>
      <c r="K1568" s="8">
        <v>0</v>
      </c>
    </row>
    <row r="1569" spans="1:11">
      <c r="A1569" s="2" t="s">
        <v>1662</v>
      </c>
      <c r="B1569" s="2" t="s">
        <v>2671</v>
      </c>
      <c r="C1569" s="9">
        <v>10054166</v>
      </c>
      <c r="D1569" s="2" t="s">
        <v>2679</v>
      </c>
      <c r="E1569" s="10">
        <v>12</v>
      </c>
      <c r="F1569" s="9" t="s">
        <v>2673</v>
      </c>
      <c r="G1569" s="11">
        <v>46238</v>
      </c>
      <c r="H1569" s="12">
        <v>18.579999999999998</v>
      </c>
      <c r="I1569" s="12">
        <v>17.09</v>
      </c>
      <c r="J1569" s="9" t="s">
        <v>3</v>
      </c>
      <c r="K1569" s="8">
        <v>0</v>
      </c>
    </row>
    <row r="1570" spans="1:11">
      <c r="A1570" s="2" t="s">
        <v>1662</v>
      </c>
      <c r="B1570" s="2" t="s">
        <v>2671</v>
      </c>
      <c r="C1570" s="9">
        <v>10054167</v>
      </c>
      <c r="D1570" s="2" t="s">
        <v>2680</v>
      </c>
      <c r="E1570" s="10">
        <v>12</v>
      </c>
      <c r="F1570" s="9" t="s">
        <v>2673</v>
      </c>
      <c r="G1570" s="11">
        <v>46238</v>
      </c>
      <c r="H1570" s="12">
        <v>18.579999999999998</v>
      </c>
      <c r="I1570" s="12">
        <v>17.09</v>
      </c>
      <c r="J1570" s="9" t="s">
        <v>3</v>
      </c>
      <c r="K1570" s="8">
        <v>0</v>
      </c>
    </row>
    <row r="1571" spans="1:11">
      <c r="A1571" s="2" t="s">
        <v>925</v>
      </c>
      <c r="B1571" s="2" t="s">
        <v>2681</v>
      </c>
      <c r="C1571" s="9">
        <v>10054170</v>
      </c>
      <c r="D1571" s="2" t="s">
        <v>2682</v>
      </c>
      <c r="E1571" s="10">
        <v>6</v>
      </c>
      <c r="F1571" s="9" t="s">
        <v>2683</v>
      </c>
      <c r="G1571" s="11">
        <v>46238</v>
      </c>
      <c r="H1571" s="12">
        <v>76.66</v>
      </c>
      <c r="I1571" s="12">
        <v>68.23</v>
      </c>
      <c r="J1571" s="9" t="s">
        <v>3</v>
      </c>
      <c r="K1571" s="8">
        <v>0</v>
      </c>
    </row>
    <row r="1572" spans="1:11">
      <c r="A1572" s="2" t="s">
        <v>925</v>
      </c>
      <c r="B1572" s="2" t="s">
        <v>2681</v>
      </c>
      <c r="C1572" s="9">
        <v>10054171</v>
      </c>
      <c r="D1572" s="2" t="s">
        <v>2684</v>
      </c>
      <c r="E1572" s="10">
        <v>6</v>
      </c>
      <c r="F1572" s="9" t="s">
        <v>2683</v>
      </c>
      <c r="G1572" s="11">
        <v>46238</v>
      </c>
      <c r="H1572" s="12">
        <v>76.66</v>
      </c>
      <c r="I1572" s="12">
        <v>68.23</v>
      </c>
      <c r="J1572" s="9" t="s">
        <v>3</v>
      </c>
      <c r="K1572" s="8">
        <v>0</v>
      </c>
    </row>
    <row r="1573" spans="1:11">
      <c r="A1573" s="2" t="s">
        <v>925</v>
      </c>
      <c r="B1573" s="2" t="s">
        <v>2298</v>
      </c>
      <c r="C1573" s="9">
        <v>10054172</v>
      </c>
      <c r="D1573" s="2" t="s">
        <v>2685</v>
      </c>
      <c r="E1573" s="10">
        <v>6</v>
      </c>
      <c r="F1573" s="9" t="s">
        <v>866</v>
      </c>
      <c r="G1573" s="11">
        <v>46238</v>
      </c>
      <c r="H1573" s="12">
        <v>22.18</v>
      </c>
      <c r="I1573" s="12">
        <v>19.739999999999998</v>
      </c>
      <c r="J1573" s="9" t="s">
        <v>3</v>
      </c>
      <c r="K1573" s="8">
        <v>0</v>
      </c>
    </row>
    <row r="1574" spans="1:11">
      <c r="A1574" s="2" t="s">
        <v>925</v>
      </c>
      <c r="B1574" s="2" t="s">
        <v>2681</v>
      </c>
      <c r="C1574" s="9">
        <v>10054173</v>
      </c>
      <c r="D1574" s="2" t="s">
        <v>2682</v>
      </c>
      <c r="E1574" s="10">
        <v>1</v>
      </c>
      <c r="F1574" s="9" t="s">
        <v>2686</v>
      </c>
      <c r="G1574" s="11">
        <v>46238</v>
      </c>
      <c r="H1574" s="12">
        <v>25.52</v>
      </c>
      <c r="I1574" s="12">
        <v>22.71</v>
      </c>
      <c r="J1574" s="9" t="s">
        <v>3</v>
      </c>
      <c r="K1574" s="8">
        <v>0</v>
      </c>
    </row>
    <row r="1575" spans="1:11">
      <c r="A1575" s="2" t="s">
        <v>925</v>
      </c>
      <c r="B1575" s="2" t="s">
        <v>2681</v>
      </c>
      <c r="C1575" s="9">
        <v>10054175</v>
      </c>
      <c r="D1575" s="2" t="s">
        <v>2682</v>
      </c>
      <c r="E1575" s="10">
        <v>8</v>
      </c>
      <c r="F1575" s="9" t="s">
        <v>781</v>
      </c>
      <c r="G1575" s="11">
        <v>46238</v>
      </c>
      <c r="H1575" s="12">
        <v>57.53</v>
      </c>
      <c r="I1575" s="12">
        <v>51.2</v>
      </c>
      <c r="J1575" s="9" t="s">
        <v>3</v>
      </c>
      <c r="K1575" s="8">
        <v>0</v>
      </c>
    </row>
    <row r="1576" spans="1:11">
      <c r="A1576" s="2" t="s">
        <v>1120</v>
      </c>
      <c r="B1576" s="2" t="s">
        <v>2687</v>
      </c>
      <c r="C1576" s="9">
        <v>10054513</v>
      </c>
      <c r="D1576" s="2" t="s">
        <v>2688</v>
      </c>
      <c r="E1576" s="10">
        <v>12</v>
      </c>
      <c r="F1576" s="9" t="s">
        <v>882</v>
      </c>
      <c r="G1576" s="11">
        <v>46238</v>
      </c>
      <c r="H1576" s="12">
        <v>60.48</v>
      </c>
      <c r="I1576" s="12">
        <v>53.8</v>
      </c>
      <c r="J1576" s="9" t="s">
        <v>3</v>
      </c>
      <c r="K1576" s="8">
        <v>0</v>
      </c>
    </row>
    <row r="1577" spans="1:11">
      <c r="A1577" s="2" t="s">
        <v>708</v>
      </c>
      <c r="B1577" s="2" t="s">
        <v>743</v>
      </c>
      <c r="C1577" s="9">
        <v>10054641</v>
      </c>
      <c r="D1577" s="2" t="s">
        <v>2689</v>
      </c>
      <c r="E1577" s="10">
        <v>12</v>
      </c>
      <c r="F1577" s="9" t="s">
        <v>2690</v>
      </c>
      <c r="G1577" s="11">
        <v>46238</v>
      </c>
      <c r="H1577" s="12">
        <v>32.33</v>
      </c>
      <c r="I1577" s="12">
        <v>28.76</v>
      </c>
      <c r="J1577" s="9" t="s">
        <v>3</v>
      </c>
      <c r="K1577" s="8">
        <v>0</v>
      </c>
    </row>
    <row r="1578" spans="1:11">
      <c r="A1578" s="2" t="s">
        <v>708</v>
      </c>
      <c r="B1578" s="2" t="s">
        <v>743</v>
      </c>
      <c r="C1578" s="9">
        <v>10054642</v>
      </c>
      <c r="D1578" s="2" t="s">
        <v>2691</v>
      </c>
      <c r="E1578" s="10">
        <v>12</v>
      </c>
      <c r="F1578" s="9" t="s">
        <v>2692</v>
      </c>
      <c r="G1578" s="11">
        <v>46238</v>
      </c>
      <c r="H1578" s="12">
        <v>32.33</v>
      </c>
      <c r="I1578" s="12">
        <v>28.76</v>
      </c>
      <c r="J1578" s="9" t="s">
        <v>3</v>
      </c>
      <c r="K1578" s="8">
        <v>0</v>
      </c>
    </row>
    <row r="1579" spans="1:11">
      <c r="A1579" s="2" t="s">
        <v>708</v>
      </c>
      <c r="B1579" s="2" t="s">
        <v>743</v>
      </c>
      <c r="C1579" s="9">
        <v>10054643</v>
      </c>
      <c r="D1579" s="2" t="s">
        <v>2693</v>
      </c>
      <c r="E1579" s="10">
        <v>12</v>
      </c>
      <c r="F1579" s="9" t="s">
        <v>2694</v>
      </c>
      <c r="G1579" s="11">
        <v>46238</v>
      </c>
      <c r="H1579" s="12">
        <v>32.33</v>
      </c>
      <c r="I1579" s="12">
        <v>28.76</v>
      </c>
      <c r="J1579" s="9" t="s">
        <v>3</v>
      </c>
      <c r="K1579" s="8">
        <v>0</v>
      </c>
    </row>
    <row r="1580" spans="1:11">
      <c r="A1580" s="2" t="s">
        <v>708</v>
      </c>
      <c r="B1580" s="2" t="s">
        <v>743</v>
      </c>
      <c r="C1580" s="9">
        <v>10054644</v>
      </c>
      <c r="D1580" s="2" t="s">
        <v>2695</v>
      </c>
      <c r="E1580" s="10">
        <v>12</v>
      </c>
      <c r="F1580" s="9" t="s">
        <v>2696</v>
      </c>
      <c r="G1580" s="11">
        <v>46238</v>
      </c>
      <c r="H1580" s="12">
        <v>32.33</v>
      </c>
      <c r="I1580" s="12">
        <v>28.76</v>
      </c>
      <c r="J1580" s="9" t="s">
        <v>3</v>
      </c>
      <c r="K1580" s="8">
        <v>0</v>
      </c>
    </row>
    <row r="1581" spans="1:11">
      <c r="A1581" s="2" t="s">
        <v>1120</v>
      </c>
      <c r="B1581" s="2" t="s">
        <v>2697</v>
      </c>
      <c r="C1581" s="9">
        <v>10055152</v>
      </c>
      <c r="D1581" s="2" t="s">
        <v>2698</v>
      </c>
      <c r="E1581" s="10">
        <v>12</v>
      </c>
      <c r="F1581" s="9" t="s">
        <v>711</v>
      </c>
      <c r="G1581" s="11">
        <v>46238</v>
      </c>
      <c r="H1581" s="12">
        <v>27.4</v>
      </c>
      <c r="I1581" s="12">
        <v>24.14</v>
      </c>
      <c r="J1581" s="9" t="s">
        <v>3</v>
      </c>
      <c r="K1581" s="8">
        <v>0</v>
      </c>
    </row>
    <row r="1582" spans="1:11">
      <c r="A1582" s="2" t="s">
        <v>1120</v>
      </c>
      <c r="B1582" s="2" t="s">
        <v>2699</v>
      </c>
      <c r="C1582" s="9">
        <v>10055153</v>
      </c>
      <c r="D1582" s="2" t="s">
        <v>2700</v>
      </c>
      <c r="E1582" s="10">
        <v>6</v>
      </c>
      <c r="F1582" s="9" t="s">
        <v>2701</v>
      </c>
      <c r="G1582" s="11">
        <v>46238</v>
      </c>
      <c r="H1582" s="12">
        <v>80.45</v>
      </c>
      <c r="I1582" s="12">
        <v>71.59</v>
      </c>
      <c r="J1582" s="9" t="s">
        <v>3</v>
      </c>
      <c r="K1582" s="8">
        <v>0</v>
      </c>
    </row>
    <row r="1583" spans="1:11">
      <c r="A1583" s="2" t="s">
        <v>949</v>
      </c>
      <c r="B1583" s="2" t="s">
        <v>2702</v>
      </c>
      <c r="C1583" s="9">
        <v>10055260</v>
      </c>
      <c r="D1583" s="2" t="s">
        <v>2703</v>
      </c>
      <c r="E1583" s="10">
        <v>12</v>
      </c>
      <c r="F1583" s="9" t="s">
        <v>2704</v>
      </c>
      <c r="G1583" s="11">
        <v>46238</v>
      </c>
      <c r="H1583" s="12">
        <v>66.61</v>
      </c>
      <c r="I1583" s="12">
        <v>59.28</v>
      </c>
      <c r="J1583" s="9" t="s">
        <v>3</v>
      </c>
      <c r="K1583" s="8">
        <v>0</v>
      </c>
    </row>
    <row r="1584" spans="1:11">
      <c r="A1584" s="2" t="s">
        <v>949</v>
      </c>
      <c r="B1584" s="2" t="s">
        <v>2702</v>
      </c>
      <c r="C1584" s="9">
        <v>10055265</v>
      </c>
      <c r="D1584" s="2" t="s">
        <v>2705</v>
      </c>
      <c r="E1584" s="10">
        <v>12</v>
      </c>
      <c r="F1584" s="9" t="s">
        <v>2704</v>
      </c>
      <c r="G1584" s="11">
        <v>46238</v>
      </c>
      <c r="H1584" s="12">
        <v>66.61</v>
      </c>
      <c r="I1584" s="12">
        <v>59.28</v>
      </c>
      <c r="J1584" s="9" t="s">
        <v>3</v>
      </c>
      <c r="K1584" s="8">
        <v>0</v>
      </c>
    </row>
    <row r="1585" spans="1:11">
      <c r="A1585" s="2" t="s">
        <v>949</v>
      </c>
      <c r="B1585" s="2" t="s">
        <v>2702</v>
      </c>
      <c r="C1585" s="9">
        <v>10055371</v>
      </c>
      <c r="D1585" s="2" t="s">
        <v>2706</v>
      </c>
      <c r="E1585" s="10">
        <v>12</v>
      </c>
      <c r="F1585" s="9" t="s">
        <v>2704</v>
      </c>
      <c r="G1585" s="11">
        <v>46238</v>
      </c>
      <c r="H1585" s="12">
        <v>66.61</v>
      </c>
      <c r="I1585" s="12">
        <v>59.28</v>
      </c>
      <c r="J1585" s="9" t="s">
        <v>3</v>
      </c>
      <c r="K1585" s="8">
        <v>0</v>
      </c>
    </row>
    <row r="1586" spans="1:11">
      <c r="A1586" s="2" t="s">
        <v>949</v>
      </c>
      <c r="B1586" s="2" t="s">
        <v>2702</v>
      </c>
      <c r="C1586" s="9">
        <v>10055372</v>
      </c>
      <c r="D1586" s="2" t="s">
        <v>2707</v>
      </c>
      <c r="E1586" s="10">
        <v>12</v>
      </c>
      <c r="F1586" s="9" t="s">
        <v>2704</v>
      </c>
      <c r="G1586" s="11">
        <v>46238</v>
      </c>
      <c r="H1586" s="12">
        <v>66.61</v>
      </c>
      <c r="I1586" s="12">
        <v>59.28</v>
      </c>
      <c r="J1586" s="9" t="s">
        <v>3</v>
      </c>
      <c r="K1586" s="8">
        <v>0</v>
      </c>
    </row>
    <row r="1587" spans="1:11">
      <c r="A1587" s="2" t="s">
        <v>949</v>
      </c>
      <c r="B1587" s="2" t="s">
        <v>2702</v>
      </c>
      <c r="C1587" s="9">
        <v>10055373</v>
      </c>
      <c r="D1587" s="2" t="s">
        <v>2708</v>
      </c>
      <c r="E1587" s="10">
        <v>12</v>
      </c>
      <c r="F1587" s="9" t="s">
        <v>2704</v>
      </c>
      <c r="G1587" s="11">
        <v>46238</v>
      </c>
      <c r="H1587" s="12">
        <v>66.61</v>
      </c>
      <c r="I1587" s="12">
        <v>59.28</v>
      </c>
      <c r="J1587" s="9" t="s">
        <v>3</v>
      </c>
      <c r="K1587" s="8">
        <v>0</v>
      </c>
    </row>
    <row r="1588" spans="1:11">
      <c r="A1588" s="2" t="s">
        <v>949</v>
      </c>
      <c r="B1588" s="2" t="s">
        <v>2702</v>
      </c>
      <c r="C1588" s="9">
        <v>10055374</v>
      </c>
      <c r="D1588" s="2" t="s">
        <v>2709</v>
      </c>
      <c r="E1588" s="10">
        <v>12</v>
      </c>
      <c r="F1588" s="9" t="s">
        <v>2704</v>
      </c>
      <c r="G1588" s="11">
        <v>46238</v>
      </c>
      <c r="H1588" s="12">
        <v>66.61</v>
      </c>
      <c r="I1588" s="12">
        <v>59.28</v>
      </c>
      <c r="J1588" s="9" t="s">
        <v>3</v>
      </c>
      <c r="K1588" s="8">
        <v>0</v>
      </c>
    </row>
    <row r="1589" spans="1:11">
      <c r="A1589" s="2" t="s">
        <v>949</v>
      </c>
      <c r="B1589" s="2" t="s">
        <v>2702</v>
      </c>
      <c r="C1589" s="9">
        <v>10055522</v>
      </c>
      <c r="D1589" s="2" t="s">
        <v>2710</v>
      </c>
      <c r="E1589" s="10">
        <v>60</v>
      </c>
      <c r="F1589" s="9" t="s">
        <v>829</v>
      </c>
      <c r="G1589" s="11">
        <v>46238</v>
      </c>
      <c r="H1589" s="12">
        <v>333.01</v>
      </c>
      <c r="I1589" s="12">
        <v>296.38</v>
      </c>
      <c r="J1589" s="9" t="s">
        <v>3</v>
      </c>
      <c r="K1589" s="8">
        <v>0</v>
      </c>
    </row>
    <row r="1590" spans="1:11">
      <c r="A1590" s="2" t="s">
        <v>949</v>
      </c>
      <c r="B1590" s="2" t="s">
        <v>2702</v>
      </c>
      <c r="C1590" s="9">
        <v>10055531</v>
      </c>
      <c r="D1590" s="2" t="s">
        <v>2711</v>
      </c>
      <c r="E1590" s="10">
        <v>12</v>
      </c>
      <c r="F1590" s="9" t="s">
        <v>2704</v>
      </c>
      <c r="G1590" s="11">
        <v>46238</v>
      </c>
      <c r="H1590" s="12">
        <v>66.61</v>
      </c>
      <c r="I1590" s="12">
        <v>59.28</v>
      </c>
      <c r="J1590" s="9" t="s">
        <v>3</v>
      </c>
      <c r="K1590" s="8">
        <v>0</v>
      </c>
    </row>
    <row r="1591" spans="1:11">
      <c r="A1591" s="2" t="s">
        <v>663</v>
      </c>
      <c r="B1591" s="2" t="s">
        <v>2712</v>
      </c>
      <c r="C1591" s="9">
        <v>10055628</v>
      </c>
      <c r="D1591" s="2" t="s">
        <v>2713</v>
      </c>
      <c r="E1591" s="10">
        <v>12</v>
      </c>
      <c r="F1591" s="9" t="s">
        <v>955</v>
      </c>
      <c r="G1591" s="11">
        <v>46238</v>
      </c>
      <c r="H1591" s="12">
        <v>64.44</v>
      </c>
      <c r="I1591" s="12">
        <v>57.36</v>
      </c>
      <c r="J1591" s="9" t="s">
        <v>3</v>
      </c>
      <c r="K1591" s="8">
        <v>0</v>
      </c>
    </row>
    <row r="1592" spans="1:11">
      <c r="A1592" s="2" t="s">
        <v>663</v>
      </c>
      <c r="B1592" s="2" t="s">
        <v>2712</v>
      </c>
      <c r="C1592" s="9">
        <v>10055667</v>
      </c>
      <c r="D1592" s="2" t="s">
        <v>2714</v>
      </c>
      <c r="E1592" s="10">
        <v>12</v>
      </c>
      <c r="F1592" s="9" t="s">
        <v>955</v>
      </c>
      <c r="G1592" s="11">
        <v>46238</v>
      </c>
      <c r="H1592" s="12">
        <v>64.44</v>
      </c>
      <c r="I1592" s="12">
        <v>57.36</v>
      </c>
      <c r="J1592" s="9" t="s">
        <v>3</v>
      </c>
      <c r="K1592" s="8">
        <v>0</v>
      </c>
    </row>
    <row r="1593" spans="1:11">
      <c r="A1593" s="2" t="s">
        <v>663</v>
      </c>
      <c r="B1593" s="2" t="s">
        <v>2712</v>
      </c>
      <c r="C1593" s="9">
        <v>10055668</v>
      </c>
      <c r="D1593" s="2" t="s">
        <v>2715</v>
      </c>
      <c r="E1593" s="10">
        <v>12</v>
      </c>
      <c r="F1593" s="9" t="s">
        <v>955</v>
      </c>
      <c r="G1593" s="11">
        <v>46238</v>
      </c>
      <c r="H1593" s="12">
        <v>64.44</v>
      </c>
      <c r="I1593" s="12">
        <v>57.36</v>
      </c>
      <c r="J1593" s="9" t="s">
        <v>3</v>
      </c>
      <c r="K1593" s="8">
        <v>0</v>
      </c>
    </row>
    <row r="1594" spans="1:11">
      <c r="A1594" s="2" t="s">
        <v>663</v>
      </c>
      <c r="B1594" s="2" t="s">
        <v>2712</v>
      </c>
      <c r="C1594" s="9">
        <v>10055669</v>
      </c>
      <c r="D1594" s="2" t="s">
        <v>2716</v>
      </c>
      <c r="E1594" s="10">
        <v>12</v>
      </c>
      <c r="F1594" s="9" t="s">
        <v>955</v>
      </c>
      <c r="G1594" s="11">
        <v>46238</v>
      </c>
      <c r="H1594" s="12">
        <v>64.44</v>
      </c>
      <c r="I1594" s="12">
        <v>57.36</v>
      </c>
      <c r="J1594" s="9" t="s">
        <v>3</v>
      </c>
      <c r="K1594" s="8">
        <v>0</v>
      </c>
    </row>
    <row r="1595" spans="1:11">
      <c r="A1595" s="2" t="s">
        <v>663</v>
      </c>
      <c r="B1595" s="2" t="s">
        <v>2712</v>
      </c>
      <c r="C1595" s="9">
        <v>10055695</v>
      </c>
      <c r="D1595" s="2" t="s">
        <v>2717</v>
      </c>
      <c r="E1595" s="10">
        <v>12</v>
      </c>
      <c r="F1595" s="9" t="s">
        <v>666</v>
      </c>
      <c r="G1595" s="11">
        <v>46238</v>
      </c>
      <c r="H1595" s="12">
        <v>70.2</v>
      </c>
      <c r="I1595" s="12">
        <v>62.52</v>
      </c>
      <c r="J1595" s="9" t="s">
        <v>3</v>
      </c>
      <c r="K1595" s="8">
        <v>0</v>
      </c>
    </row>
    <row r="1596" spans="1:11">
      <c r="A1596" s="2" t="s">
        <v>708</v>
      </c>
      <c r="B1596" s="2" t="s">
        <v>709</v>
      </c>
      <c r="C1596" s="9">
        <v>10056103</v>
      </c>
      <c r="D1596" s="2" t="s">
        <v>2718</v>
      </c>
      <c r="E1596" s="10">
        <v>12</v>
      </c>
      <c r="F1596" s="9" t="s">
        <v>711</v>
      </c>
      <c r="G1596" s="11">
        <v>46238</v>
      </c>
      <c r="H1596" s="12">
        <v>51</v>
      </c>
      <c r="I1596" s="12">
        <v>45.36</v>
      </c>
      <c r="J1596" s="9" t="s">
        <v>3</v>
      </c>
      <c r="K1596" s="8">
        <v>0</v>
      </c>
    </row>
    <row r="1597" spans="1:11">
      <c r="A1597" s="2" t="s">
        <v>708</v>
      </c>
      <c r="B1597" s="2" t="s">
        <v>709</v>
      </c>
      <c r="C1597" s="9">
        <v>10056104</v>
      </c>
      <c r="D1597" s="2" t="s">
        <v>2719</v>
      </c>
      <c r="E1597" s="10">
        <v>12</v>
      </c>
      <c r="F1597" s="9" t="s">
        <v>711</v>
      </c>
      <c r="G1597" s="11">
        <v>46238</v>
      </c>
      <c r="H1597" s="12">
        <v>63.1</v>
      </c>
      <c r="I1597" s="12">
        <v>56.16</v>
      </c>
      <c r="J1597" s="9" t="s">
        <v>3</v>
      </c>
      <c r="K1597" s="8">
        <v>0</v>
      </c>
    </row>
    <row r="1598" spans="1:11">
      <c r="A1598" s="2" t="s">
        <v>708</v>
      </c>
      <c r="B1598" s="2" t="s">
        <v>709</v>
      </c>
      <c r="C1598" s="9">
        <v>10056106</v>
      </c>
      <c r="D1598" s="2" t="s">
        <v>2720</v>
      </c>
      <c r="E1598" s="10">
        <v>12</v>
      </c>
      <c r="F1598" s="9" t="s">
        <v>711</v>
      </c>
      <c r="G1598" s="11">
        <v>46238</v>
      </c>
      <c r="H1598" s="12">
        <v>51</v>
      </c>
      <c r="I1598" s="12">
        <v>45.36</v>
      </c>
      <c r="J1598" s="9" t="s">
        <v>3</v>
      </c>
      <c r="K1598" s="8">
        <v>0</v>
      </c>
    </row>
    <row r="1599" spans="1:11">
      <c r="A1599" s="2" t="s">
        <v>708</v>
      </c>
      <c r="B1599" s="2" t="s">
        <v>709</v>
      </c>
      <c r="C1599" s="9">
        <v>10056108</v>
      </c>
      <c r="D1599" s="2" t="s">
        <v>2721</v>
      </c>
      <c r="E1599" s="10">
        <v>12</v>
      </c>
      <c r="F1599" s="9" t="s">
        <v>711</v>
      </c>
      <c r="G1599" s="11">
        <v>46238</v>
      </c>
      <c r="H1599" s="12">
        <v>63.1</v>
      </c>
      <c r="I1599" s="12">
        <v>56.16</v>
      </c>
      <c r="J1599" s="9" t="s">
        <v>3</v>
      </c>
      <c r="K1599" s="8">
        <v>0</v>
      </c>
    </row>
    <row r="1600" spans="1:11">
      <c r="A1600" s="2" t="s">
        <v>708</v>
      </c>
      <c r="B1600" s="2" t="s">
        <v>2722</v>
      </c>
      <c r="C1600" s="9">
        <v>10056271</v>
      </c>
      <c r="D1600" s="2" t="s">
        <v>2723</v>
      </c>
      <c r="E1600" s="10">
        <v>12</v>
      </c>
      <c r="F1600" s="9" t="s">
        <v>2724</v>
      </c>
      <c r="G1600" s="11">
        <v>46238</v>
      </c>
      <c r="H1600" s="12">
        <v>94.72</v>
      </c>
      <c r="I1600" s="12">
        <v>84.3</v>
      </c>
      <c r="J1600" s="9" t="s">
        <v>3</v>
      </c>
      <c r="K1600" s="8">
        <v>0</v>
      </c>
    </row>
    <row r="1601" spans="1:11">
      <c r="A1601" s="2" t="s">
        <v>925</v>
      </c>
      <c r="B1601" s="2" t="s">
        <v>2298</v>
      </c>
      <c r="C1601" s="9">
        <v>10056497</v>
      </c>
      <c r="D1601" s="2" t="s">
        <v>2725</v>
      </c>
      <c r="E1601" s="10">
        <v>6</v>
      </c>
      <c r="F1601" s="9" t="s">
        <v>866</v>
      </c>
      <c r="G1601" s="11">
        <v>46238</v>
      </c>
      <c r="H1601" s="12">
        <v>22.18</v>
      </c>
      <c r="I1601" s="12">
        <v>19.739999999999998</v>
      </c>
      <c r="J1601" s="9" t="s">
        <v>3</v>
      </c>
      <c r="K1601" s="8">
        <v>0</v>
      </c>
    </row>
    <row r="1602" spans="1:11">
      <c r="A1602" s="2" t="s">
        <v>925</v>
      </c>
      <c r="B1602" s="2" t="s">
        <v>2298</v>
      </c>
      <c r="C1602" s="9">
        <v>10056498</v>
      </c>
      <c r="D1602" s="2" t="s">
        <v>2726</v>
      </c>
      <c r="E1602" s="10">
        <v>6</v>
      </c>
      <c r="F1602" s="9" t="s">
        <v>866</v>
      </c>
      <c r="G1602" s="11">
        <v>46238</v>
      </c>
      <c r="H1602" s="12">
        <v>21.12</v>
      </c>
      <c r="I1602" s="12">
        <v>18.78</v>
      </c>
      <c r="J1602" s="9" t="s">
        <v>3</v>
      </c>
      <c r="K1602" s="8">
        <v>0</v>
      </c>
    </row>
    <row r="1603" spans="1:11">
      <c r="A1603" s="2" t="s">
        <v>708</v>
      </c>
      <c r="B1603" s="2" t="s">
        <v>2727</v>
      </c>
      <c r="C1603" s="9">
        <v>10056509</v>
      </c>
      <c r="D1603" s="2" t="s">
        <v>2728</v>
      </c>
      <c r="E1603" s="10">
        <v>12</v>
      </c>
      <c r="F1603" s="9" t="s">
        <v>955</v>
      </c>
      <c r="G1603" s="11">
        <v>46238</v>
      </c>
      <c r="H1603" s="12">
        <v>59.24</v>
      </c>
      <c r="I1603" s="12">
        <v>52.72</v>
      </c>
      <c r="J1603" s="9" t="s">
        <v>3</v>
      </c>
      <c r="K1603" s="8">
        <v>0</v>
      </c>
    </row>
    <row r="1604" spans="1:11">
      <c r="A1604" s="2" t="s">
        <v>708</v>
      </c>
      <c r="B1604" s="2" t="s">
        <v>2727</v>
      </c>
      <c r="C1604" s="9">
        <v>10056513</v>
      </c>
      <c r="D1604" s="2" t="s">
        <v>2729</v>
      </c>
      <c r="E1604" s="10">
        <v>12</v>
      </c>
      <c r="F1604" s="9" t="s">
        <v>955</v>
      </c>
      <c r="G1604" s="11">
        <v>46238</v>
      </c>
      <c r="H1604" s="12">
        <v>59.24</v>
      </c>
      <c r="I1604" s="12">
        <v>52.72</v>
      </c>
      <c r="J1604" s="9" t="s">
        <v>3</v>
      </c>
      <c r="K1604" s="8">
        <v>0</v>
      </c>
    </row>
    <row r="1605" spans="1:11">
      <c r="A1605" s="2" t="s">
        <v>925</v>
      </c>
      <c r="B1605" s="2" t="s">
        <v>2298</v>
      </c>
      <c r="C1605" s="9">
        <v>10056620</v>
      </c>
      <c r="D1605" s="2" t="s">
        <v>2730</v>
      </c>
      <c r="E1605" s="10">
        <v>6</v>
      </c>
      <c r="F1605" s="9" t="s">
        <v>866</v>
      </c>
      <c r="G1605" s="11">
        <v>46238</v>
      </c>
      <c r="H1605" s="12">
        <v>22.18</v>
      </c>
      <c r="I1605" s="12">
        <v>19.739999999999998</v>
      </c>
      <c r="J1605" s="9" t="s">
        <v>3</v>
      </c>
      <c r="K1605" s="8">
        <v>0</v>
      </c>
    </row>
    <row r="1606" spans="1:11">
      <c r="A1606" s="2" t="s">
        <v>925</v>
      </c>
      <c r="B1606" s="2" t="s">
        <v>2681</v>
      </c>
      <c r="C1606" s="9">
        <v>10056648</v>
      </c>
      <c r="D1606" s="2" t="s">
        <v>2731</v>
      </c>
      <c r="E1606" s="10">
        <v>8</v>
      </c>
      <c r="F1606" s="9" t="s">
        <v>781</v>
      </c>
      <c r="G1606" s="11">
        <v>46238</v>
      </c>
      <c r="H1606" s="12">
        <v>44.78</v>
      </c>
      <c r="I1606" s="12">
        <v>39.85</v>
      </c>
      <c r="J1606" s="9" t="s">
        <v>3</v>
      </c>
      <c r="K1606" s="8">
        <v>0</v>
      </c>
    </row>
    <row r="1607" spans="1:11">
      <c r="A1607" s="2" t="s">
        <v>925</v>
      </c>
      <c r="B1607" s="2" t="s">
        <v>2298</v>
      </c>
      <c r="C1607" s="9">
        <v>10056649</v>
      </c>
      <c r="D1607" s="2" t="s">
        <v>2732</v>
      </c>
      <c r="E1607" s="10">
        <v>6</v>
      </c>
      <c r="F1607" s="9" t="s">
        <v>866</v>
      </c>
      <c r="G1607" s="11">
        <v>46238</v>
      </c>
      <c r="H1607" s="12">
        <v>22.18</v>
      </c>
      <c r="I1607" s="12">
        <v>19.739999999999998</v>
      </c>
      <c r="J1607" s="9" t="s">
        <v>3</v>
      </c>
      <c r="K1607" s="8">
        <v>0</v>
      </c>
    </row>
    <row r="1608" spans="1:11">
      <c r="A1608" s="2" t="s">
        <v>925</v>
      </c>
      <c r="B1608" s="2" t="s">
        <v>2298</v>
      </c>
      <c r="C1608" s="9">
        <v>10056676</v>
      </c>
      <c r="D1608" s="2" t="s">
        <v>2733</v>
      </c>
      <c r="E1608" s="10">
        <v>6</v>
      </c>
      <c r="F1608" s="9" t="s">
        <v>866</v>
      </c>
      <c r="G1608" s="11">
        <v>46238</v>
      </c>
      <c r="H1608" s="12">
        <v>22.18</v>
      </c>
      <c r="I1608" s="12">
        <v>19.739999999999998</v>
      </c>
      <c r="J1608" s="9" t="s">
        <v>3</v>
      </c>
      <c r="K1608" s="8">
        <v>0</v>
      </c>
    </row>
    <row r="1609" spans="1:11">
      <c r="A1609" s="2" t="s">
        <v>925</v>
      </c>
      <c r="B1609" s="2" t="s">
        <v>2681</v>
      </c>
      <c r="C1609" s="9">
        <v>10056684</v>
      </c>
      <c r="D1609" s="2" t="s">
        <v>2734</v>
      </c>
      <c r="E1609" s="10">
        <v>8</v>
      </c>
      <c r="F1609" s="9" t="s">
        <v>781</v>
      </c>
      <c r="G1609" s="11">
        <v>46238</v>
      </c>
      <c r="H1609" s="12">
        <v>41.47</v>
      </c>
      <c r="I1609" s="12">
        <v>36.909999999999997</v>
      </c>
      <c r="J1609" s="9" t="s">
        <v>3</v>
      </c>
      <c r="K1609" s="8">
        <v>0</v>
      </c>
    </row>
    <row r="1610" spans="1:11">
      <c r="A1610" s="2" t="s">
        <v>1174</v>
      </c>
      <c r="B1610" s="2" t="s">
        <v>2385</v>
      </c>
      <c r="C1610" s="9">
        <v>10056788</v>
      </c>
      <c r="D1610" s="2" t="s">
        <v>2735</v>
      </c>
      <c r="E1610" s="10">
        <v>12</v>
      </c>
      <c r="F1610" s="9" t="s">
        <v>2387</v>
      </c>
      <c r="G1610" s="11">
        <v>46238</v>
      </c>
      <c r="H1610" s="12">
        <v>28.32</v>
      </c>
      <c r="I1610" s="12">
        <v>25.2</v>
      </c>
      <c r="J1610" s="9" t="s">
        <v>3</v>
      </c>
      <c r="K1610" s="8">
        <v>0</v>
      </c>
    </row>
    <row r="1611" spans="1:11">
      <c r="A1611" s="2" t="s">
        <v>1174</v>
      </c>
      <c r="B1611" s="2" t="s">
        <v>2385</v>
      </c>
      <c r="C1611" s="9">
        <v>10056789</v>
      </c>
      <c r="D1611" s="2" t="s">
        <v>2736</v>
      </c>
      <c r="E1611" s="10">
        <v>12</v>
      </c>
      <c r="F1611" s="9" t="s">
        <v>2387</v>
      </c>
      <c r="G1611" s="11">
        <v>46238</v>
      </c>
      <c r="H1611" s="12">
        <v>28.32</v>
      </c>
      <c r="I1611" s="12">
        <v>25.2</v>
      </c>
      <c r="J1611" s="9" t="s">
        <v>3</v>
      </c>
      <c r="K1611" s="8">
        <v>0</v>
      </c>
    </row>
    <row r="1612" spans="1:11">
      <c r="A1612" s="2" t="s">
        <v>721</v>
      </c>
      <c r="B1612" s="2" t="s">
        <v>722</v>
      </c>
      <c r="C1612" s="9">
        <v>10056943</v>
      </c>
      <c r="D1612" s="2" t="s">
        <v>2737</v>
      </c>
      <c r="E1612" s="10">
        <v>12</v>
      </c>
      <c r="F1612" s="9" t="s">
        <v>711</v>
      </c>
      <c r="G1612" s="11">
        <v>46238</v>
      </c>
      <c r="H1612" s="12">
        <v>50.01</v>
      </c>
      <c r="I1612" s="12">
        <v>44.57</v>
      </c>
      <c r="J1612" s="9" t="s">
        <v>3</v>
      </c>
      <c r="K1612" s="8">
        <v>0</v>
      </c>
    </row>
    <row r="1613" spans="1:11">
      <c r="A1613" s="2" t="s">
        <v>687</v>
      </c>
      <c r="B1613" s="2" t="s">
        <v>2738</v>
      </c>
      <c r="C1613" s="9">
        <v>10057095</v>
      </c>
      <c r="D1613" s="2" t="s">
        <v>2739</v>
      </c>
      <c r="E1613" s="10">
        <v>12</v>
      </c>
      <c r="F1613" s="9" t="s">
        <v>763</v>
      </c>
      <c r="G1613" s="11">
        <v>46238</v>
      </c>
      <c r="H1613" s="12">
        <v>73.09</v>
      </c>
      <c r="I1613" s="12">
        <v>65.05</v>
      </c>
      <c r="J1613" s="9" t="s">
        <v>3</v>
      </c>
      <c r="K1613" s="8">
        <v>0</v>
      </c>
    </row>
    <row r="1614" spans="1:11">
      <c r="A1614" s="2" t="s">
        <v>2740</v>
      </c>
      <c r="B1614" s="2" t="s">
        <v>2741</v>
      </c>
      <c r="C1614" s="9">
        <v>10057118</v>
      </c>
      <c r="D1614" s="2" t="s">
        <v>2742</v>
      </c>
      <c r="E1614" s="10">
        <v>12</v>
      </c>
      <c r="F1614" s="9" t="s">
        <v>1534</v>
      </c>
      <c r="G1614" s="11">
        <v>46238</v>
      </c>
      <c r="H1614" s="12">
        <v>46.24</v>
      </c>
      <c r="I1614" s="12">
        <v>41.13</v>
      </c>
      <c r="J1614" s="9" t="s">
        <v>3</v>
      </c>
      <c r="K1614" s="8">
        <v>0</v>
      </c>
    </row>
    <row r="1615" spans="1:11">
      <c r="A1615" s="2" t="s">
        <v>687</v>
      </c>
      <c r="B1615" s="2" t="s">
        <v>2743</v>
      </c>
      <c r="C1615" s="9">
        <v>10057160</v>
      </c>
      <c r="D1615" s="2" t="s">
        <v>2744</v>
      </c>
      <c r="E1615" s="10">
        <v>12</v>
      </c>
      <c r="F1615" s="9" t="s">
        <v>610</v>
      </c>
      <c r="G1615" s="11">
        <v>46238</v>
      </c>
      <c r="H1615" s="12">
        <v>63.69</v>
      </c>
      <c r="I1615" s="12">
        <v>56.68</v>
      </c>
      <c r="J1615" s="9" t="s">
        <v>3</v>
      </c>
      <c r="K1615" s="8">
        <v>0</v>
      </c>
    </row>
    <row r="1616" spans="1:11">
      <c r="A1616" s="2" t="s">
        <v>687</v>
      </c>
      <c r="B1616" s="2" t="s">
        <v>2743</v>
      </c>
      <c r="C1616" s="9">
        <v>10057161</v>
      </c>
      <c r="D1616" s="2" t="s">
        <v>2745</v>
      </c>
      <c r="E1616" s="10">
        <v>12</v>
      </c>
      <c r="F1616" s="9" t="s">
        <v>610</v>
      </c>
      <c r="G1616" s="11">
        <v>46238</v>
      </c>
      <c r="H1616" s="12">
        <v>62.73</v>
      </c>
      <c r="I1616" s="12">
        <v>55.83</v>
      </c>
      <c r="J1616" s="9" t="s">
        <v>3</v>
      </c>
      <c r="K1616" s="8">
        <v>0</v>
      </c>
    </row>
    <row r="1617" spans="1:11">
      <c r="A1617" s="2" t="s">
        <v>2740</v>
      </c>
      <c r="B1617" s="2" t="s">
        <v>2741</v>
      </c>
      <c r="C1617" s="9">
        <v>10057179</v>
      </c>
      <c r="D1617" s="2" t="s">
        <v>2746</v>
      </c>
      <c r="E1617" s="10">
        <v>12</v>
      </c>
      <c r="F1617" s="9" t="s">
        <v>804</v>
      </c>
      <c r="G1617" s="11">
        <v>46238</v>
      </c>
      <c r="H1617" s="12">
        <v>60.77</v>
      </c>
      <c r="I1617" s="12">
        <v>54.09</v>
      </c>
      <c r="J1617" s="9" t="s">
        <v>3</v>
      </c>
      <c r="K1617" s="8">
        <v>0</v>
      </c>
    </row>
    <row r="1618" spans="1:11">
      <c r="A1618" s="2" t="s">
        <v>2740</v>
      </c>
      <c r="B1618" s="2" t="s">
        <v>2741</v>
      </c>
      <c r="C1618" s="9">
        <v>10057180</v>
      </c>
      <c r="D1618" s="2" t="s">
        <v>2747</v>
      </c>
      <c r="E1618" s="10">
        <v>12</v>
      </c>
      <c r="F1618" s="9" t="s">
        <v>804</v>
      </c>
      <c r="G1618" s="11">
        <v>46238</v>
      </c>
      <c r="H1618" s="12">
        <v>66.27</v>
      </c>
      <c r="I1618" s="12">
        <v>58.94</v>
      </c>
      <c r="J1618" s="9" t="s">
        <v>3</v>
      </c>
      <c r="K1618" s="8">
        <v>0</v>
      </c>
    </row>
    <row r="1619" spans="1:11">
      <c r="A1619" s="2" t="s">
        <v>2740</v>
      </c>
      <c r="B1619" s="2" t="s">
        <v>2741</v>
      </c>
      <c r="C1619" s="9">
        <v>10057184</v>
      </c>
      <c r="D1619" s="2" t="s">
        <v>2748</v>
      </c>
      <c r="E1619" s="10">
        <v>6</v>
      </c>
      <c r="F1619" s="9" t="s">
        <v>804</v>
      </c>
      <c r="G1619" s="11">
        <v>46238</v>
      </c>
      <c r="H1619" s="12">
        <v>34.64</v>
      </c>
      <c r="I1619" s="12">
        <v>30.85</v>
      </c>
      <c r="J1619" s="9" t="s">
        <v>3</v>
      </c>
      <c r="K1619" s="8">
        <v>0</v>
      </c>
    </row>
    <row r="1620" spans="1:11">
      <c r="A1620" s="2" t="s">
        <v>2740</v>
      </c>
      <c r="B1620" s="2" t="s">
        <v>2741</v>
      </c>
      <c r="C1620" s="9">
        <v>10057187</v>
      </c>
      <c r="D1620" s="2" t="s">
        <v>2749</v>
      </c>
      <c r="E1620" s="10">
        <v>6</v>
      </c>
      <c r="F1620" s="9" t="s">
        <v>804</v>
      </c>
      <c r="G1620" s="11">
        <v>46238</v>
      </c>
      <c r="H1620" s="12">
        <v>41.33</v>
      </c>
      <c r="I1620" s="12">
        <v>36.799999999999997</v>
      </c>
      <c r="J1620" s="9" t="s">
        <v>3</v>
      </c>
      <c r="K1620" s="8">
        <v>0</v>
      </c>
    </row>
    <row r="1621" spans="1:11">
      <c r="A1621" s="2" t="s">
        <v>2740</v>
      </c>
      <c r="B1621" s="2" t="s">
        <v>2741</v>
      </c>
      <c r="C1621" s="9">
        <v>10057188</v>
      </c>
      <c r="D1621" s="2" t="s">
        <v>2750</v>
      </c>
      <c r="E1621" s="10">
        <v>12</v>
      </c>
      <c r="F1621" s="9" t="s">
        <v>811</v>
      </c>
      <c r="G1621" s="11">
        <v>46238</v>
      </c>
      <c r="H1621" s="12">
        <v>46.24</v>
      </c>
      <c r="I1621" s="12">
        <v>41.13</v>
      </c>
      <c r="J1621" s="9" t="s">
        <v>3</v>
      </c>
      <c r="K1621" s="8">
        <v>0</v>
      </c>
    </row>
    <row r="1622" spans="1:11">
      <c r="A1622" s="2" t="s">
        <v>2740</v>
      </c>
      <c r="B1622" s="2" t="s">
        <v>2741</v>
      </c>
      <c r="C1622" s="9">
        <v>10057220</v>
      </c>
      <c r="D1622" s="2" t="s">
        <v>2751</v>
      </c>
      <c r="E1622" s="10">
        <v>12</v>
      </c>
      <c r="F1622" s="9" t="s">
        <v>804</v>
      </c>
      <c r="G1622" s="11">
        <v>46238</v>
      </c>
      <c r="H1622" s="12">
        <v>60.91</v>
      </c>
      <c r="I1622" s="12">
        <v>54.22</v>
      </c>
      <c r="J1622" s="9" t="s">
        <v>3</v>
      </c>
      <c r="K1622" s="8">
        <v>0</v>
      </c>
    </row>
    <row r="1623" spans="1:11">
      <c r="A1623" s="2" t="s">
        <v>2740</v>
      </c>
      <c r="B1623" s="2" t="s">
        <v>2741</v>
      </c>
      <c r="C1623" s="9">
        <v>10057221</v>
      </c>
      <c r="D1623" s="2" t="s">
        <v>2752</v>
      </c>
      <c r="E1623" s="10">
        <v>12</v>
      </c>
      <c r="F1623" s="9" t="s">
        <v>2753</v>
      </c>
      <c r="G1623" s="11">
        <v>46238</v>
      </c>
      <c r="H1623" s="12">
        <v>104.65</v>
      </c>
      <c r="I1623" s="12">
        <v>93.13</v>
      </c>
      <c r="J1623" s="9" t="s">
        <v>3</v>
      </c>
      <c r="K1623" s="8">
        <v>0</v>
      </c>
    </row>
    <row r="1624" spans="1:11">
      <c r="A1624" s="2" t="s">
        <v>2740</v>
      </c>
      <c r="B1624" s="2" t="s">
        <v>2741</v>
      </c>
      <c r="C1624" s="9">
        <v>10057223</v>
      </c>
      <c r="D1624" s="2" t="s">
        <v>2754</v>
      </c>
      <c r="E1624" s="10">
        <v>12</v>
      </c>
      <c r="F1624" s="9" t="s">
        <v>804</v>
      </c>
      <c r="G1624" s="11">
        <v>46238</v>
      </c>
      <c r="H1624" s="12">
        <v>60.92</v>
      </c>
      <c r="I1624" s="12">
        <v>54.22</v>
      </c>
      <c r="J1624" s="9" t="s">
        <v>3</v>
      </c>
      <c r="K1624" s="8">
        <v>0</v>
      </c>
    </row>
    <row r="1625" spans="1:11">
      <c r="A1625" s="2" t="s">
        <v>2740</v>
      </c>
      <c r="B1625" s="2" t="s">
        <v>2741</v>
      </c>
      <c r="C1625" s="9">
        <v>10057233</v>
      </c>
      <c r="D1625" s="2" t="s">
        <v>2755</v>
      </c>
      <c r="E1625" s="10">
        <v>12</v>
      </c>
      <c r="F1625" s="9" t="s">
        <v>2756</v>
      </c>
      <c r="G1625" s="11">
        <v>46238</v>
      </c>
      <c r="H1625" s="12">
        <v>65.489999999999995</v>
      </c>
      <c r="I1625" s="12">
        <v>58.29</v>
      </c>
      <c r="J1625" s="9" t="s">
        <v>3</v>
      </c>
      <c r="K1625" s="8">
        <v>0</v>
      </c>
    </row>
    <row r="1626" spans="1:11">
      <c r="A1626" s="2" t="s">
        <v>2740</v>
      </c>
      <c r="B1626" s="2" t="s">
        <v>2741</v>
      </c>
      <c r="C1626" s="9">
        <v>10057244</v>
      </c>
      <c r="D1626" s="2" t="s">
        <v>2757</v>
      </c>
      <c r="E1626" s="10">
        <v>12</v>
      </c>
      <c r="F1626" s="9" t="s">
        <v>804</v>
      </c>
      <c r="G1626" s="11">
        <v>46238</v>
      </c>
      <c r="H1626" s="12">
        <v>66.27</v>
      </c>
      <c r="I1626" s="12">
        <v>58.94</v>
      </c>
      <c r="J1626" s="9" t="s">
        <v>3</v>
      </c>
      <c r="K1626" s="8">
        <v>0</v>
      </c>
    </row>
    <row r="1627" spans="1:11">
      <c r="A1627" s="2" t="s">
        <v>2740</v>
      </c>
      <c r="B1627" s="2" t="s">
        <v>2741</v>
      </c>
      <c r="C1627" s="9">
        <v>10057256</v>
      </c>
      <c r="D1627" s="2" t="s">
        <v>2758</v>
      </c>
      <c r="E1627" s="10">
        <v>12</v>
      </c>
      <c r="F1627" s="9" t="s">
        <v>813</v>
      </c>
      <c r="G1627" s="11">
        <v>46238</v>
      </c>
      <c r="H1627" s="12">
        <v>31.3</v>
      </c>
      <c r="I1627" s="12">
        <v>27.9</v>
      </c>
      <c r="J1627" s="9" t="s">
        <v>3</v>
      </c>
      <c r="K1627" s="8">
        <v>0</v>
      </c>
    </row>
    <row r="1628" spans="1:11">
      <c r="A1628" s="2" t="s">
        <v>2740</v>
      </c>
      <c r="B1628" s="2" t="s">
        <v>2741</v>
      </c>
      <c r="C1628" s="9">
        <v>10057257</v>
      </c>
      <c r="D1628" s="2" t="s">
        <v>2759</v>
      </c>
      <c r="E1628" s="10">
        <v>12</v>
      </c>
      <c r="F1628" s="9" t="s">
        <v>804</v>
      </c>
      <c r="G1628" s="11">
        <v>46238</v>
      </c>
      <c r="H1628" s="12">
        <v>50.42</v>
      </c>
      <c r="I1628" s="12">
        <v>44.92</v>
      </c>
      <c r="J1628" s="9" t="s">
        <v>3</v>
      </c>
      <c r="K1628" s="8">
        <v>0</v>
      </c>
    </row>
    <row r="1629" spans="1:11">
      <c r="A1629" s="2" t="s">
        <v>2740</v>
      </c>
      <c r="B1629" s="2" t="s">
        <v>2741</v>
      </c>
      <c r="C1629" s="9">
        <v>10057258</v>
      </c>
      <c r="D1629" s="2" t="s">
        <v>2760</v>
      </c>
      <c r="E1629" s="10">
        <v>12</v>
      </c>
      <c r="F1629" s="9" t="s">
        <v>2753</v>
      </c>
      <c r="G1629" s="11">
        <v>46238</v>
      </c>
      <c r="H1629" s="12">
        <v>80.03</v>
      </c>
      <c r="I1629" s="12">
        <v>71.260000000000005</v>
      </c>
      <c r="J1629" s="9" t="s">
        <v>3</v>
      </c>
      <c r="K1629" s="8">
        <v>0</v>
      </c>
    </row>
    <row r="1630" spans="1:11">
      <c r="A1630" s="2" t="s">
        <v>2740</v>
      </c>
      <c r="B1630" s="2" t="s">
        <v>2761</v>
      </c>
      <c r="C1630" s="9">
        <v>10057261</v>
      </c>
      <c r="D1630" s="2" t="s">
        <v>2762</v>
      </c>
      <c r="E1630" s="10">
        <v>6</v>
      </c>
      <c r="F1630" s="9" t="s">
        <v>1173</v>
      </c>
      <c r="G1630" s="11">
        <v>46238</v>
      </c>
      <c r="H1630" s="12">
        <v>70.66</v>
      </c>
      <c r="I1630" s="12">
        <v>62.87</v>
      </c>
      <c r="J1630" s="9" t="s">
        <v>3</v>
      </c>
      <c r="K1630" s="8">
        <v>0</v>
      </c>
    </row>
    <row r="1631" spans="1:11">
      <c r="A1631" s="2" t="s">
        <v>2740</v>
      </c>
      <c r="B1631" s="2" t="s">
        <v>2741</v>
      </c>
      <c r="C1631" s="9">
        <v>10057263</v>
      </c>
      <c r="D1631" s="2" t="s">
        <v>2763</v>
      </c>
      <c r="E1631" s="10">
        <v>12</v>
      </c>
      <c r="F1631" s="9" t="s">
        <v>813</v>
      </c>
      <c r="G1631" s="11">
        <v>46238</v>
      </c>
      <c r="H1631" s="12">
        <v>45.59</v>
      </c>
      <c r="I1631" s="12">
        <v>40.6</v>
      </c>
      <c r="J1631" s="9" t="s">
        <v>3</v>
      </c>
      <c r="K1631" s="8">
        <v>0</v>
      </c>
    </row>
    <row r="1632" spans="1:11">
      <c r="A1632" s="2" t="s">
        <v>2740</v>
      </c>
      <c r="B1632" s="2" t="s">
        <v>2741</v>
      </c>
      <c r="C1632" s="9">
        <v>10057273</v>
      </c>
      <c r="D1632" s="2" t="s">
        <v>2764</v>
      </c>
      <c r="E1632" s="10">
        <v>12</v>
      </c>
      <c r="F1632" s="9" t="s">
        <v>1219</v>
      </c>
      <c r="G1632" s="11">
        <v>46238</v>
      </c>
      <c r="H1632" s="12">
        <v>66.27</v>
      </c>
      <c r="I1632" s="12">
        <v>58.94</v>
      </c>
      <c r="J1632" s="9" t="s">
        <v>3</v>
      </c>
      <c r="K1632" s="8">
        <v>0</v>
      </c>
    </row>
    <row r="1633" spans="1:11">
      <c r="A1633" s="2" t="s">
        <v>2740</v>
      </c>
      <c r="B1633" s="2" t="s">
        <v>2741</v>
      </c>
      <c r="C1633" s="9">
        <v>10057282</v>
      </c>
      <c r="D1633" s="2" t="s">
        <v>2765</v>
      </c>
      <c r="E1633" s="10">
        <v>12</v>
      </c>
      <c r="F1633" s="9" t="s">
        <v>813</v>
      </c>
      <c r="G1633" s="11">
        <v>46238</v>
      </c>
      <c r="H1633" s="12">
        <v>58.02</v>
      </c>
      <c r="I1633" s="12">
        <v>51.61</v>
      </c>
      <c r="J1633" s="9" t="s">
        <v>3</v>
      </c>
      <c r="K1633" s="8">
        <v>0</v>
      </c>
    </row>
    <row r="1634" spans="1:11">
      <c r="A1634" s="2" t="s">
        <v>2740</v>
      </c>
      <c r="B1634" s="2" t="s">
        <v>2741</v>
      </c>
      <c r="C1634" s="9">
        <v>10057285</v>
      </c>
      <c r="D1634" s="2" t="s">
        <v>2766</v>
      </c>
      <c r="E1634" s="10">
        <v>12</v>
      </c>
      <c r="F1634" s="9" t="s">
        <v>1219</v>
      </c>
      <c r="G1634" s="11">
        <v>46238</v>
      </c>
      <c r="H1634" s="12">
        <v>66.27</v>
      </c>
      <c r="I1634" s="12">
        <v>58.94</v>
      </c>
      <c r="J1634" s="9" t="s">
        <v>3</v>
      </c>
      <c r="K1634" s="8">
        <v>0</v>
      </c>
    </row>
    <row r="1635" spans="1:11">
      <c r="A1635" s="2" t="s">
        <v>2740</v>
      </c>
      <c r="B1635" s="2" t="s">
        <v>2741</v>
      </c>
      <c r="C1635" s="9">
        <v>10057289</v>
      </c>
      <c r="D1635" s="2" t="s">
        <v>2767</v>
      </c>
      <c r="E1635" s="10">
        <v>12</v>
      </c>
      <c r="F1635" s="9" t="s">
        <v>804</v>
      </c>
      <c r="G1635" s="11">
        <v>46238</v>
      </c>
      <c r="H1635" s="12">
        <v>50.47</v>
      </c>
      <c r="I1635" s="12">
        <v>44.92</v>
      </c>
      <c r="J1635" s="9" t="s">
        <v>3</v>
      </c>
      <c r="K1635" s="8">
        <v>0</v>
      </c>
    </row>
    <row r="1636" spans="1:11">
      <c r="A1636" s="2" t="s">
        <v>2740</v>
      </c>
      <c r="B1636" s="2" t="s">
        <v>2741</v>
      </c>
      <c r="C1636" s="9">
        <v>10057290</v>
      </c>
      <c r="D1636" s="2" t="s">
        <v>2768</v>
      </c>
      <c r="E1636" s="10">
        <v>12</v>
      </c>
      <c r="F1636" s="9" t="s">
        <v>2753</v>
      </c>
      <c r="G1636" s="11">
        <v>46238</v>
      </c>
      <c r="H1636" s="12">
        <v>80.069999999999993</v>
      </c>
      <c r="I1636" s="12">
        <v>71.260000000000005</v>
      </c>
      <c r="J1636" s="9" t="s">
        <v>3</v>
      </c>
      <c r="K1636" s="8">
        <v>0</v>
      </c>
    </row>
    <row r="1637" spans="1:11">
      <c r="A1637" s="2" t="s">
        <v>2740</v>
      </c>
      <c r="B1637" s="2" t="s">
        <v>2741</v>
      </c>
      <c r="C1637" s="9">
        <v>10057315</v>
      </c>
      <c r="D1637" s="2" t="s">
        <v>2769</v>
      </c>
      <c r="E1637" s="10">
        <v>12</v>
      </c>
      <c r="F1637" s="9" t="s">
        <v>804</v>
      </c>
      <c r="G1637" s="11">
        <v>46238</v>
      </c>
      <c r="H1637" s="12">
        <v>47.42</v>
      </c>
      <c r="I1637" s="12">
        <v>42.17</v>
      </c>
      <c r="J1637" s="9" t="s">
        <v>3</v>
      </c>
      <c r="K1637" s="8">
        <v>0</v>
      </c>
    </row>
    <row r="1638" spans="1:11">
      <c r="A1638" s="2" t="s">
        <v>2740</v>
      </c>
      <c r="B1638" s="2" t="s">
        <v>2741</v>
      </c>
      <c r="C1638" s="9">
        <v>10057316</v>
      </c>
      <c r="D1638" s="2" t="s">
        <v>2770</v>
      </c>
      <c r="E1638" s="10">
        <v>12</v>
      </c>
      <c r="F1638" s="9" t="s">
        <v>804</v>
      </c>
      <c r="G1638" s="11">
        <v>46238</v>
      </c>
      <c r="H1638" s="12">
        <v>60.91</v>
      </c>
      <c r="I1638" s="12">
        <v>54.22</v>
      </c>
      <c r="J1638" s="9" t="s">
        <v>3</v>
      </c>
      <c r="K1638" s="8">
        <v>0</v>
      </c>
    </row>
    <row r="1639" spans="1:11">
      <c r="A1639" s="2" t="s">
        <v>2740</v>
      </c>
      <c r="B1639" s="2" t="s">
        <v>2741</v>
      </c>
      <c r="C1639" s="9">
        <v>10057326</v>
      </c>
      <c r="D1639" s="2" t="s">
        <v>2771</v>
      </c>
      <c r="E1639" s="10">
        <v>1</v>
      </c>
      <c r="F1639" s="9" t="s">
        <v>829</v>
      </c>
      <c r="G1639" s="11">
        <v>46238</v>
      </c>
      <c r="H1639" s="12">
        <v>184.71</v>
      </c>
      <c r="I1639" s="12">
        <v>164.39</v>
      </c>
      <c r="J1639" s="9" t="s">
        <v>3</v>
      </c>
      <c r="K1639" s="8">
        <v>0</v>
      </c>
    </row>
    <row r="1640" spans="1:11">
      <c r="A1640" s="2" t="s">
        <v>2740</v>
      </c>
      <c r="B1640" s="2" t="s">
        <v>2741</v>
      </c>
      <c r="C1640" s="9">
        <v>10057329</v>
      </c>
      <c r="D1640" s="2" t="s">
        <v>2772</v>
      </c>
      <c r="E1640" s="10">
        <v>12</v>
      </c>
      <c r="F1640" s="9" t="s">
        <v>804</v>
      </c>
      <c r="G1640" s="11">
        <v>46238</v>
      </c>
      <c r="H1640" s="12">
        <v>47.42</v>
      </c>
      <c r="I1640" s="12">
        <v>42.17</v>
      </c>
      <c r="J1640" s="9" t="s">
        <v>3</v>
      </c>
      <c r="K1640" s="8">
        <v>0</v>
      </c>
    </row>
    <row r="1641" spans="1:11">
      <c r="A1641" s="2" t="s">
        <v>2740</v>
      </c>
      <c r="B1641" s="2" t="s">
        <v>2741</v>
      </c>
      <c r="C1641" s="9">
        <v>10057370</v>
      </c>
      <c r="D1641" s="2" t="s">
        <v>2773</v>
      </c>
      <c r="E1641" s="10">
        <v>12</v>
      </c>
      <c r="F1641" s="9" t="s">
        <v>804</v>
      </c>
      <c r="G1641" s="11">
        <v>46238</v>
      </c>
      <c r="H1641" s="12">
        <v>36.67</v>
      </c>
      <c r="I1641" s="12">
        <v>32.619999999999997</v>
      </c>
      <c r="J1641" s="9" t="s">
        <v>3</v>
      </c>
      <c r="K1641" s="8">
        <v>0</v>
      </c>
    </row>
    <row r="1642" spans="1:11">
      <c r="A1642" s="2" t="s">
        <v>2740</v>
      </c>
      <c r="B1642" s="2" t="s">
        <v>2741</v>
      </c>
      <c r="C1642" s="9">
        <v>10057371</v>
      </c>
      <c r="D1642" s="2" t="s">
        <v>2774</v>
      </c>
      <c r="E1642" s="10">
        <v>12</v>
      </c>
      <c r="F1642" s="9" t="s">
        <v>804</v>
      </c>
      <c r="G1642" s="11">
        <v>46238</v>
      </c>
      <c r="H1642" s="12">
        <v>36.67</v>
      </c>
      <c r="I1642" s="12">
        <v>32.619999999999997</v>
      </c>
      <c r="J1642" s="9" t="s">
        <v>3</v>
      </c>
      <c r="K1642" s="8">
        <v>0</v>
      </c>
    </row>
    <row r="1643" spans="1:11">
      <c r="A1643" s="2" t="s">
        <v>708</v>
      </c>
      <c r="B1643" s="2" t="s">
        <v>709</v>
      </c>
      <c r="C1643" s="9">
        <v>10057712</v>
      </c>
      <c r="D1643" s="2" t="s">
        <v>2775</v>
      </c>
      <c r="E1643" s="10">
        <v>12</v>
      </c>
      <c r="F1643" s="9" t="s">
        <v>711</v>
      </c>
      <c r="G1643" s="11">
        <v>46238</v>
      </c>
      <c r="H1643" s="12">
        <v>51</v>
      </c>
      <c r="I1643" s="12">
        <v>45.36</v>
      </c>
      <c r="J1643" s="9" t="s">
        <v>3</v>
      </c>
      <c r="K1643" s="8">
        <v>0</v>
      </c>
    </row>
    <row r="1644" spans="1:11">
      <c r="A1644" s="2" t="s">
        <v>708</v>
      </c>
      <c r="B1644" s="2" t="s">
        <v>709</v>
      </c>
      <c r="C1644" s="9">
        <v>10057713</v>
      </c>
      <c r="D1644" s="2" t="s">
        <v>2776</v>
      </c>
      <c r="E1644" s="10">
        <v>12</v>
      </c>
      <c r="F1644" s="9" t="s">
        <v>711</v>
      </c>
      <c r="G1644" s="11">
        <v>46238</v>
      </c>
      <c r="H1644" s="12">
        <v>51</v>
      </c>
      <c r="I1644" s="12">
        <v>45.36</v>
      </c>
      <c r="J1644" s="9" t="s">
        <v>3</v>
      </c>
      <c r="K1644" s="8">
        <v>0</v>
      </c>
    </row>
    <row r="1645" spans="1:11">
      <c r="A1645" s="2" t="s">
        <v>708</v>
      </c>
      <c r="B1645" s="2" t="s">
        <v>709</v>
      </c>
      <c r="C1645" s="9">
        <v>10057714</v>
      </c>
      <c r="D1645" s="2" t="s">
        <v>2777</v>
      </c>
      <c r="E1645" s="10">
        <v>12</v>
      </c>
      <c r="F1645" s="9" t="s">
        <v>711</v>
      </c>
      <c r="G1645" s="11">
        <v>46238</v>
      </c>
      <c r="H1645" s="12">
        <v>51</v>
      </c>
      <c r="I1645" s="12">
        <v>45.36</v>
      </c>
      <c r="J1645" s="9" t="s">
        <v>3</v>
      </c>
      <c r="K1645" s="8">
        <v>0</v>
      </c>
    </row>
    <row r="1646" spans="1:11">
      <c r="A1646" s="2" t="s">
        <v>708</v>
      </c>
      <c r="B1646" s="2" t="s">
        <v>709</v>
      </c>
      <c r="C1646" s="9">
        <v>10057723</v>
      </c>
      <c r="D1646" s="2" t="s">
        <v>2778</v>
      </c>
      <c r="E1646" s="10">
        <v>12</v>
      </c>
      <c r="F1646" s="9" t="s">
        <v>711</v>
      </c>
      <c r="G1646" s="11">
        <v>46238</v>
      </c>
      <c r="H1646" s="12">
        <v>51</v>
      </c>
      <c r="I1646" s="12">
        <v>45.36</v>
      </c>
      <c r="J1646" s="9" t="s">
        <v>3</v>
      </c>
      <c r="K1646" s="8">
        <v>0</v>
      </c>
    </row>
    <row r="1647" spans="1:11">
      <c r="A1647" s="2" t="s">
        <v>708</v>
      </c>
      <c r="B1647" s="2" t="s">
        <v>709</v>
      </c>
      <c r="C1647" s="9">
        <v>10057727</v>
      </c>
      <c r="D1647" s="2" t="s">
        <v>2779</v>
      </c>
      <c r="E1647" s="10">
        <v>12</v>
      </c>
      <c r="F1647" s="9" t="s">
        <v>711</v>
      </c>
      <c r="G1647" s="11">
        <v>46238</v>
      </c>
      <c r="H1647" s="12">
        <v>51</v>
      </c>
      <c r="I1647" s="12">
        <v>45.36</v>
      </c>
      <c r="J1647" s="9" t="s">
        <v>3</v>
      </c>
      <c r="K1647" s="8">
        <v>0</v>
      </c>
    </row>
    <row r="1648" spans="1:11">
      <c r="A1648" s="2" t="s">
        <v>708</v>
      </c>
      <c r="B1648" s="2" t="s">
        <v>709</v>
      </c>
      <c r="C1648" s="9">
        <v>10057728</v>
      </c>
      <c r="D1648" s="2" t="s">
        <v>2780</v>
      </c>
      <c r="E1648" s="10">
        <v>12</v>
      </c>
      <c r="F1648" s="9" t="s">
        <v>711</v>
      </c>
      <c r="G1648" s="11">
        <v>46238</v>
      </c>
      <c r="H1648" s="12">
        <v>51</v>
      </c>
      <c r="I1648" s="12">
        <v>45.36</v>
      </c>
      <c r="J1648" s="9" t="s">
        <v>3</v>
      </c>
      <c r="K1648" s="8">
        <v>0</v>
      </c>
    </row>
    <row r="1649" spans="1:11">
      <c r="A1649" s="2" t="s">
        <v>708</v>
      </c>
      <c r="B1649" s="2" t="s">
        <v>709</v>
      </c>
      <c r="C1649" s="9">
        <v>10057729</v>
      </c>
      <c r="D1649" s="2" t="s">
        <v>2781</v>
      </c>
      <c r="E1649" s="10">
        <v>12</v>
      </c>
      <c r="F1649" s="9" t="s">
        <v>711</v>
      </c>
      <c r="G1649" s="11">
        <v>46238</v>
      </c>
      <c r="H1649" s="12">
        <v>51</v>
      </c>
      <c r="I1649" s="12">
        <v>45.36</v>
      </c>
      <c r="J1649" s="9" t="s">
        <v>3</v>
      </c>
      <c r="K1649" s="8">
        <v>0</v>
      </c>
    </row>
    <row r="1650" spans="1:11">
      <c r="A1650" s="2" t="s">
        <v>708</v>
      </c>
      <c r="B1650" s="2" t="s">
        <v>709</v>
      </c>
      <c r="C1650" s="9">
        <v>10057730</v>
      </c>
      <c r="D1650" s="2" t="s">
        <v>2782</v>
      </c>
      <c r="E1650" s="10">
        <v>12</v>
      </c>
      <c r="F1650" s="9" t="s">
        <v>711</v>
      </c>
      <c r="G1650" s="11">
        <v>46238</v>
      </c>
      <c r="H1650" s="12">
        <v>51</v>
      </c>
      <c r="I1650" s="12">
        <v>45.36</v>
      </c>
      <c r="J1650" s="9" t="s">
        <v>3</v>
      </c>
      <c r="K1650" s="8">
        <v>0</v>
      </c>
    </row>
    <row r="1651" spans="1:11">
      <c r="A1651" s="2" t="s">
        <v>687</v>
      </c>
      <c r="B1651" s="2" t="s">
        <v>691</v>
      </c>
      <c r="C1651" s="9">
        <v>10057994</v>
      </c>
      <c r="D1651" s="2" t="s">
        <v>2783</v>
      </c>
      <c r="E1651" s="10">
        <v>6</v>
      </c>
      <c r="F1651" s="9" t="s">
        <v>2784</v>
      </c>
      <c r="G1651" s="11">
        <v>46238</v>
      </c>
      <c r="H1651" s="12">
        <v>36.56</v>
      </c>
      <c r="I1651" s="12">
        <v>32.54</v>
      </c>
      <c r="J1651" s="9" t="s">
        <v>3</v>
      </c>
      <c r="K1651" s="8">
        <v>0</v>
      </c>
    </row>
    <row r="1652" spans="1:11">
      <c r="A1652" s="2" t="s">
        <v>687</v>
      </c>
      <c r="B1652" s="2" t="s">
        <v>691</v>
      </c>
      <c r="C1652" s="9">
        <v>10057995</v>
      </c>
      <c r="D1652" s="2" t="s">
        <v>2785</v>
      </c>
      <c r="E1652" s="10">
        <v>6</v>
      </c>
      <c r="F1652" s="9" t="s">
        <v>2784</v>
      </c>
      <c r="G1652" s="11">
        <v>46238</v>
      </c>
      <c r="H1652" s="12">
        <v>36.56</v>
      </c>
      <c r="I1652" s="12">
        <v>32.54</v>
      </c>
      <c r="J1652" s="9" t="s">
        <v>3</v>
      </c>
      <c r="K1652" s="8">
        <v>0</v>
      </c>
    </row>
    <row r="1653" spans="1:11">
      <c r="A1653" s="2" t="s">
        <v>687</v>
      </c>
      <c r="B1653" s="2" t="s">
        <v>691</v>
      </c>
      <c r="C1653" s="9">
        <v>10057996</v>
      </c>
      <c r="D1653" s="2" t="s">
        <v>2786</v>
      </c>
      <c r="E1653" s="10">
        <v>6</v>
      </c>
      <c r="F1653" s="9" t="s">
        <v>2784</v>
      </c>
      <c r="G1653" s="11">
        <v>46238</v>
      </c>
      <c r="H1653" s="12">
        <v>36.56</v>
      </c>
      <c r="I1653" s="12">
        <v>32.54</v>
      </c>
      <c r="J1653" s="9" t="s">
        <v>3</v>
      </c>
      <c r="K1653" s="8">
        <v>0</v>
      </c>
    </row>
    <row r="1654" spans="1:11">
      <c r="A1654" s="2" t="s">
        <v>687</v>
      </c>
      <c r="B1654" s="2" t="s">
        <v>691</v>
      </c>
      <c r="C1654" s="9">
        <v>10058117</v>
      </c>
      <c r="D1654" s="2" t="s">
        <v>2787</v>
      </c>
      <c r="E1654" s="10">
        <v>12</v>
      </c>
      <c r="F1654" s="9" t="s">
        <v>2788</v>
      </c>
      <c r="G1654" s="11">
        <v>46238</v>
      </c>
      <c r="H1654" s="12">
        <v>103.32</v>
      </c>
      <c r="I1654" s="12">
        <v>91.92</v>
      </c>
      <c r="J1654" s="9" t="s">
        <v>3</v>
      </c>
      <c r="K1654" s="8">
        <v>0</v>
      </c>
    </row>
    <row r="1655" spans="1:11">
      <c r="A1655" s="2" t="s">
        <v>663</v>
      </c>
      <c r="B1655" s="2" t="s">
        <v>2362</v>
      </c>
      <c r="C1655" s="9">
        <v>10058238</v>
      </c>
      <c r="D1655" s="2" t="s">
        <v>2789</v>
      </c>
      <c r="E1655" s="10">
        <v>6</v>
      </c>
      <c r="F1655" s="9" t="s">
        <v>2364</v>
      </c>
      <c r="G1655" s="11">
        <v>46238</v>
      </c>
      <c r="H1655" s="12">
        <v>30.89</v>
      </c>
      <c r="I1655" s="12">
        <v>27.49</v>
      </c>
      <c r="J1655" s="9" t="s">
        <v>3</v>
      </c>
      <c r="K1655" s="8">
        <v>0</v>
      </c>
    </row>
    <row r="1656" spans="1:11">
      <c r="A1656" s="2" t="s">
        <v>663</v>
      </c>
      <c r="B1656" s="2" t="s">
        <v>2362</v>
      </c>
      <c r="C1656" s="9">
        <v>10058242</v>
      </c>
      <c r="D1656" s="2" t="s">
        <v>2790</v>
      </c>
      <c r="E1656" s="10">
        <v>6</v>
      </c>
      <c r="F1656" s="9" t="s">
        <v>2364</v>
      </c>
      <c r="G1656" s="11">
        <v>46238</v>
      </c>
      <c r="H1656" s="12">
        <v>30.89</v>
      </c>
      <c r="I1656" s="12">
        <v>27.49</v>
      </c>
      <c r="J1656" s="9" t="s">
        <v>3</v>
      </c>
      <c r="K1656" s="8">
        <v>0</v>
      </c>
    </row>
    <row r="1657" spans="1:11">
      <c r="A1657" s="2" t="s">
        <v>663</v>
      </c>
      <c r="B1657" s="2" t="s">
        <v>2362</v>
      </c>
      <c r="C1657" s="9">
        <v>10058244</v>
      </c>
      <c r="D1657" s="2" t="s">
        <v>2791</v>
      </c>
      <c r="E1657" s="10">
        <v>6</v>
      </c>
      <c r="F1657" s="9" t="s">
        <v>2364</v>
      </c>
      <c r="G1657" s="11">
        <v>46238</v>
      </c>
      <c r="H1657" s="12">
        <v>30.89</v>
      </c>
      <c r="I1657" s="12">
        <v>27.49</v>
      </c>
      <c r="J1657" s="9" t="s">
        <v>3</v>
      </c>
      <c r="K1657" s="8">
        <v>0</v>
      </c>
    </row>
    <row r="1658" spans="1:11">
      <c r="A1658" s="2" t="s">
        <v>663</v>
      </c>
      <c r="B1658" s="2" t="s">
        <v>2362</v>
      </c>
      <c r="C1658" s="9">
        <v>10058246</v>
      </c>
      <c r="D1658" s="2" t="s">
        <v>2792</v>
      </c>
      <c r="E1658" s="10">
        <v>6</v>
      </c>
      <c r="F1658" s="9" t="s">
        <v>2364</v>
      </c>
      <c r="G1658" s="11">
        <v>46238</v>
      </c>
      <c r="H1658" s="12">
        <v>30.89</v>
      </c>
      <c r="I1658" s="12">
        <v>27.49</v>
      </c>
      <c r="J1658" s="9" t="s">
        <v>3</v>
      </c>
      <c r="K1658" s="8">
        <v>0</v>
      </c>
    </row>
    <row r="1659" spans="1:11">
      <c r="A1659" s="2" t="s">
        <v>663</v>
      </c>
      <c r="B1659" s="2" t="s">
        <v>2362</v>
      </c>
      <c r="C1659" s="9">
        <v>10058247</v>
      </c>
      <c r="D1659" s="2" t="s">
        <v>2793</v>
      </c>
      <c r="E1659" s="10">
        <v>6</v>
      </c>
      <c r="F1659" s="9" t="s">
        <v>2364</v>
      </c>
      <c r="G1659" s="11">
        <v>46238</v>
      </c>
      <c r="H1659" s="12">
        <v>30.89</v>
      </c>
      <c r="I1659" s="12">
        <v>27.49</v>
      </c>
      <c r="J1659" s="9" t="s">
        <v>3</v>
      </c>
      <c r="K1659" s="8">
        <v>0</v>
      </c>
    </row>
    <row r="1660" spans="1:11">
      <c r="A1660" s="2" t="s">
        <v>663</v>
      </c>
      <c r="B1660" s="2" t="s">
        <v>2362</v>
      </c>
      <c r="C1660" s="9">
        <v>10058248</v>
      </c>
      <c r="D1660" s="2" t="s">
        <v>2794</v>
      </c>
      <c r="E1660" s="10">
        <v>6</v>
      </c>
      <c r="F1660" s="9" t="s">
        <v>2364</v>
      </c>
      <c r="G1660" s="11">
        <v>46238</v>
      </c>
      <c r="H1660" s="12">
        <v>30.89</v>
      </c>
      <c r="I1660" s="12">
        <v>27.49</v>
      </c>
      <c r="J1660" s="9" t="s">
        <v>3</v>
      </c>
      <c r="K1660" s="8">
        <v>0</v>
      </c>
    </row>
    <row r="1661" spans="1:11">
      <c r="A1661" s="2" t="s">
        <v>746</v>
      </c>
      <c r="B1661" s="2" t="s">
        <v>2795</v>
      </c>
      <c r="C1661" s="9">
        <v>10058277</v>
      </c>
      <c r="D1661" s="2" t="s">
        <v>2796</v>
      </c>
      <c r="E1661" s="10">
        <v>6</v>
      </c>
      <c r="F1661" s="9" t="s">
        <v>763</v>
      </c>
      <c r="G1661" s="11">
        <v>46238</v>
      </c>
      <c r="H1661" s="12">
        <v>91.52</v>
      </c>
      <c r="I1661" s="12">
        <v>81.45</v>
      </c>
      <c r="J1661" s="9" t="s">
        <v>3</v>
      </c>
      <c r="K1661" s="8">
        <v>0</v>
      </c>
    </row>
    <row r="1662" spans="1:11">
      <c r="A1662" s="2" t="s">
        <v>746</v>
      </c>
      <c r="B1662" s="2" t="s">
        <v>2795</v>
      </c>
      <c r="C1662" s="9">
        <v>10058278</v>
      </c>
      <c r="D1662" s="2" t="s">
        <v>2797</v>
      </c>
      <c r="E1662" s="10">
        <v>6</v>
      </c>
      <c r="F1662" s="9" t="s">
        <v>763</v>
      </c>
      <c r="G1662" s="11">
        <v>46238</v>
      </c>
      <c r="H1662" s="12">
        <v>91.52</v>
      </c>
      <c r="I1662" s="12">
        <v>81.45</v>
      </c>
      <c r="J1662" s="9" t="s">
        <v>3</v>
      </c>
      <c r="K1662" s="8">
        <v>0</v>
      </c>
    </row>
    <row r="1663" spans="1:11">
      <c r="A1663" s="2" t="s">
        <v>746</v>
      </c>
      <c r="B1663" s="2" t="s">
        <v>2795</v>
      </c>
      <c r="C1663" s="9">
        <v>10058279</v>
      </c>
      <c r="D1663" s="2" t="s">
        <v>2798</v>
      </c>
      <c r="E1663" s="10">
        <v>6</v>
      </c>
      <c r="F1663" s="9" t="s">
        <v>763</v>
      </c>
      <c r="G1663" s="11">
        <v>46238</v>
      </c>
      <c r="H1663" s="12">
        <v>91.52</v>
      </c>
      <c r="I1663" s="12">
        <v>81.45</v>
      </c>
      <c r="J1663" s="9" t="s">
        <v>3</v>
      </c>
      <c r="K1663" s="8">
        <v>0</v>
      </c>
    </row>
    <row r="1664" spans="1:11">
      <c r="A1664" s="2" t="s">
        <v>746</v>
      </c>
      <c r="B1664" s="2" t="s">
        <v>2795</v>
      </c>
      <c r="C1664" s="9">
        <v>10058281</v>
      </c>
      <c r="D1664" s="2" t="s">
        <v>2799</v>
      </c>
      <c r="E1664" s="10">
        <v>6</v>
      </c>
      <c r="F1664" s="9" t="s">
        <v>763</v>
      </c>
      <c r="G1664" s="11">
        <v>46238</v>
      </c>
      <c r="H1664" s="12">
        <v>91.52</v>
      </c>
      <c r="I1664" s="12">
        <v>81.45</v>
      </c>
      <c r="J1664" s="9" t="s">
        <v>3</v>
      </c>
      <c r="K1664" s="8">
        <v>0</v>
      </c>
    </row>
    <row r="1665" spans="1:11">
      <c r="A1665" s="2" t="s">
        <v>663</v>
      </c>
      <c r="B1665" s="2" t="s">
        <v>2362</v>
      </c>
      <c r="C1665" s="9">
        <v>10058302</v>
      </c>
      <c r="D1665" s="2" t="s">
        <v>2800</v>
      </c>
      <c r="E1665" s="10">
        <v>6</v>
      </c>
      <c r="F1665" s="9" t="s">
        <v>2801</v>
      </c>
      <c r="G1665" s="11">
        <v>46238</v>
      </c>
      <c r="H1665" s="12">
        <v>29.64</v>
      </c>
      <c r="I1665" s="12">
        <v>26.38</v>
      </c>
      <c r="J1665" s="9" t="s">
        <v>3</v>
      </c>
      <c r="K1665" s="8">
        <v>0</v>
      </c>
    </row>
    <row r="1666" spans="1:11">
      <c r="A1666" s="2" t="s">
        <v>663</v>
      </c>
      <c r="B1666" s="2" t="s">
        <v>2362</v>
      </c>
      <c r="C1666" s="9">
        <v>10058303</v>
      </c>
      <c r="D1666" s="2" t="s">
        <v>2802</v>
      </c>
      <c r="E1666" s="10">
        <v>6</v>
      </c>
      <c r="F1666" s="9" t="s">
        <v>2801</v>
      </c>
      <c r="G1666" s="11">
        <v>46238</v>
      </c>
      <c r="H1666" s="12">
        <v>29.64</v>
      </c>
      <c r="I1666" s="12">
        <v>26.38</v>
      </c>
      <c r="J1666" s="9" t="s">
        <v>3</v>
      </c>
      <c r="K1666" s="8">
        <v>0</v>
      </c>
    </row>
    <row r="1667" spans="1:11">
      <c r="A1667" s="2" t="s">
        <v>663</v>
      </c>
      <c r="B1667" s="2" t="s">
        <v>2362</v>
      </c>
      <c r="C1667" s="9">
        <v>10058304</v>
      </c>
      <c r="D1667" s="2" t="s">
        <v>2803</v>
      </c>
      <c r="E1667" s="10">
        <v>6</v>
      </c>
      <c r="F1667" s="9" t="s">
        <v>2801</v>
      </c>
      <c r="G1667" s="11">
        <v>46238</v>
      </c>
      <c r="H1667" s="12">
        <v>29.64</v>
      </c>
      <c r="I1667" s="12">
        <v>26.38</v>
      </c>
      <c r="J1667" s="9" t="s">
        <v>3</v>
      </c>
      <c r="K1667" s="8">
        <v>0</v>
      </c>
    </row>
    <row r="1668" spans="1:11">
      <c r="A1668" s="2" t="s">
        <v>663</v>
      </c>
      <c r="B1668" s="2" t="s">
        <v>2362</v>
      </c>
      <c r="C1668" s="9">
        <v>10058305</v>
      </c>
      <c r="D1668" s="2" t="s">
        <v>2804</v>
      </c>
      <c r="E1668" s="10">
        <v>6</v>
      </c>
      <c r="F1668" s="9" t="s">
        <v>2801</v>
      </c>
      <c r="G1668" s="11">
        <v>46238</v>
      </c>
      <c r="H1668" s="12">
        <v>29.64</v>
      </c>
      <c r="I1668" s="12">
        <v>26.38</v>
      </c>
      <c r="J1668" s="9" t="s">
        <v>3</v>
      </c>
      <c r="K1668" s="8">
        <v>0</v>
      </c>
    </row>
    <row r="1669" spans="1:11">
      <c r="A1669" s="2" t="s">
        <v>687</v>
      </c>
      <c r="B1669" s="2" t="s">
        <v>2743</v>
      </c>
      <c r="C1669" s="9">
        <v>10058306</v>
      </c>
      <c r="D1669" s="2" t="s">
        <v>2805</v>
      </c>
      <c r="E1669" s="10">
        <v>6</v>
      </c>
      <c r="F1669" s="9" t="s">
        <v>666</v>
      </c>
      <c r="G1669" s="11">
        <v>46238</v>
      </c>
      <c r="H1669" s="12">
        <v>49.4</v>
      </c>
      <c r="I1669" s="12">
        <v>43.97</v>
      </c>
      <c r="J1669" s="9" t="s">
        <v>3</v>
      </c>
      <c r="K1669" s="8">
        <v>0</v>
      </c>
    </row>
    <row r="1670" spans="1:11">
      <c r="A1670" s="2" t="s">
        <v>687</v>
      </c>
      <c r="B1670" s="2" t="s">
        <v>2743</v>
      </c>
      <c r="C1670" s="9">
        <v>10058307</v>
      </c>
      <c r="D1670" s="2" t="s">
        <v>2806</v>
      </c>
      <c r="E1670" s="10">
        <v>6</v>
      </c>
      <c r="F1670" s="9" t="s">
        <v>666</v>
      </c>
      <c r="G1670" s="11">
        <v>46238</v>
      </c>
      <c r="H1670" s="12">
        <v>46.39</v>
      </c>
      <c r="I1670" s="12">
        <v>41.29</v>
      </c>
      <c r="J1670" s="9" t="s">
        <v>3</v>
      </c>
      <c r="K1670" s="8">
        <v>0</v>
      </c>
    </row>
    <row r="1671" spans="1:11">
      <c r="A1671" s="2" t="s">
        <v>687</v>
      </c>
      <c r="B1671" s="2" t="s">
        <v>2743</v>
      </c>
      <c r="C1671" s="9">
        <v>10058309</v>
      </c>
      <c r="D1671" s="2" t="s">
        <v>2807</v>
      </c>
      <c r="E1671" s="10">
        <v>6</v>
      </c>
      <c r="F1671" s="9" t="s">
        <v>666</v>
      </c>
      <c r="G1671" s="11">
        <v>46238</v>
      </c>
      <c r="H1671" s="12">
        <v>58.26</v>
      </c>
      <c r="I1671" s="12">
        <v>51.85</v>
      </c>
      <c r="J1671" s="9" t="s">
        <v>3</v>
      </c>
      <c r="K1671" s="8">
        <v>0</v>
      </c>
    </row>
    <row r="1672" spans="1:11">
      <c r="A1672" s="2" t="s">
        <v>687</v>
      </c>
      <c r="B1672" s="2" t="s">
        <v>2743</v>
      </c>
      <c r="C1672" s="9">
        <v>10058310</v>
      </c>
      <c r="D1672" s="2" t="s">
        <v>2808</v>
      </c>
      <c r="E1672" s="10">
        <v>6</v>
      </c>
      <c r="F1672" s="9" t="s">
        <v>666</v>
      </c>
      <c r="G1672" s="11">
        <v>46238</v>
      </c>
      <c r="H1672" s="12">
        <v>52.48</v>
      </c>
      <c r="I1672" s="12">
        <v>46.71</v>
      </c>
      <c r="J1672" s="9" t="s">
        <v>3</v>
      </c>
      <c r="K1672" s="8">
        <v>0</v>
      </c>
    </row>
    <row r="1673" spans="1:11">
      <c r="A1673" s="2" t="s">
        <v>687</v>
      </c>
      <c r="B1673" s="2" t="s">
        <v>2743</v>
      </c>
      <c r="C1673" s="9">
        <v>10058311</v>
      </c>
      <c r="D1673" s="2" t="s">
        <v>2809</v>
      </c>
      <c r="E1673" s="10">
        <v>6</v>
      </c>
      <c r="F1673" s="9" t="s">
        <v>666</v>
      </c>
      <c r="G1673" s="11">
        <v>46238</v>
      </c>
      <c r="H1673" s="12">
        <v>90.29</v>
      </c>
      <c r="I1673" s="12">
        <v>80.36</v>
      </c>
      <c r="J1673" s="9" t="s">
        <v>3</v>
      </c>
      <c r="K1673" s="8">
        <v>0</v>
      </c>
    </row>
    <row r="1674" spans="1:11">
      <c r="A1674" s="2" t="s">
        <v>687</v>
      </c>
      <c r="B1674" s="2" t="s">
        <v>2743</v>
      </c>
      <c r="C1674" s="9">
        <v>10058312</v>
      </c>
      <c r="D1674" s="2" t="s">
        <v>2810</v>
      </c>
      <c r="E1674" s="10">
        <v>6</v>
      </c>
      <c r="F1674" s="9" t="s">
        <v>666</v>
      </c>
      <c r="G1674" s="11">
        <v>46238</v>
      </c>
      <c r="H1674" s="12">
        <v>72.849999999999994</v>
      </c>
      <c r="I1674" s="12">
        <v>64.84</v>
      </c>
      <c r="J1674" s="9" t="s">
        <v>3</v>
      </c>
      <c r="K1674" s="8">
        <v>0</v>
      </c>
    </row>
    <row r="1675" spans="1:11">
      <c r="A1675" s="2" t="s">
        <v>687</v>
      </c>
      <c r="B1675" s="2" t="s">
        <v>2743</v>
      </c>
      <c r="C1675" s="9">
        <v>10058314</v>
      </c>
      <c r="D1675" s="2" t="s">
        <v>2811</v>
      </c>
      <c r="E1675" s="10">
        <v>6</v>
      </c>
      <c r="F1675" s="9" t="s">
        <v>666</v>
      </c>
      <c r="G1675" s="11">
        <v>46238</v>
      </c>
      <c r="H1675" s="12">
        <v>68.010000000000005</v>
      </c>
      <c r="I1675" s="12">
        <v>60.53</v>
      </c>
      <c r="J1675" s="9" t="s">
        <v>3</v>
      </c>
      <c r="K1675" s="8">
        <v>0</v>
      </c>
    </row>
    <row r="1676" spans="1:11">
      <c r="A1676" s="2" t="s">
        <v>687</v>
      </c>
      <c r="B1676" s="2" t="s">
        <v>2743</v>
      </c>
      <c r="C1676" s="9">
        <v>10058315</v>
      </c>
      <c r="D1676" s="2" t="s">
        <v>2812</v>
      </c>
      <c r="E1676" s="10">
        <v>6</v>
      </c>
      <c r="F1676" s="9" t="s">
        <v>666</v>
      </c>
      <c r="G1676" s="11">
        <v>46238</v>
      </c>
      <c r="H1676" s="12">
        <v>67.81</v>
      </c>
      <c r="I1676" s="12">
        <v>60.35</v>
      </c>
      <c r="J1676" s="9" t="s">
        <v>3</v>
      </c>
      <c r="K1676" s="8">
        <v>0</v>
      </c>
    </row>
    <row r="1677" spans="1:11">
      <c r="A1677" s="2" t="s">
        <v>687</v>
      </c>
      <c r="B1677" s="2" t="s">
        <v>2743</v>
      </c>
      <c r="C1677" s="9">
        <v>10058316</v>
      </c>
      <c r="D1677" s="2" t="s">
        <v>2813</v>
      </c>
      <c r="E1677" s="10">
        <v>6</v>
      </c>
      <c r="F1677" s="9" t="s">
        <v>666</v>
      </c>
      <c r="G1677" s="11">
        <v>46238</v>
      </c>
      <c r="H1677" s="12">
        <v>54.33</v>
      </c>
      <c r="I1677" s="12">
        <v>48.35</v>
      </c>
      <c r="J1677" s="9" t="s">
        <v>3</v>
      </c>
      <c r="K1677" s="8">
        <v>0</v>
      </c>
    </row>
    <row r="1678" spans="1:11">
      <c r="A1678" s="2" t="s">
        <v>663</v>
      </c>
      <c r="B1678" s="2" t="s">
        <v>2362</v>
      </c>
      <c r="C1678" s="9">
        <v>10058322</v>
      </c>
      <c r="D1678" s="2" t="s">
        <v>2814</v>
      </c>
      <c r="E1678" s="10">
        <v>6</v>
      </c>
      <c r="F1678" s="9" t="s">
        <v>1068</v>
      </c>
      <c r="G1678" s="11">
        <v>46238</v>
      </c>
      <c r="H1678" s="12">
        <v>30.89</v>
      </c>
      <c r="I1678" s="12">
        <v>27.49</v>
      </c>
      <c r="J1678" s="9" t="s">
        <v>3</v>
      </c>
      <c r="K1678" s="8">
        <v>0</v>
      </c>
    </row>
    <row r="1679" spans="1:11">
      <c r="A1679" s="2" t="s">
        <v>663</v>
      </c>
      <c r="B1679" s="2" t="s">
        <v>2362</v>
      </c>
      <c r="C1679" s="9">
        <v>10058342</v>
      </c>
      <c r="D1679" s="2" t="s">
        <v>2815</v>
      </c>
      <c r="E1679" s="10">
        <v>6</v>
      </c>
      <c r="F1679" s="9" t="s">
        <v>1691</v>
      </c>
      <c r="G1679" s="11">
        <v>46238</v>
      </c>
      <c r="H1679" s="12">
        <v>30.89</v>
      </c>
      <c r="I1679" s="12">
        <v>27.49</v>
      </c>
      <c r="J1679" s="9" t="s">
        <v>3</v>
      </c>
      <c r="K1679" s="8">
        <v>0</v>
      </c>
    </row>
    <row r="1680" spans="1:11">
      <c r="A1680" s="2" t="s">
        <v>663</v>
      </c>
      <c r="B1680" s="2" t="s">
        <v>2362</v>
      </c>
      <c r="C1680" s="9">
        <v>10058343</v>
      </c>
      <c r="D1680" s="2" t="s">
        <v>2816</v>
      </c>
      <c r="E1680" s="10">
        <v>6</v>
      </c>
      <c r="F1680" s="9" t="s">
        <v>2817</v>
      </c>
      <c r="G1680" s="11">
        <v>46238</v>
      </c>
      <c r="H1680" s="12">
        <v>42.88</v>
      </c>
      <c r="I1680" s="12">
        <v>38.159999999999997</v>
      </c>
      <c r="J1680" s="9" t="s">
        <v>3</v>
      </c>
      <c r="K1680" s="8">
        <v>0</v>
      </c>
    </row>
    <row r="1681" spans="1:11">
      <c r="A1681" s="2" t="s">
        <v>663</v>
      </c>
      <c r="B1681" s="2" t="s">
        <v>2362</v>
      </c>
      <c r="C1681" s="9">
        <v>10058344</v>
      </c>
      <c r="D1681" s="2" t="s">
        <v>2818</v>
      </c>
      <c r="E1681" s="10">
        <v>6</v>
      </c>
      <c r="F1681" s="9" t="s">
        <v>2819</v>
      </c>
      <c r="G1681" s="11">
        <v>46238</v>
      </c>
      <c r="H1681" s="12">
        <v>42.88</v>
      </c>
      <c r="I1681" s="12">
        <v>38.159999999999997</v>
      </c>
      <c r="J1681" s="9" t="s">
        <v>3</v>
      </c>
      <c r="K1681" s="8">
        <v>0</v>
      </c>
    </row>
    <row r="1682" spans="1:11">
      <c r="A1682" s="2" t="s">
        <v>746</v>
      </c>
      <c r="B1682" s="2" t="s">
        <v>2795</v>
      </c>
      <c r="C1682" s="9">
        <v>10058704</v>
      </c>
      <c r="D1682" s="2" t="s">
        <v>2820</v>
      </c>
      <c r="E1682" s="10">
        <v>6</v>
      </c>
      <c r="F1682" s="9" t="s">
        <v>763</v>
      </c>
      <c r="G1682" s="11">
        <v>46238</v>
      </c>
      <c r="H1682" s="12">
        <v>91.52</v>
      </c>
      <c r="I1682" s="12">
        <v>81.45</v>
      </c>
      <c r="J1682" s="9" t="s">
        <v>3</v>
      </c>
      <c r="K1682" s="8">
        <v>0</v>
      </c>
    </row>
    <row r="1683" spans="1:11">
      <c r="A1683" s="2" t="s">
        <v>746</v>
      </c>
      <c r="B1683" s="2" t="s">
        <v>2795</v>
      </c>
      <c r="C1683" s="9">
        <v>10058705</v>
      </c>
      <c r="D1683" s="2" t="s">
        <v>2821</v>
      </c>
      <c r="E1683" s="10">
        <v>6</v>
      </c>
      <c r="F1683" s="9" t="s">
        <v>811</v>
      </c>
      <c r="G1683" s="11">
        <v>46238</v>
      </c>
      <c r="H1683" s="12">
        <v>65.260000000000005</v>
      </c>
      <c r="I1683" s="12">
        <v>58.08</v>
      </c>
      <c r="J1683" s="9" t="s">
        <v>3</v>
      </c>
      <c r="K1683" s="8">
        <v>0</v>
      </c>
    </row>
    <row r="1684" spans="1:11">
      <c r="A1684" s="2" t="s">
        <v>746</v>
      </c>
      <c r="B1684" s="2" t="s">
        <v>2795</v>
      </c>
      <c r="C1684" s="9">
        <v>10058706</v>
      </c>
      <c r="D1684" s="2" t="s">
        <v>2822</v>
      </c>
      <c r="E1684" s="10">
        <v>6</v>
      </c>
      <c r="F1684" s="9" t="s">
        <v>811</v>
      </c>
      <c r="G1684" s="11">
        <v>46238</v>
      </c>
      <c r="H1684" s="12">
        <v>65.260000000000005</v>
      </c>
      <c r="I1684" s="12">
        <v>58.08</v>
      </c>
      <c r="J1684" s="9" t="s">
        <v>3</v>
      </c>
      <c r="K1684" s="8">
        <v>0</v>
      </c>
    </row>
    <row r="1685" spans="1:11">
      <c r="A1685" s="2" t="s">
        <v>687</v>
      </c>
      <c r="B1685" s="2" t="s">
        <v>2823</v>
      </c>
      <c r="C1685" s="9">
        <v>10058710</v>
      </c>
      <c r="D1685" s="2" t="s">
        <v>2824</v>
      </c>
      <c r="E1685" s="10">
        <v>6</v>
      </c>
      <c r="F1685" s="9" t="s">
        <v>770</v>
      </c>
      <c r="G1685" s="11">
        <v>46238</v>
      </c>
      <c r="H1685" s="12">
        <v>31.9</v>
      </c>
      <c r="I1685" s="12">
        <v>28.42</v>
      </c>
      <c r="J1685" s="9" t="s">
        <v>3</v>
      </c>
      <c r="K1685" s="8">
        <v>0</v>
      </c>
    </row>
    <row r="1686" spans="1:11">
      <c r="A1686" s="2" t="s">
        <v>687</v>
      </c>
      <c r="B1686" s="2" t="s">
        <v>2823</v>
      </c>
      <c r="C1686" s="9">
        <v>10058711</v>
      </c>
      <c r="D1686" s="2" t="s">
        <v>2825</v>
      </c>
      <c r="E1686" s="10">
        <v>6</v>
      </c>
      <c r="F1686" s="9" t="s">
        <v>2826</v>
      </c>
      <c r="G1686" s="11">
        <v>46238</v>
      </c>
      <c r="H1686" s="12">
        <v>31.9</v>
      </c>
      <c r="I1686" s="12">
        <v>28.42</v>
      </c>
      <c r="J1686" s="9" t="s">
        <v>3</v>
      </c>
      <c r="K1686" s="8">
        <v>0</v>
      </c>
    </row>
    <row r="1687" spans="1:11">
      <c r="A1687" s="2" t="s">
        <v>687</v>
      </c>
      <c r="B1687" s="2" t="s">
        <v>2823</v>
      </c>
      <c r="C1687" s="9">
        <v>10058712</v>
      </c>
      <c r="D1687" s="2" t="s">
        <v>2827</v>
      </c>
      <c r="E1687" s="10">
        <v>6</v>
      </c>
      <c r="F1687" s="9" t="s">
        <v>2107</v>
      </c>
      <c r="G1687" s="11">
        <v>46238</v>
      </c>
      <c r="H1687" s="12">
        <v>31.9</v>
      </c>
      <c r="I1687" s="12">
        <v>28.42</v>
      </c>
      <c r="J1687" s="9" t="s">
        <v>3</v>
      </c>
      <c r="K1687" s="8">
        <v>0</v>
      </c>
    </row>
    <row r="1688" spans="1:11">
      <c r="A1688" s="2" t="s">
        <v>687</v>
      </c>
      <c r="B1688" s="2" t="s">
        <v>2823</v>
      </c>
      <c r="C1688" s="9">
        <v>10058714</v>
      </c>
      <c r="D1688" s="2" t="s">
        <v>2828</v>
      </c>
      <c r="E1688" s="10">
        <v>6</v>
      </c>
      <c r="F1688" s="9" t="s">
        <v>641</v>
      </c>
      <c r="G1688" s="11">
        <v>46238</v>
      </c>
      <c r="H1688" s="12">
        <v>31.9</v>
      </c>
      <c r="I1688" s="12">
        <v>28.42</v>
      </c>
      <c r="J1688" s="9" t="s">
        <v>3</v>
      </c>
      <c r="K1688" s="8">
        <v>0</v>
      </c>
    </row>
    <row r="1689" spans="1:11">
      <c r="A1689" s="2" t="s">
        <v>687</v>
      </c>
      <c r="B1689" s="2" t="s">
        <v>2823</v>
      </c>
      <c r="C1689" s="9">
        <v>10058715</v>
      </c>
      <c r="D1689" s="2" t="s">
        <v>2829</v>
      </c>
      <c r="E1689" s="10">
        <v>6</v>
      </c>
      <c r="F1689" s="9" t="s">
        <v>2830</v>
      </c>
      <c r="G1689" s="11">
        <v>46238</v>
      </c>
      <c r="H1689" s="12">
        <v>40.9</v>
      </c>
      <c r="I1689" s="12">
        <v>36.42</v>
      </c>
      <c r="J1689" s="9" t="s">
        <v>3</v>
      </c>
      <c r="K1689" s="8">
        <v>0</v>
      </c>
    </row>
    <row r="1690" spans="1:11">
      <c r="A1690" s="2" t="s">
        <v>687</v>
      </c>
      <c r="B1690" s="2" t="s">
        <v>2823</v>
      </c>
      <c r="C1690" s="9">
        <v>10058719</v>
      </c>
      <c r="D1690" s="2" t="s">
        <v>2831</v>
      </c>
      <c r="E1690" s="10">
        <v>6</v>
      </c>
      <c r="F1690" s="9" t="s">
        <v>2826</v>
      </c>
      <c r="G1690" s="11">
        <v>46238</v>
      </c>
      <c r="H1690" s="12">
        <v>31.9</v>
      </c>
      <c r="I1690" s="12">
        <v>28.42</v>
      </c>
      <c r="J1690" s="9" t="s">
        <v>3</v>
      </c>
      <c r="K1690" s="8">
        <v>0</v>
      </c>
    </row>
    <row r="1691" spans="1:11">
      <c r="A1691" s="2" t="s">
        <v>687</v>
      </c>
      <c r="B1691" s="2" t="s">
        <v>2823</v>
      </c>
      <c r="C1691" s="9">
        <v>10058720</v>
      </c>
      <c r="D1691" s="2" t="s">
        <v>2832</v>
      </c>
      <c r="E1691" s="10">
        <v>6</v>
      </c>
      <c r="F1691" s="9" t="s">
        <v>2833</v>
      </c>
      <c r="G1691" s="11">
        <v>46238</v>
      </c>
      <c r="H1691" s="12">
        <v>31.9</v>
      </c>
      <c r="I1691" s="12">
        <v>28.42</v>
      </c>
      <c r="J1691" s="9" t="s">
        <v>3</v>
      </c>
      <c r="K1691" s="8">
        <v>0</v>
      </c>
    </row>
    <row r="1692" spans="1:11">
      <c r="A1692" s="2" t="s">
        <v>687</v>
      </c>
      <c r="B1692" s="2" t="s">
        <v>2823</v>
      </c>
      <c r="C1692" s="9">
        <v>10058721</v>
      </c>
      <c r="D1692" s="2" t="s">
        <v>2834</v>
      </c>
      <c r="E1692" s="10">
        <v>6</v>
      </c>
      <c r="F1692" s="9" t="s">
        <v>2833</v>
      </c>
      <c r="G1692" s="11">
        <v>46238</v>
      </c>
      <c r="H1692" s="12">
        <v>31.9</v>
      </c>
      <c r="I1692" s="12">
        <v>28.42</v>
      </c>
      <c r="J1692" s="9" t="s">
        <v>3</v>
      </c>
      <c r="K1692" s="8">
        <v>0</v>
      </c>
    </row>
    <row r="1693" spans="1:11">
      <c r="A1693" s="2" t="s">
        <v>687</v>
      </c>
      <c r="B1693" s="2" t="s">
        <v>2823</v>
      </c>
      <c r="C1693" s="9">
        <v>10058724</v>
      </c>
      <c r="D1693" s="2" t="s">
        <v>2835</v>
      </c>
      <c r="E1693" s="10">
        <v>10</v>
      </c>
      <c r="F1693" s="9" t="s">
        <v>2836</v>
      </c>
      <c r="G1693" s="11">
        <v>46238</v>
      </c>
      <c r="H1693" s="12">
        <v>76.599999999999994</v>
      </c>
      <c r="I1693" s="12">
        <v>68.2</v>
      </c>
      <c r="J1693" s="9" t="s">
        <v>3</v>
      </c>
      <c r="K1693" s="8">
        <v>0</v>
      </c>
    </row>
    <row r="1694" spans="1:11">
      <c r="A1694" s="2" t="s">
        <v>687</v>
      </c>
      <c r="B1694" s="2" t="s">
        <v>2823</v>
      </c>
      <c r="C1694" s="9">
        <v>10058727</v>
      </c>
      <c r="D1694" s="2" t="s">
        <v>2837</v>
      </c>
      <c r="E1694" s="10">
        <v>6</v>
      </c>
      <c r="F1694" s="9" t="s">
        <v>770</v>
      </c>
      <c r="G1694" s="11">
        <v>46238</v>
      </c>
      <c r="H1694" s="12">
        <v>40.9</v>
      </c>
      <c r="I1694" s="12">
        <v>36.42</v>
      </c>
      <c r="J1694" s="9" t="s">
        <v>3</v>
      </c>
      <c r="K1694" s="8">
        <v>0</v>
      </c>
    </row>
    <row r="1695" spans="1:11">
      <c r="A1695" s="2" t="s">
        <v>687</v>
      </c>
      <c r="B1695" s="2" t="s">
        <v>2823</v>
      </c>
      <c r="C1695" s="9">
        <v>10058734</v>
      </c>
      <c r="D1695" s="2" t="s">
        <v>2838</v>
      </c>
      <c r="E1695" s="10">
        <v>6</v>
      </c>
      <c r="F1695" s="9" t="s">
        <v>2839</v>
      </c>
      <c r="G1695" s="11">
        <v>46238</v>
      </c>
      <c r="H1695" s="12">
        <v>40.9</v>
      </c>
      <c r="I1695" s="12">
        <v>36.42</v>
      </c>
      <c r="J1695" s="9" t="s">
        <v>3</v>
      </c>
      <c r="K1695" s="8">
        <v>0</v>
      </c>
    </row>
    <row r="1696" spans="1:11">
      <c r="A1696" s="2" t="s">
        <v>687</v>
      </c>
      <c r="B1696" s="2" t="s">
        <v>2823</v>
      </c>
      <c r="C1696" s="9">
        <v>10058735</v>
      </c>
      <c r="D1696" s="2" t="s">
        <v>2840</v>
      </c>
      <c r="E1696" s="10">
        <v>6</v>
      </c>
      <c r="F1696" s="9" t="s">
        <v>1367</v>
      </c>
      <c r="G1696" s="11">
        <v>46238</v>
      </c>
      <c r="H1696" s="12">
        <v>40.9</v>
      </c>
      <c r="I1696" s="12">
        <v>36.42</v>
      </c>
      <c r="J1696" s="9" t="s">
        <v>3</v>
      </c>
      <c r="K1696" s="8">
        <v>0</v>
      </c>
    </row>
    <row r="1697" spans="1:11">
      <c r="A1697" s="2" t="s">
        <v>687</v>
      </c>
      <c r="B1697" s="2" t="s">
        <v>691</v>
      </c>
      <c r="C1697" s="9">
        <v>10058812</v>
      </c>
      <c r="D1697" s="2" t="s">
        <v>2841</v>
      </c>
      <c r="E1697" s="10">
        <v>6</v>
      </c>
      <c r="F1697" s="9" t="s">
        <v>2842</v>
      </c>
      <c r="G1697" s="11">
        <v>46238</v>
      </c>
      <c r="H1697" s="12">
        <v>36.56</v>
      </c>
      <c r="I1697" s="12">
        <v>32.54</v>
      </c>
      <c r="J1697" s="9" t="s">
        <v>3</v>
      </c>
      <c r="K1697" s="8">
        <v>0</v>
      </c>
    </row>
    <row r="1698" spans="1:11">
      <c r="A1698" s="2" t="s">
        <v>687</v>
      </c>
      <c r="B1698" s="2" t="s">
        <v>691</v>
      </c>
      <c r="C1698" s="9">
        <v>10058813</v>
      </c>
      <c r="D1698" s="2" t="s">
        <v>2843</v>
      </c>
      <c r="E1698" s="10">
        <v>6</v>
      </c>
      <c r="F1698" s="9" t="s">
        <v>811</v>
      </c>
      <c r="G1698" s="11">
        <v>46238</v>
      </c>
      <c r="H1698" s="12">
        <v>28.2</v>
      </c>
      <c r="I1698" s="12">
        <v>25.1</v>
      </c>
      <c r="J1698" s="9" t="s">
        <v>3</v>
      </c>
      <c r="K1698" s="8">
        <v>0</v>
      </c>
    </row>
    <row r="1699" spans="1:11">
      <c r="A1699" s="2" t="s">
        <v>687</v>
      </c>
      <c r="B1699" s="2" t="s">
        <v>691</v>
      </c>
      <c r="C1699" s="9">
        <v>10058814</v>
      </c>
      <c r="D1699" s="2" t="s">
        <v>2844</v>
      </c>
      <c r="E1699" s="10">
        <v>6</v>
      </c>
      <c r="F1699" s="9" t="s">
        <v>811</v>
      </c>
      <c r="G1699" s="11">
        <v>46238</v>
      </c>
      <c r="H1699" s="12">
        <v>28.2</v>
      </c>
      <c r="I1699" s="12">
        <v>25.1</v>
      </c>
      <c r="J1699" s="9" t="s">
        <v>3</v>
      </c>
      <c r="K1699" s="8">
        <v>0</v>
      </c>
    </row>
    <row r="1700" spans="1:11">
      <c r="A1700" s="2" t="s">
        <v>687</v>
      </c>
      <c r="B1700" s="2" t="s">
        <v>691</v>
      </c>
      <c r="C1700" s="9">
        <v>10058815</v>
      </c>
      <c r="D1700" s="2" t="s">
        <v>2845</v>
      </c>
      <c r="E1700" s="10">
        <v>6</v>
      </c>
      <c r="F1700" s="9" t="s">
        <v>811</v>
      </c>
      <c r="G1700" s="11">
        <v>46238</v>
      </c>
      <c r="H1700" s="12">
        <v>28.2</v>
      </c>
      <c r="I1700" s="12">
        <v>25.1</v>
      </c>
      <c r="J1700" s="9" t="s">
        <v>3</v>
      </c>
      <c r="K1700" s="8">
        <v>0</v>
      </c>
    </row>
    <row r="1701" spans="1:11">
      <c r="A1701" s="2" t="s">
        <v>687</v>
      </c>
      <c r="B1701" s="2" t="s">
        <v>691</v>
      </c>
      <c r="C1701" s="9">
        <v>10058820</v>
      </c>
      <c r="D1701" s="2" t="s">
        <v>2846</v>
      </c>
      <c r="E1701" s="10">
        <v>6</v>
      </c>
      <c r="F1701" s="9" t="s">
        <v>781</v>
      </c>
      <c r="G1701" s="11">
        <v>46238</v>
      </c>
      <c r="H1701" s="12">
        <v>63.52</v>
      </c>
      <c r="I1701" s="12">
        <v>56.53</v>
      </c>
      <c r="J1701" s="9" t="s">
        <v>3</v>
      </c>
      <c r="K1701" s="8">
        <v>0</v>
      </c>
    </row>
    <row r="1702" spans="1:11">
      <c r="A1702" s="2" t="s">
        <v>687</v>
      </c>
      <c r="B1702" s="2" t="s">
        <v>691</v>
      </c>
      <c r="C1702" s="9">
        <v>10058821</v>
      </c>
      <c r="D1702" s="2" t="s">
        <v>2847</v>
      </c>
      <c r="E1702" s="10">
        <v>6</v>
      </c>
      <c r="F1702" s="9" t="s">
        <v>693</v>
      </c>
      <c r="G1702" s="11">
        <v>46238</v>
      </c>
      <c r="H1702" s="12">
        <v>32.6</v>
      </c>
      <c r="I1702" s="12">
        <v>29.01</v>
      </c>
      <c r="J1702" s="9" t="s">
        <v>3</v>
      </c>
      <c r="K1702" s="8">
        <v>0</v>
      </c>
    </row>
    <row r="1703" spans="1:11">
      <c r="A1703" s="2" t="s">
        <v>687</v>
      </c>
      <c r="B1703" s="2" t="s">
        <v>691</v>
      </c>
      <c r="C1703" s="9">
        <v>10058822</v>
      </c>
      <c r="D1703" s="2" t="s">
        <v>2848</v>
      </c>
      <c r="E1703" s="10">
        <v>6</v>
      </c>
      <c r="F1703" s="9" t="s">
        <v>693</v>
      </c>
      <c r="G1703" s="11">
        <v>46238</v>
      </c>
      <c r="H1703" s="12">
        <v>32.6</v>
      </c>
      <c r="I1703" s="12">
        <v>29.01</v>
      </c>
      <c r="J1703" s="9" t="s">
        <v>3</v>
      </c>
      <c r="K1703" s="8">
        <v>0</v>
      </c>
    </row>
    <row r="1704" spans="1:11">
      <c r="A1704" s="2" t="s">
        <v>746</v>
      </c>
      <c r="B1704" s="2" t="s">
        <v>2795</v>
      </c>
      <c r="C1704" s="9">
        <v>10059010</v>
      </c>
      <c r="D1704" s="2" t="s">
        <v>2849</v>
      </c>
      <c r="E1704" s="10">
        <v>6</v>
      </c>
      <c r="F1704" s="9" t="s">
        <v>811</v>
      </c>
      <c r="G1704" s="11">
        <v>46238</v>
      </c>
      <c r="H1704" s="12">
        <v>65.260000000000005</v>
      </c>
      <c r="I1704" s="12">
        <v>58.08</v>
      </c>
      <c r="J1704" s="9" t="s">
        <v>3</v>
      </c>
      <c r="K1704" s="8">
        <v>0</v>
      </c>
    </row>
    <row r="1705" spans="1:11">
      <c r="A1705" s="2" t="s">
        <v>746</v>
      </c>
      <c r="B1705" s="2" t="s">
        <v>2795</v>
      </c>
      <c r="C1705" s="9">
        <v>10059011</v>
      </c>
      <c r="D1705" s="2" t="s">
        <v>2850</v>
      </c>
      <c r="E1705" s="10">
        <v>6</v>
      </c>
      <c r="F1705" s="9" t="s">
        <v>811</v>
      </c>
      <c r="G1705" s="11">
        <v>46238</v>
      </c>
      <c r="H1705" s="12">
        <v>65.260000000000005</v>
      </c>
      <c r="I1705" s="12">
        <v>58.08</v>
      </c>
      <c r="J1705" s="9" t="s">
        <v>3</v>
      </c>
      <c r="K1705" s="8">
        <v>0</v>
      </c>
    </row>
    <row r="1706" spans="1:11">
      <c r="A1706" s="2" t="s">
        <v>663</v>
      </c>
      <c r="B1706" s="2" t="s">
        <v>2362</v>
      </c>
      <c r="C1706" s="9">
        <v>10059016</v>
      </c>
      <c r="D1706" s="2" t="s">
        <v>2851</v>
      </c>
      <c r="E1706" s="10">
        <v>6</v>
      </c>
      <c r="F1706" s="9" t="s">
        <v>2364</v>
      </c>
      <c r="G1706" s="11">
        <v>46238</v>
      </c>
      <c r="H1706" s="12">
        <v>30.89</v>
      </c>
      <c r="I1706" s="12">
        <v>27.49</v>
      </c>
      <c r="J1706" s="9" t="s">
        <v>3</v>
      </c>
      <c r="K1706" s="8">
        <v>0</v>
      </c>
    </row>
    <row r="1707" spans="1:11">
      <c r="A1707" s="2" t="s">
        <v>746</v>
      </c>
      <c r="B1707" s="2" t="s">
        <v>2795</v>
      </c>
      <c r="C1707" s="9">
        <v>10059019</v>
      </c>
      <c r="D1707" s="2" t="s">
        <v>2852</v>
      </c>
      <c r="E1707" s="10">
        <v>6</v>
      </c>
      <c r="F1707" s="9" t="s">
        <v>811</v>
      </c>
      <c r="G1707" s="11">
        <v>46238</v>
      </c>
      <c r="H1707" s="12">
        <v>65.260000000000005</v>
      </c>
      <c r="I1707" s="12">
        <v>58.08</v>
      </c>
      <c r="J1707" s="9" t="s">
        <v>3</v>
      </c>
      <c r="K1707" s="8">
        <v>0</v>
      </c>
    </row>
    <row r="1708" spans="1:11">
      <c r="A1708" s="2" t="s">
        <v>746</v>
      </c>
      <c r="B1708" s="2" t="s">
        <v>2795</v>
      </c>
      <c r="C1708" s="9">
        <v>10059026</v>
      </c>
      <c r="D1708" s="2" t="s">
        <v>2853</v>
      </c>
      <c r="E1708" s="10">
        <v>6</v>
      </c>
      <c r="F1708" s="9" t="s">
        <v>811</v>
      </c>
      <c r="G1708" s="11">
        <v>46238</v>
      </c>
      <c r="H1708" s="12">
        <v>65.260000000000005</v>
      </c>
      <c r="I1708" s="12">
        <v>58.08</v>
      </c>
      <c r="J1708" s="9" t="s">
        <v>3</v>
      </c>
      <c r="K1708" s="8">
        <v>0</v>
      </c>
    </row>
    <row r="1709" spans="1:11">
      <c r="A1709" s="2" t="s">
        <v>746</v>
      </c>
      <c r="B1709" s="2" t="s">
        <v>2795</v>
      </c>
      <c r="C1709" s="9">
        <v>10059027</v>
      </c>
      <c r="D1709" s="2" t="s">
        <v>2854</v>
      </c>
      <c r="E1709" s="10">
        <v>6</v>
      </c>
      <c r="F1709" s="9" t="s">
        <v>763</v>
      </c>
      <c r="G1709" s="11">
        <v>46238</v>
      </c>
      <c r="H1709" s="12">
        <v>91.52</v>
      </c>
      <c r="I1709" s="12">
        <v>81.45</v>
      </c>
      <c r="J1709" s="9" t="s">
        <v>3</v>
      </c>
      <c r="K1709" s="8">
        <v>0</v>
      </c>
    </row>
    <row r="1710" spans="1:11">
      <c r="A1710" s="2" t="s">
        <v>687</v>
      </c>
      <c r="B1710" s="2" t="s">
        <v>2743</v>
      </c>
      <c r="C1710" s="9">
        <v>10059028</v>
      </c>
      <c r="D1710" s="2" t="s">
        <v>2855</v>
      </c>
      <c r="E1710" s="10">
        <v>6</v>
      </c>
      <c r="F1710" s="9" t="s">
        <v>666</v>
      </c>
      <c r="G1710" s="11">
        <v>46238</v>
      </c>
      <c r="H1710" s="12">
        <v>54.2</v>
      </c>
      <c r="I1710" s="12">
        <v>48.24</v>
      </c>
      <c r="J1710" s="9" t="s">
        <v>3</v>
      </c>
      <c r="K1710" s="8">
        <v>0</v>
      </c>
    </row>
    <row r="1711" spans="1:11">
      <c r="A1711" s="2" t="s">
        <v>687</v>
      </c>
      <c r="B1711" s="2" t="s">
        <v>2743</v>
      </c>
      <c r="C1711" s="9">
        <v>10059029</v>
      </c>
      <c r="D1711" s="2" t="s">
        <v>2856</v>
      </c>
      <c r="E1711" s="10">
        <v>6</v>
      </c>
      <c r="F1711" s="9" t="s">
        <v>666</v>
      </c>
      <c r="G1711" s="11">
        <v>46238</v>
      </c>
      <c r="H1711" s="12">
        <v>65.11</v>
      </c>
      <c r="I1711" s="12">
        <v>57.95</v>
      </c>
      <c r="J1711" s="9" t="s">
        <v>3</v>
      </c>
      <c r="K1711" s="8">
        <v>0</v>
      </c>
    </row>
    <row r="1712" spans="1:11">
      <c r="A1712" s="2" t="s">
        <v>663</v>
      </c>
      <c r="B1712" s="2" t="s">
        <v>2362</v>
      </c>
      <c r="C1712" s="9">
        <v>10059030</v>
      </c>
      <c r="D1712" s="2" t="s">
        <v>2857</v>
      </c>
      <c r="E1712" s="10">
        <v>6</v>
      </c>
      <c r="F1712" s="9" t="s">
        <v>2858</v>
      </c>
      <c r="G1712" s="11">
        <v>46238</v>
      </c>
      <c r="H1712" s="12">
        <v>54.33</v>
      </c>
      <c r="I1712" s="12">
        <v>48.35</v>
      </c>
      <c r="J1712" s="9" t="s">
        <v>3</v>
      </c>
      <c r="K1712" s="8">
        <v>0</v>
      </c>
    </row>
    <row r="1713" spans="1:11">
      <c r="A1713" s="2" t="s">
        <v>2740</v>
      </c>
      <c r="B1713" s="2" t="s">
        <v>2741</v>
      </c>
      <c r="C1713" s="9">
        <v>10059149</v>
      </c>
      <c r="D1713" s="2" t="s">
        <v>2859</v>
      </c>
      <c r="E1713" s="10">
        <v>6</v>
      </c>
      <c r="F1713" s="9" t="s">
        <v>804</v>
      </c>
      <c r="G1713" s="11">
        <v>46238</v>
      </c>
      <c r="H1713" s="12">
        <v>39.42</v>
      </c>
      <c r="I1713" s="12">
        <v>35.1</v>
      </c>
      <c r="J1713" s="9" t="s">
        <v>3</v>
      </c>
      <c r="K1713" s="8">
        <v>0</v>
      </c>
    </row>
    <row r="1714" spans="1:11">
      <c r="A1714" s="2" t="s">
        <v>2740</v>
      </c>
      <c r="B1714" s="2" t="s">
        <v>2741</v>
      </c>
      <c r="C1714" s="9">
        <v>10059151</v>
      </c>
      <c r="D1714" s="2" t="s">
        <v>2860</v>
      </c>
      <c r="E1714" s="10">
        <v>6</v>
      </c>
      <c r="F1714" s="9" t="s">
        <v>2861</v>
      </c>
      <c r="G1714" s="11">
        <v>46238</v>
      </c>
      <c r="H1714" s="12">
        <v>65.489999999999995</v>
      </c>
      <c r="I1714" s="12">
        <v>58.29</v>
      </c>
      <c r="J1714" s="9" t="s">
        <v>3</v>
      </c>
      <c r="K1714" s="8">
        <v>0</v>
      </c>
    </row>
    <row r="1715" spans="1:11">
      <c r="A1715" s="2" t="s">
        <v>2740</v>
      </c>
      <c r="B1715" s="2" t="s">
        <v>2741</v>
      </c>
      <c r="C1715" s="9">
        <v>10059152</v>
      </c>
      <c r="D1715" s="2" t="s">
        <v>2862</v>
      </c>
      <c r="E1715" s="10">
        <v>6</v>
      </c>
      <c r="F1715" s="9" t="s">
        <v>2863</v>
      </c>
      <c r="G1715" s="11">
        <v>46238</v>
      </c>
      <c r="H1715" s="12">
        <v>27.44</v>
      </c>
      <c r="I1715" s="12">
        <v>24.43</v>
      </c>
      <c r="J1715" s="9" t="s">
        <v>3</v>
      </c>
      <c r="K1715" s="8">
        <v>0</v>
      </c>
    </row>
    <row r="1716" spans="1:11">
      <c r="A1716" s="2" t="s">
        <v>2740</v>
      </c>
      <c r="B1716" s="2" t="s">
        <v>2741</v>
      </c>
      <c r="C1716" s="9">
        <v>10059153</v>
      </c>
      <c r="D1716" s="2" t="s">
        <v>2864</v>
      </c>
      <c r="E1716" s="10">
        <v>12</v>
      </c>
      <c r="F1716" s="9" t="s">
        <v>2865</v>
      </c>
      <c r="G1716" s="11">
        <v>46238</v>
      </c>
      <c r="H1716" s="12">
        <v>15.07</v>
      </c>
      <c r="I1716" s="12">
        <v>13.36</v>
      </c>
      <c r="J1716" s="9" t="s">
        <v>3</v>
      </c>
      <c r="K1716" s="8">
        <v>0</v>
      </c>
    </row>
    <row r="1717" spans="1:11">
      <c r="A1717" s="2" t="s">
        <v>2740</v>
      </c>
      <c r="B1717" s="2" t="s">
        <v>2741</v>
      </c>
      <c r="C1717" s="9">
        <v>10059154</v>
      </c>
      <c r="D1717" s="2" t="s">
        <v>2866</v>
      </c>
      <c r="E1717" s="10">
        <v>12</v>
      </c>
      <c r="F1717" s="9" t="s">
        <v>2865</v>
      </c>
      <c r="G1717" s="11">
        <v>46238</v>
      </c>
      <c r="H1717" s="12">
        <v>15.07</v>
      </c>
      <c r="I1717" s="12">
        <v>13.36</v>
      </c>
      <c r="J1717" s="9" t="s">
        <v>3</v>
      </c>
      <c r="K1717" s="8">
        <v>0</v>
      </c>
    </row>
    <row r="1718" spans="1:11">
      <c r="A1718" s="2" t="s">
        <v>2740</v>
      </c>
      <c r="B1718" s="2" t="s">
        <v>2741</v>
      </c>
      <c r="C1718" s="9">
        <v>10059155</v>
      </c>
      <c r="D1718" s="2" t="s">
        <v>2867</v>
      </c>
      <c r="E1718" s="10">
        <v>12</v>
      </c>
      <c r="F1718" s="9" t="s">
        <v>2865</v>
      </c>
      <c r="G1718" s="11">
        <v>46238</v>
      </c>
      <c r="H1718" s="12">
        <v>15.07</v>
      </c>
      <c r="I1718" s="12">
        <v>13.36</v>
      </c>
      <c r="J1718" s="9" t="s">
        <v>3</v>
      </c>
      <c r="K1718" s="8">
        <v>0</v>
      </c>
    </row>
    <row r="1719" spans="1:11">
      <c r="A1719" s="2" t="s">
        <v>2740</v>
      </c>
      <c r="B1719" s="2" t="s">
        <v>2741</v>
      </c>
      <c r="C1719" s="9">
        <v>10059156</v>
      </c>
      <c r="D1719" s="2" t="s">
        <v>2868</v>
      </c>
      <c r="E1719" s="10">
        <v>12</v>
      </c>
      <c r="F1719" s="9" t="s">
        <v>2869</v>
      </c>
      <c r="G1719" s="11">
        <v>46238</v>
      </c>
      <c r="H1719" s="12">
        <v>15.07</v>
      </c>
      <c r="I1719" s="12">
        <v>13.36</v>
      </c>
      <c r="J1719" s="9" t="s">
        <v>3</v>
      </c>
      <c r="K1719" s="8">
        <v>0</v>
      </c>
    </row>
    <row r="1720" spans="1:11">
      <c r="A1720" s="2" t="s">
        <v>2740</v>
      </c>
      <c r="B1720" s="2" t="s">
        <v>2741</v>
      </c>
      <c r="C1720" s="9">
        <v>10059157</v>
      </c>
      <c r="D1720" s="2" t="s">
        <v>2870</v>
      </c>
      <c r="E1720" s="10">
        <v>6</v>
      </c>
      <c r="F1720" s="9" t="s">
        <v>2871</v>
      </c>
      <c r="G1720" s="11">
        <v>46238</v>
      </c>
      <c r="H1720" s="12">
        <v>39.76</v>
      </c>
      <c r="I1720" s="12">
        <v>35.369999999999997</v>
      </c>
      <c r="J1720" s="9" t="s">
        <v>3</v>
      </c>
      <c r="K1720" s="8">
        <v>0</v>
      </c>
    </row>
    <row r="1721" spans="1:11">
      <c r="A1721" s="2" t="s">
        <v>2740</v>
      </c>
      <c r="B1721" s="2" t="s">
        <v>2741</v>
      </c>
      <c r="C1721" s="9">
        <v>10059158</v>
      </c>
      <c r="D1721" s="2" t="s">
        <v>2872</v>
      </c>
      <c r="E1721" s="10">
        <v>1</v>
      </c>
      <c r="F1721" s="9" t="s">
        <v>804</v>
      </c>
      <c r="G1721" s="11">
        <v>46238</v>
      </c>
      <c r="H1721" s="12">
        <v>151.41999999999999</v>
      </c>
      <c r="I1721" s="12">
        <v>134.77000000000001</v>
      </c>
      <c r="J1721" s="9" t="s">
        <v>3</v>
      </c>
      <c r="K1721" s="8">
        <v>0</v>
      </c>
    </row>
    <row r="1722" spans="1:11">
      <c r="A1722" s="2" t="s">
        <v>2740</v>
      </c>
      <c r="B1722" s="2" t="s">
        <v>2741</v>
      </c>
      <c r="C1722" s="9">
        <v>10059163</v>
      </c>
      <c r="D1722" s="2" t="s">
        <v>2873</v>
      </c>
      <c r="E1722" s="10">
        <v>1</v>
      </c>
      <c r="F1722" s="9" t="s">
        <v>804</v>
      </c>
      <c r="G1722" s="11">
        <v>46238</v>
      </c>
      <c r="H1722" s="12">
        <v>151.41999999999999</v>
      </c>
      <c r="I1722" s="12">
        <v>134.77000000000001</v>
      </c>
      <c r="J1722" s="9" t="s">
        <v>3</v>
      </c>
      <c r="K1722" s="8">
        <v>0</v>
      </c>
    </row>
    <row r="1723" spans="1:11">
      <c r="A1723" s="2" t="s">
        <v>2740</v>
      </c>
      <c r="B1723" s="2" t="s">
        <v>2761</v>
      </c>
      <c r="C1723" s="9">
        <v>10059164</v>
      </c>
      <c r="D1723" s="2" t="s">
        <v>2874</v>
      </c>
      <c r="E1723" s="10">
        <v>4</v>
      </c>
      <c r="F1723" s="9" t="s">
        <v>2875</v>
      </c>
      <c r="G1723" s="11">
        <v>46238</v>
      </c>
      <c r="H1723" s="12">
        <v>81.150000000000006</v>
      </c>
      <c r="I1723" s="12">
        <v>72.209999999999994</v>
      </c>
      <c r="J1723" s="9" t="s">
        <v>3</v>
      </c>
      <c r="K1723" s="8">
        <v>0</v>
      </c>
    </row>
    <row r="1724" spans="1:11">
      <c r="A1724" s="2" t="s">
        <v>2740</v>
      </c>
      <c r="B1724" s="2" t="s">
        <v>2761</v>
      </c>
      <c r="C1724" s="9">
        <v>10059165</v>
      </c>
      <c r="D1724" s="2" t="s">
        <v>2876</v>
      </c>
      <c r="E1724" s="10">
        <v>6</v>
      </c>
      <c r="F1724" s="9" t="s">
        <v>1173</v>
      </c>
      <c r="G1724" s="11">
        <v>46238</v>
      </c>
      <c r="H1724" s="12">
        <v>120.63</v>
      </c>
      <c r="I1724" s="12">
        <v>107.4</v>
      </c>
      <c r="J1724" s="9" t="s">
        <v>3</v>
      </c>
      <c r="K1724" s="8">
        <v>0</v>
      </c>
    </row>
    <row r="1725" spans="1:11">
      <c r="A1725" s="2" t="s">
        <v>2740</v>
      </c>
      <c r="B1725" s="2" t="s">
        <v>2761</v>
      </c>
      <c r="C1725" s="9">
        <v>10059166</v>
      </c>
      <c r="D1725" s="2" t="s">
        <v>2877</v>
      </c>
      <c r="E1725" s="10">
        <v>1</v>
      </c>
      <c r="F1725" s="9" t="s">
        <v>2878</v>
      </c>
      <c r="G1725" s="11">
        <v>46238</v>
      </c>
      <c r="H1725" s="12">
        <v>42.88</v>
      </c>
      <c r="I1725" s="12">
        <v>38.159999999999997</v>
      </c>
      <c r="J1725" s="9" t="s">
        <v>3</v>
      </c>
      <c r="K1725" s="8">
        <v>0</v>
      </c>
    </row>
    <row r="1726" spans="1:11">
      <c r="A1726" s="2" t="s">
        <v>2740</v>
      </c>
      <c r="B1726" s="2" t="s">
        <v>2761</v>
      </c>
      <c r="C1726" s="9">
        <v>10059167</v>
      </c>
      <c r="D1726" s="2" t="s">
        <v>2879</v>
      </c>
      <c r="E1726" s="10">
        <v>6</v>
      </c>
      <c r="F1726" s="9" t="s">
        <v>1352</v>
      </c>
      <c r="G1726" s="11">
        <v>46238</v>
      </c>
      <c r="H1726" s="12">
        <v>90.51</v>
      </c>
      <c r="I1726" s="12">
        <v>80.55</v>
      </c>
      <c r="J1726" s="9" t="s">
        <v>3</v>
      </c>
      <c r="K1726" s="8">
        <v>0</v>
      </c>
    </row>
    <row r="1727" spans="1:11">
      <c r="A1727" s="2" t="s">
        <v>2740</v>
      </c>
      <c r="B1727" s="2" t="s">
        <v>2761</v>
      </c>
      <c r="C1727" s="9">
        <v>10059168</v>
      </c>
      <c r="D1727" s="2" t="s">
        <v>2880</v>
      </c>
      <c r="E1727" s="10">
        <v>4</v>
      </c>
      <c r="F1727" s="9" t="s">
        <v>2881</v>
      </c>
      <c r="G1727" s="11">
        <v>46238</v>
      </c>
      <c r="H1727" s="12">
        <v>91.6</v>
      </c>
      <c r="I1727" s="12">
        <v>81.55</v>
      </c>
      <c r="J1727" s="9" t="s">
        <v>3</v>
      </c>
      <c r="K1727" s="8">
        <v>0</v>
      </c>
    </row>
    <row r="1728" spans="1:11">
      <c r="A1728" s="2" t="s">
        <v>2740</v>
      </c>
      <c r="B1728" s="2" t="s">
        <v>2761</v>
      </c>
      <c r="C1728" s="9">
        <v>10059169</v>
      </c>
      <c r="D1728" s="2" t="s">
        <v>2882</v>
      </c>
      <c r="E1728" s="10">
        <v>6</v>
      </c>
      <c r="F1728" s="9" t="s">
        <v>2883</v>
      </c>
      <c r="G1728" s="11">
        <v>46238</v>
      </c>
      <c r="H1728" s="12">
        <v>98.3</v>
      </c>
      <c r="I1728" s="12">
        <v>87.49</v>
      </c>
      <c r="J1728" s="9" t="s">
        <v>3</v>
      </c>
      <c r="K1728" s="8">
        <v>0</v>
      </c>
    </row>
    <row r="1729" spans="1:11">
      <c r="A1729" s="2" t="s">
        <v>2740</v>
      </c>
      <c r="B1729" s="2" t="s">
        <v>2761</v>
      </c>
      <c r="C1729" s="9">
        <v>10059170</v>
      </c>
      <c r="D1729" s="2" t="s">
        <v>2884</v>
      </c>
      <c r="E1729" s="10">
        <v>4</v>
      </c>
      <c r="F1729" s="9" t="s">
        <v>2885</v>
      </c>
      <c r="G1729" s="11">
        <v>46238</v>
      </c>
      <c r="H1729" s="12">
        <v>91.07</v>
      </c>
      <c r="I1729" s="12">
        <v>81.03</v>
      </c>
      <c r="J1729" s="9" t="s">
        <v>3</v>
      </c>
      <c r="K1729" s="8">
        <v>0</v>
      </c>
    </row>
    <row r="1730" spans="1:11">
      <c r="A1730" s="2" t="s">
        <v>2740</v>
      </c>
      <c r="B1730" s="2" t="s">
        <v>2761</v>
      </c>
      <c r="C1730" s="9">
        <v>10059171</v>
      </c>
      <c r="D1730" s="2" t="s">
        <v>2886</v>
      </c>
      <c r="E1730" s="10">
        <v>4</v>
      </c>
      <c r="F1730" s="9" t="s">
        <v>1352</v>
      </c>
      <c r="G1730" s="11">
        <v>46238</v>
      </c>
      <c r="H1730" s="12">
        <v>62.91</v>
      </c>
      <c r="I1730" s="12">
        <v>56.02</v>
      </c>
      <c r="J1730" s="9" t="s">
        <v>3</v>
      </c>
      <c r="K1730" s="8">
        <v>0</v>
      </c>
    </row>
    <row r="1731" spans="1:11">
      <c r="A1731" s="2" t="s">
        <v>2740</v>
      </c>
      <c r="B1731" s="2" t="s">
        <v>2761</v>
      </c>
      <c r="C1731" s="9">
        <v>10059172</v>
      </c>
      <c r="D1731" s="2" t="s">
        <v>2887</v>
      </c>
      <c r="E1731" s="10">
        <v>1</v>
      </c>
      <c r="F1731" s="9" t="s">
        <v>2878</v>
      </c>
      <c r="G1731" s="11">
        <v>46238</v>
      </c>
      <c r="H1731" s="12">
        <v>39.49</v>
      </c>
      <c r="I1731" s="12">
        <v>35.14</v>
      </c>
      <c r="J1731" s="9" t="s">
        <v>3</v>
      </c>
      <c r="K1731" s="8">
        <v>0</v>
      </c>
    </row>
    <row r="1732" spans="1:11">
      <c r="A1732" s="2" t="s">
        <v>2740</v>
      </c>
      <c r="B1732" s="2" t="s">
        <v>2761</v>
      </c>
      <c r="C1732" s="9">
        <v>10059173</v>
      </c>
      <c r="D1732" s="2" t="s">
        <v>2888</v>
      </c>
      <c r="E1732" s="10">
        <v>6</v>
      </c>
      <c r="F1732" s="9" t="s">
        <v>1173</v>
      </c>
      <c r="G1732" s="11">
        <v>46238</v>
      </c>
      <c r="H1732" s="12">
        <v>79.37</v>
      </c>
      <c r="I1732" s="12">
        <v>70.66</v>
      </c>
      <c r="J1732" s="9" t="s">
        <v>3</v>
      </c>
      <c r="K1732" s="8">
        <v>0</v>
      </c>
    </row>
    <row r="1733" spans="1:11">
      <c r="A1733" s="2" t="s">
        <v>2740</v>
      </c>
      <c r="B1733" s="2" t="s">
        <v>2761</v>
      </c>
      <c r="C1733" s="9">
        <v>10059175</v>
      </c>
      <c r="D1733" s="2" t="s">
        <v>2889</v>
      </c>
      <c r="E1733" s="10">
        <v>6</v>
      </c>
      <c r="F1733" s="9" t="s">
        <v>1079</v>
      </c>
      <c r="G1733" s="11">
        <v>46238</v>
      </c>
      <c r="H1733" s="12">
        <v>98.63</v>
      </c>
      <c r="I1733" s="12">
        <v>87.82</v>
      </c>
      <c r="J1733" s="9" t="s">
        <v>3</v>
      </c>
      <c r="K1733" s="8">
        <v>0</v>
      </c>
    </row>
    <row r="1734" spans="1:11">
      <c r="A1734" s="2" t="s">
        <v>2740</v>
      </c>
      <c r="B1734" s="2" t="s">
        <v>2761</v>
      </c>
      <c r="C1734" s="9">
        <v>10059179</v>
      </c>
      <c r="D1734" s="2" t="s">
        <v>2890</v>
      </c>
      <c r="E1734" s="10">
        <v>6</v>
      </c>
      <c r="F1734" s="9" t="s">
        <v>1352</v>
      </c>
      <c r="G1734" s="11">
        <v>46238</v>
      </c>
      <c r="H1734" s="12">
        <v>59.46</v>
      </c>
      <c r="I1734" s="12">
        <v>52.92</v>
      </c>
      <c r="J1734" s="9" t="s">
        <v>3</v>
      </c>
      <c r="K1734" s="8">
        <v>0</v>
      </c>
    </row>
    <row r="1735" spans="1:11">
      <c r="A1735" s="2" t="s">
        <v>2740</v>
      </c>
      <c r="B1735" s="2" t="s">
        <v>2761</v>
      </c>
      <c r="C1735" s="9">
        <v>10059181</v>
      </c>
      <c r="D1735" s="2" t="s">
        <v>2891</v>
      </c>
      <c r="E1735" s="10">
        <v>500</v>
      </c>
      <c r="F1735" s="9" t="s">
        <v>2892</v>
      </c>
      <c r="G1735" s="11">
        <v>46238</v>
      </c>
      <c r="H1735" s="12">
        <v>21.83</v>
      </c>
      <c r="I1735" s="12">
        <v>21.83</v>
      </c>
      <c r="J1735" s="9" t="s">
        <v>3</v>
      </c>
      <c r="K1735" s="8">
        <v>0</v>
      </c>
    </row>
    <row r="1736" spans="1:11">
      <c r="A1736" s="2" t="s">
        <v>2740</v>
      </c>
      <c r="B1736" s="2" t="s">
        <v>2761</v>
      </c>
      <c r="C1736" s="9">
        <v>10059182</v>
      </c>
      <c r="D1736" s="2" t="s">
        <v>2893</v>
      </c>
      <c r="E1736" s="10">
        <v>5</v>
      </c>
      <c r="F1736" s="9" t="s">
        <v>2894</v>
      </c>
      <c r="G1736" s="11">
        <v>46238</v>
      </c>
      <c r="H1736" s="12">
        <v>110.24</v>
      </c>
      <c r="I1736" s="12">
        <v>98.12</v>
      </c>
      <c r="J1736" s="9" t="s">
        <v>3</v>
      </c>
      <c r="K1736" s="8">
        <v>0</v>
      </c>
    </row>
    <row r="1737" spans="1:11">
      <c r="A1737" s="2" t="s">
        <v>2740</v>
      </c>
      <c r="B1737" s="2" t="s">
        <v>2761</v>
      </c>
      <c r="C1737" s="9">
        <v>10059183</v>
      </c>
      <c r="D1737" s="2" t="s">
        <v>2895</v>
      </c>
      <c r="E1737" s="10">
        <v>6</v>
      </c>
      <c r="F1737" s="9" t="s">
        <v>1173</v>
      </c>
      <c r="G1737" s="11">
        <v>46238</v>
      </c>
      <c r="H1737" s="12">
        <v>76.95</v>
      </c>
      <c r="I1737" s="12">
        <v>68.510000000000005</v>
      </c>
      <c r="J1737" s="9" t="s">
        <v>3</v>
      </c>
      <c r="K1737" s="8">
        <v>0</v>
      </c>
    </row>
    <row r="1738" spans="1:11">
      <c r="A1738" s="2" t="s">
        <v>2740</v>
      </c>
      <c r="B1738" s="2" t="s">
        <v>2761</v>
      </c>
      <c r="C1738" s="9">
        <v>10059184</v>
      </c>
      <c r="D1738" s="2" t="s">
        <v>2896</v>
      </c>
      <c r="E1738" s="10">
        <v>6</v>
      </c>
      <c r="F1738" s="9" t="s">
        <v>1352</v>
      </c>
      <c r="G1738" s="11">
        <v>46238</v>
      </c>
      <c r="H1738" s="12">
        <v>86.58</v>
      </c>
      <c r="I1738" s="12">
        <v>77.08</v>
      </c>
      <c r="J1738" s="9" t="s">
        <v>3</v>
      </c>
      <c r="K1738" s="8">
        <v>0</v>
      </c>
    </row>
    <row r="1739" spans="1:11">
      <c r="A1739" s="2" t="s">
        <v>2740</v>
      </c>
      <c r="B1739" s="2" t="s">
        <v>2761</v>
      </c>
      <c r="C1739" s="9">
        <v>10059185</v>
      </c>
      <c r="D1739" s="2" t="s">
        <v>2897</v>
      </c>
      <c r="E1739" s="10">
        <v>6</v>
      </c>
      <c r="F1739" s="9" t="s">
        <v>1173</v>
      </c>
      <c r="G1739" s="11">
        <v>46238</v>
      </c>
      <c r="H1739" s="12">
        <v>71.84</v>
      </c>
      <c r="I1739" s="12">
        <v>63.92</v>
      </c>
      <c r="J1739" s="9" t="s">
        <v>3</v>
      </c>
      <c r="K1739" s="8">
        <v>0</v>
      </c>
    </row>
    <row r="1740" spans="1:11">
      <c r="A1740" s="2" t="s">
        <v>2740</v>
      </c>
      <c r="B1740" s="2" t="s">
        <v>2761</v>
      </c>
      <c r="C1740" s="9">
        <v>10059186</v>
      </c>
      <c r="D1740" s="2" t="s">
        <v>2898</v>
      </c>
      <c r="E1740" s="10">
        <v>4</v>
      </c>
      <c r="F1740" s="9" t="s">
        <v>2875</v>
      </c>
      <c r="G1740" s="11">
        <v>46238</v>
      </c>
      <c r="H1740" s="12">
        <v>88.13</v>
      </c>
      <c r="I1740" s="12">
        <v>78.459999999999994</v>
      </c>
      <c r="J1740" s="9" t="s">
        <v>3</v>
      </c>
      <c r="K1740" s="8">
        <v>0</v>
      </c>
    </row>
    <row r="1741" spans="1:11">
      <c r="A1741" s="2" t="s">
        <v>708</v>
      </c>
      <c r="B1741" s="2" t="s">
        <v>2727</v>
      </c>
      <c r="C1741" s="9">
        <v>10059520</v>
      </c>
      <c r="D1741" s="2" t="s">
        <v>2899</v>
      </c>
      <c r="E1741" s="10">
        <v>12</v>
      </c>
      <c r="F1741" s="9" t="s">
        <v>955</v>
      </c>
      <c r="G1741" s="11">
        <v>46238</v>
      </c>
      <c r="H1741" s="12">
        <v>76.94</v>
      </c>
      <c r="I1741" s="12">
        <v>68.48</v>
      </c>
      <c r="J1741" s="9" t="s">
        <v>3</v>
      </c>
      <c r="K1741" s="8">
        <v>0</v>
      </c>
    </row>
    <row r="1742" spans="1:11">
      <c r="A1742" s="2" t="s">
        <v>708</v>
      </c>
      <c r="B1742" s="2" t="s">
        <v>2727</v>
      </c>
      <c r="C1742" s="9">
        <v>10059522</v>
      </c>
      <c r="D1742" s="2" t="s">
        <v>2900</v>
      </c>
      <c r="E1742" s="10">
        <v>12</v>
      </c>
      <c r="F1742" s="9" t="s">
        <v>955</v>
      </c>
      <c r="G1742" s="11">
        <v>46238</v>
      </c>
      <c r="H1742" s="12">
        <v>76.94</v>
      </c>
      <c r="I1742" s="12">
        <v>68.48</v>
      </c>
      <c r="J1742" s="9" t="s">
        <v>3</v>
      </c>
      <c r="K1742" s="8">
        <v>0</v>
      </c>
    </row>
    <row r="1743" spans="1:11">
      <c r="A1743" s="2" t="s">
        <v>708</v>
      </c>
      <c r="B1743" s="2" t="s">
        <v>2727</v>
      </c>
      <c r="C1743" s="9">
        <v>10059523</v>
      </c>
      <c r="D1743" s="2" t="s">
        <v>2901</v>
      </c>
      <c r="E1743" s="10">
        <v>12</v>
      </c>
      <c r="F1743" s="9" t="s">
        <v>955</v>
      </c>
      <c r="G1743" s="11">
        <v>46238</v>
      </c>
      <c r="H1743" s="12">
        <v>76.94</v>
      </c>
      <c r="I1743" s="12">
        <v>68.48</v>
      </c>
      <c r="J1743" s="9" t="s">
        <v>3</v>
      </c>
      <c r="K1743" s="8">
        <v>0</v>
      </c>
    </row>
    <row r="1744" spans="1:11">
      <c r="A1744" s="2" t="s">
        <v>708</v>
      </c>
      <c r="B1744" s="2" t="s">
        <v>2727</v>
      </c>
      <c r="C1744" s="9">
        <v>10059524</v>
      </c>
      <c r="D1744" s="2" t="s">
        <v>2902</v>
      </c>
      <c r="E1744" s="10">
        <v>12</v>
      </c>
      <c r="F1744" s="9" t="s">
        <v>955</v>
      </c>
      <c r="G1744" s="11">
        <v>46238</v>
      </c>
      <c r="H1744" s="12">
        <v>76.94</v>
      </c>
      <c r="I1744" s="12">
        <v>68.48</v>
      </c>
      <c r="J1744" s="9" t="s">
        <v>3</v>
      </c>
      <c r="K1744" s="8">
        <v>0</v>
      </c>
    </row>
    <row r="1745" spans="1:11">
      <c r="A1745" s="2" t="s">
        <v>2740</v>
      </c>
      <c r="B1745" s="2" t="s">
        <v>2741</v>
      </c>
      <c r="C1745" s="9">
        <v>10059526</v>
      </c>
      <c r="D1745" s="2" t="s">
        <v>2903</v>
      </c>
      <c r="E1745" s="10">
        <v>6</v>
      </c>
      <c r="F1745" s="9" t="s">
        <v>2871</v>
      </c>
      <c r="G1745" s="11">
        <v>46238</v>
      </c>
      <c r="H1745" s="12">
        <v>39.76</v>
      </c>
      <c r="I1745" s="12">
        <v>35.369999999999997</v>
      </c>
      <c r="J1745" s="9" t="s">
        <v>3</v>
      </c>
      <c r="K1745" s="8">
        <v>0</v>
      </c>
    </row>
    <row r="1746" spans="1:11">
      <c r="A1746" s="2" t="s">
        <v>2740</v>
      </c>
      <c r="B1746" s="2" t="s">
        <v>2741</v>
      </c>
      <c r="C1746" s="9">
        <v>10059528</v>
      </c>
      <c r="D1746" s="2" t="s">
        <v>2904</v>
      </c>
      <c r="E1746" s="10">
        <v>6</v>
      </c>
      <c r="F1746" s="9" t="s">
        <v>1698</v>
      </c>
      <c r="G1746" s="11">
        <v>46238</v>
      </c>
      <c r="H1746" s="12">
        <v>39.76</v>
      </c>
      <c r="I1746" s="12">
        <v>35.369999999999997</v>
      </c>
      <c r="J1746" s="9" t="s">
        <v>3</v>
      </c>
      <c r="K1746" s="8">
        <v>0</v>
      </c>
    </row>
    <row r="1747" spans="1:11">
      <c r="A1747" s="2" t="s">
        <v>708</v>
      </c>
      <c r="B1747" s="2" t="s">
        <v>2727</v>
      </c>
      <c r="C1747" s="9">
        <v>10059529</v>
      </c>
      <c r="D1747" s="2" t="s">
        <v>2905</v>
      </c>
      <c r="E1747" s="10">
        <v>12</v>
      </c>
      <c r="F1747" s="9" t="s">
        <v>666</v>
      </c>
      <c r="G1747" s="11">
        <v>46238</v>
      </c>
      <c r="H1747" s="12">
        <v>59.24</v>
      </c>
      <c r="I1747" s="12">
        <v>52.72</v>
      </c>
      <c r="J1747" s="9" t="s">
        <v>3</v>
      </c>
      <c r="K1747" s="8">
        <v>0</v>
      </c>
    </row>
    <row r="1748" spans="1:11">
      <c r="A1748" s="2" t="s">
        <v>2740</v>
      </c>
      <c r="B1748" s="2" t="s">
        <v>2741</v>
      </c>
      <c r="C1748" s="9">
        <v>10059530</v>
      </c>
      <c r="D1748" s="2" t="s">
        <v>2906</v>
      </c>
      <c r="E1748" s="10">
        <v>6</v>
      </c>
      <c r="F1748" s="9" t="s">
        <v>1158</v>
      </c>
      <c r="G1748" s="11">
        <v>46238</v>
      </c>
      <c r="H1748" s="12">
        <v>39.76</v>
      </c>
      <c r="I1748" s="12">
        <v>35.369999999999997</v>
      </c>
      <c r="J1748" s="9" t="s">
        <v>3</v>
      </c>
      <c r="K1748" s="8">
        <v>0</v>
      </c>
    </row>
    <row r="1749" spans="1:11">
      <c r="A1749" s="2" t="s">
        <v>708</v>
      </c>
      <c r="B1749" s="2" t="s">
        <v>2727</v>
      </c>
      <c r="C1749" s="9">
        <v>10059614</v>
      </c>
      <c r="D1749" s="2" t="s">
        <v>2907</v>
      </c>
      <c r="E1749" s="10">
        <v>12</v>
      </c>
      <c r="F1749" s="9" t="s">
        <v>666</v>
      </c>
      <c r="G1749" s="11">
        <v>46238</v>
      </c>
      <c r="H1749" s="12">
        <v>59.24</v>
      </c>
      <c r="I1749" s="12">
        <v>52.72</v>
      </c>
      <c r="J1749" s="9" t="s">
        <v>3</v>
      </c>
      <c r="K1749" s="8">
        <v>0</v>
      </c>
    </row>
    <row r="1750" spans="1:11">
      <c r="A1750" s="2" t="s">
        <v>687</v>
      </c>
      <c r="B1750" s="2" t="s">
        <v>2743</v>
      </c>
      <c r="C1750" s="9">
        <v>10059877</v>
      </c>
      <c r="D1750" s="2" t="s">
        <v>2908</v>
      </c>
      <c r="E1750" s="10">
        <v>6</v>
      </c>
      <c r="F1750" s="9" t="s">
        <v>666</v>
      </c>
      <c r="G1750" s="11">
        <v>46238</v>
      </c>
      <c r="H1750" s="12">
        <v>52.56</v>
      </c>
      <c r="I1750" s="12">
        <v>46.78</v>
      </c>
      <c r="J1750" s="9" t="s">
        <v>3</v>
      </c>
      <c r="K1750" s="8">
        <v>0</v>
      </c>
    </row>
    <row r="1751" spans="1:11">
      <c r="A1751" s="2" t="s">
        <v>687</v>
      </c>
      <c r="B1751" s="2" t="s">
        <v>2743</v>
      </c>
      <c r="C1751" s="9">
        <v>10059882</v>
      </c>
      <c r="D1751" s="2" t="s">
        <v>2909</v>
      </c>
      <c r="E1751" s="10">
        <v>6</v>
      </c>
      <c r="F1751" s="9" t="s">
        <v>666</v>
      </c>
      <c r="G1751" s="11">
        <v>46238</v>
      </c>
      <c r="H1751" s="12">
        <v>58.05</v>
      </c>
      <c r="I1751" s="12">
        <v>53.41</v>
      </c>
      <c r="J1751" s="9" t="s">
        <v>3</v>
      </c>
      <c r="K1751" s="8">
        <v>0</v>
      </c>
    </row>
    <row r="1752" spans="1:11">
      <c r="A1752" s="2" t="s">
        <v>721</v>
      </c>
      <c r="B1752" s="2" t="s">
        <v>722</v>
      </c>
      <c r="C1752" s="9">
        <v>10059905</v>
      </c>
      <c r="D1752" s="2" t="s">
        <v>2910</v>
      </c>
      <c r="E1752" s="10">
        <v>12</v>
      </c>
      <c r="F1752" s="9" t="s">
        <v>711</v>
      </c>
      <c r="G1752" s="11">
        <v>46238</v>
      </c>
      <c r="H1752" s="12">
        <v>46.79</v>
      </c>
      <c r="I1752" s="12">
        <v>41.59</v>
      </c>
      <c r="J1752" s="9" t="s">
        <v>3</v>
      </c>
      <c r="K1752" s="8">
        <v>0</v>
      </c>
    </row>
    <row r="1753" spans="1:11">
      <c r="A1753" s="2" t="s">
        <v>721</v>
      </c>
      <c r="B1753" s="2" t="s">
        <v>722</v>
      </c>
      <c r="C1753" s="9">
        <v>10059923</v>
      </c>
      <c r="D1753" s="2" t="s">
        <v>2911</v>
      </c>
      <c r="E1753" s="10">
        <v>12</v>
      </c>
      <c r="F1753" s="9" t="s">
        <v>2912</v>
      </c>
      <c r="G1753" s="11">
        <v>46238</v>
      </c>
      <c r="H1753" s="12">
        <v>75.88</v>
      </c>
      <c r="I1753" s="12">
        <v>67.59</v>
      </c>
      <c r="J1753" s="9" t="s">
        <v>3</v>
      </c>
      <c r="K1753" s="8">
        <v>0</v>
      </c>
    </row>
    <row r="1754" spans="1:11">
      <c r="A1754" s="2" t="s">
        <v>949</v>
      </c>
      <c r="B1754" s="2" t="s">
        <v>2913</v>
      </c>
      <c r="C1754" s="9">
        <v>10060375</v>
      </c>
      <c r="D1754" s="2" t="s">
        <v>2914</v>
      </c>
      <c r="E1754" s="10">
        <v>12</v>
      </c>
      <c r="F1754" s="9" t="s">
        <v>955</v>
      </c>
      <c r="G1754" s="11">
        <v>46238</v>
      </c>
      <c r="H1754" s="12">
        <v>196.05</v>
      </c>
      <c r="I1754" s="12">
        <v>196.05</v>
      </c>
      <c r="J1754" s="9" t="s">
        <v>3</v>
      </c>
      <c r="K1754" s="8">
        <v>0</v>
      </c>
    </row>
    <row r="1755" spans="1:11">
      <c r="A1755" s="2" t="s">
        <v>949</v>
      </c>
      <c r="B1755" s="2" t="s">
        <v>2913</v>
      </c>
      <c r="C1755" s="9">
        <v>10060376</v>
      </c>
      <c r="D1755" s="2" t="s">
        <v>2915</v>
      </c>
      <c r="E1755" s="10">
        <v>12</v>
      </c>
      <c r="F1755" s="9" t="s">
        <v>955</v>
      </c>
      <c r="G1755" s="11">
        <v>46238</v>
      </c>
      <c r="H1755" s="12">
        <v>241.91</v>
      </c>
      <c r="I1755" s="12">
        <v>241.91</v>
      </c>
      <c r="J1755" s="9" t="s">
        <v>3</v>
      </c>
      <c r="K1755" s="8">
        <v>0</v>
      </c>
    </row>
    <row r="1756" spans="1:11">
      <c r="A1756" s="2" t="s">
        <v>949</v>
      </c>
      <c r="B1756" s="2" t="s">
        <v>2913</v>
      </c>
      <c r="C1756" s="9">
        <v>10060377</v>
      </c>
      <c r="D1756" s="2" t="s">
        <v>2916</v>
      </c>
      <c r="E1756" s="10">
        <v>12</v>
      </c>
      <c r="F1756" s="9" t="s">
        <v>1306</v>
      </c>
      <c r="G1756" s="11">
        <v>46238</v>
      </c>
      <c r="H1756" s="12">
        <v>196.05</v>
      </c>
      <c r="I1756" s="12">
        <v>196.05</v>
      </c>
      <c r="J1756" s="9" t="s">
        <v>3</v>
      </c>
      <c r="K1756" s="8">
        <v>0</v>
      </c>
    </row>
    <row r="1757" spans="1:11">
      <c r="A1757" s="2" t="s">
        <v>949</v>
      </c>
      <c r="B1757" s="2" t="s">
        <v>2913</v>
      </c>
      <c r="C1757" s="9">
        <v>10060378</v>
      </c>
      <c r="D1757" s="2" t="s">
        <v>2917</v>
      </c>
      <c r="E1757" s="10">
        <v>12</v>
      </c>
      <c r="F1757" s="9" t="s">
        <v>1306</v>
      </c>
      <c r="G1757" s="11">
        <v>46238</v>
      </c>
      <c r="H1757" s="12">
        <v>196.05</v>
      </c>
      <c r="I1757" s="12">
        <v>196.05</v>
      </c>
      <c r="J1757" s="9" t="s">
        <v>3</v>
      </c>
      <c r="K1757" s="8">
        <v>0</v>
      </c>
    </row>
    <row r="1758" spans="1:11">
      <c r="A1758" s="2" t="s">
        <v>949</v>
      </c>
      <c r="B1758" s="2" t="s">
        <v>2913</v>
      </c>
      <c r="C1758" s="9">
        <v>10060379</v>
      </c>
      <c r="D1758" s="2" t="s">
        <v>2918</v>
      </c>
      <c r="E1758" s="10">
        <v>12</v>
      </c>
      <c r="F1758" s="9" t="s">
        <v>955</v>
      </c>
      <c r="G1758" s="11">
        <v>46238</v>
      </c>
      <c r="H1758" s="12">
        <v>196.05</v>
      </c>
      <c r="I1758" s="12">
        <v>196.05</v>
      </c>
      <c r="J1758" s="9" t="s">
        <v>3</v>
      </c>
      <c r="K1758" s="8">
        <v>0</v>
      </c>
    </row>
    <row r="1759" spans="1:11">
      <c r="A1759" s="2" t="s">
        <v>949</v>
      </c>
      <c r="B1759" s="2" t="s">
        <v>2913</v>
      </c>
      <c r="C1759" s="9">
        <v>10060380</v>
      </c>
      <c r="D1759" s="2" t="s">
        <v>2919</v>
      </c>
      <c r="E1759" s="10">
        <v>12</v>
      </c>
      <c r="F1759" s="9" t="s">
        <v>955</v>
      </c>
      <c r="G1759" s="11">
        <v>46238</v>
      </c>
      <c r="H1759" s="12">
        <v>196.05</v>
      </c>
      <c r="I1759" s="12">
        <v>196.05</v>
      </c>
      <c r="J1759" s="9" t="s">
        <v>3</v>
      </c>
      <c r="K1759" s="8">
        <v>0</v>
      </c>
    </row>
    <row r="1760" spans="1:11">
      <c r="A1760" s="2" t="s">
        <v>949</v>
      </c>
      <c r="B1760" s="2" t="s">
        <v>2913</v>
      </c>
      <c r="C1760" s="9">
        <v>10060381</v>
      </c>
      <c r="D1760" s="2" t="s">
        <v>2918</v>
      </c>
      <c r="E1760" s="10">
        <v>12</v>
      </c>
      <c r="F1760" s="9" t="s">
        <v>1015</v>
      </c>
      <c r="G1760" s="11">
        <v>46238</v>
      </c>
      <c r="H1760" s="12">
        <v>132.03</v>
      </c>
      <c r="I1760" s="12">
        <v>132.03</v>
      </c>
      <c r="J1760" s="9" t="s">
        <v>3</v>
      </c>
      <c r="K1760" s="8">
        <v>0</v>
      </c>
    </row>
    <row r="1761" spans="1:11">
      <c r="A1761" s="2" t="s">
        <v>949</v>
      </c>
      <c r="B1761" s="2" t="s">
        <v>2913</v>
      </c>
      <c r="C1761" s="9">
        <v>10060382</v>
      </c>
      <c r="D1761" s="2" t="s">
        <v>2920</v>
      </c>
      <c r="E1761" s="10">
        <v>12</v>
      </c>
      <c r="F1761" s="9" t="s">
        <v>1015</v>
      </c>
      <c r="G1761" s="11">
        <v>46238</v>
      </c>
      <c r="H1761" s="12">
        <v>116.36</v>
      </c>
      <c r="I1761" s="12">
        <v>116.36</v>
      </c>
      <c r="J1761" s="9" t="s">
        <v>3</v>
      </c>
      <c r="K1761" s="8">
        <v>0</v>
      </c>
    </row>
    <row r="1762" spans="1:11">
      <c r="A1762" s="2" t="s">
        <v>949</v>
      </c>
      <c r="B1762" s="2" t="s">
        <v>2913</v>
      </c>
      <c r="C1762" s="9">
        <v>10060383</v>
      </c>
      <c r="D1762" s="2" t="s">
        <v>2921</v>
      </c>
      <c r="E1762" s="10">
        <v>6</v>
      </c>
      <c r="F1762" s="9" t="s">
        <v>1015</v>
      </c>
      <c r="G1762" s="11">
        <v>46238</v>
      </c>
      <c r="H1762" s="12">
        <v>64.36</v>
      </c>
      <c r="I1762" s="12">
        <v>64.36</v>
      </c>
      <c r="J1762" s="9" t="s">
        <v>3</v>
      </c>
      <c r="K1762" s="8">
        <v>0</v>
      </c>
    </row>
    <row r="1763" spans="1:11">
      <c r="A1763" s="2" t="s">
        <v>949</v>
      </c>
      <c r="B1763" s="2" t="s">
        <v>2913</v>
      </c>
      <c r="C1763" s="9">
        <v>10060384</v>
      </c>
      <c r="D1763" s="2" t="s">
        <v>2922</v>
      </c>
      <c r="E1763" s="10">
        <v>6</v>
      </c>
      <c r="F1763" s="9" t="s">
        <v>1015</v>
      </c>
      <c r="G1763" s="11">
        <v>46238</v>
      </c>
      <c r="H1763" s="12">
        <v>64.36</v>
      </c>
      <c r="I1763" s="12">
        <v>64.36</v>
      </c>
      <c r="J1763" s="9" t="s">
        <v>3</v>
      </c>
      <c r="K1763" s="8">
        <v>0</v>
      </c>
    </row>
    <row r="1764" spans="1:11">
      <c r="A1764" s="2" t="s">
        <v>949</v>
      </c>
      <c r="B1764" s="2" t="s">
        <v>2913</v>
      </c>
      <c r="C1764" s="9">
        <v>10060385</v>
      </c>
      <c r="D1764" s="2" t="s">
        <v>2923</v>
      </c>
      <c r="E1764" s="10">
        <v>12</v>
      </c>
      <c r="F1764" s="9" t="s">
        <v>1015</v>
      </c>
      <c r="G1764" s="11">
        <v>46238</v>
      </c>
      <c r="H1764" s="12">
        <v>62.32</v>
      </c>
      <c r="I1764" s="12">
        <v>62.32</v>
      </c>
      <c r="J1764" s="9" t="s">
        <v>3</v>
      </c>
      <c r="K1764" s="8">
        <v>0</v>
      </c>
    </row>
    <row r="1765" spans="1:11">
      <c r="A1765" s="2" t="s">
        <v>949</v>
      </c>
      <c r="B1765" s="2" t="s">
        <v>2913</v>
      </c>
      <c r="C1765" s="9">
        <v>10060386</v>
      </c>
      <c r="D1765" s="2" t="s">
        <v>2924</v>
      </c>
      <c r="E1765" s="10">
        <v>12</v>
      </c>
      <c r="F1765" s="9" t="s">
        <v>1015</v>
      </c>
      <c r="G1765" s="11">
        <v>46238</v>
      </c>
      <c r="H1765" s="12">
        <v>62.32</v>
      </c>
      <c r="I1765" s="12">
        <v>62.32</v>
      </c>
      <c r="J1765" s="9" t="s">
        <v>3</v>
      </c>
      <c r="K1765" s="8">
        <v>0</v>
      </c>
    </row>
    <row r="1766" spans="1:11">
      <c r="A1766" s="2" t="s">
        <v>949</v>
      </c>
      <c r="B1766" s="2" t="s">
        <v>2913</v>
      </c>
      <c r="C1766" s="9">
        <v>10060387</v>
      </c>
      <c r="D1766" s="2" t="s">
        <v>2925</v>
      </c>
      <c r="E1766" s="10">
        <v>12</v>
      </c>
      <c r="F1766" s="9" t="s">
        <v>1015</v>
      </c>
      <c r="G1766" s="11">
        <v>46238</v>
      </c>
      <c r="H1766" s="12">
        <v>38.18</v>
      </c>
      <c r="I1766" s="12">
        <v>38.18</v>
      </c>
      <c r="J1766" s="9" t="s">
        <v>3</v>
      </c>
      <c r="K1766" s="8">
        <v>0</v>
      </c>
    </row>
    <row r="1767" spans="1:11">
      <c r="A1767" s="2" t="s">
        <v>949</v>
      </c>
      <c r="B1767" s="2" t="s">
        <v>2913</v>
      </c>
      <c r="C1767" s="9">
        <v>10060388</v>
      </c>
      <c r="D1767" s="2" t="s">
        <v>2926</v>
      </c>
      <c r="E1767" s="10">
        <v>12</v>
      </c>
      <c r="F1767" s="9" t="s">
        <v>1015</v>
      </c>
      <c r="G1767" s="11">
        <v>46238</v>
      </c>
      <c r="H1767" s="12">
        <v>38.18</v>
      </c>
      <c r="I1767" s="12">
        <v>38.18</v>
      </c>
      <c r="J1767" s="9" t="s">
        <v>3</v>
      </c>
      <c r="K1767" s="8">
        <v>0</v>
      </c>
    </row>
    <row r="1768" spans="1:11">
      <c r="A1768" s="2" t="s">
        <v>949</v>
      </c>
      <c r="B1768" s="2" t="s">
        <v>2913</v>
      </c>
      <c r="C1768" s="9">
        <v>10060389</v>
      </c>
      <c r="D1768" s="2" t="s">
        <v>2927</v>
      </c>
      <c r="E1768" s="10">
        <v>6</v>
      </c>
      <c r="F1768" s="9" t="s">
        <v>1315</v>
      </c>
      <c r="G1768" s="11">
        <v>46238</v>
      </c>
      <c r="H1768" s="12">
        <v>24</v>
      </c>
      <c r="I1768" s="12">
        <v>24</v>
      </c>
      <c r="J1768" s="9" t="s">
        <v>3</v>
      </c>
      <c r="K1768" s="8">
        <v>0</v>
      </c>
    </row>
    <row r="1769" spans="1:11">
      <c r="A1769" s="2" t="s">
        <v>949</v>
      </c>
      <c r="B1769" s="2" t="s">
        <v>2913</v>
      </c>
      <c r="C1769" s="9">
        <v>10060390</v>
      </c>
      <c r="D1769" s="2" t="s">
        <v>2928</v>
      </c>
      <c r="E1769" s="10">
        <v>6</v>
      </c>
      <c r="F1769" s="9" t="s">
        <v>1315</v>
      </c>
      <c r="G1769" s="11">
        <v>46238</v>
      </c>
      <c r="H1769" s="12">
        <v>24</v>
      </c>
      <c r="I1769" s="12">
        <v>24</v>
      </c>
      <c r="J1769" s="9" t="s">
        <v>3</v>
      </c>
      <c r="K1769" s="8">
        <v>0</v>
      </c>
    </row>
    <row r="1770" spans="1:11">
      <c r="A1770" s="2" t="s">
        <v>949</v>
      </c>
      <c r="B1770" s="2" t="s">
        <v>2913</v>
      </c>
      <c r="C1770" s="9">
        <v>10060391</v>
      </c>
      <c r="D1770" s="2" t="s">
        <v>2929</v>
      </c>
      <c r="E1770" s="10">
        <v>6</v>
      </c>
      <c r="F1770" s="9" t="s">
        <v>1315</v>
      </c>
      <c r="G1770" s="11">
        <v>46238</v>
      </c>
      <c r="H1770" s="12">
        <v>24</v>
      </c>
      <c r="I1770" s="12">
        <v>24</v>
      </c>
      <c r="J1770" s="9" t="s">
        <v>3</v>
      </c>
      <c r="K1770" s="8">
        <v>0</v>
      </c>
    </row>
    <row r="1771" spans="1:11">
      <c r="A1771" s="2" t="s">
        <v>949</v>
      </c>
      <c r="B1771" s="2" t="s">
        <v>2913</v>
      </c>
      <c r="C1771" s="9">
        <v>10060392</v>
      </c>
      <c r="D1771" s="2" t="s">
        <v>2930</v>
      </c>
      <c r="E1771" s="10">
        <v>6</v>
      </c>
      <c r="F1771" s="9" t="s">
        <v>1315</v>
      </c>
      <c r="G1771" s="11">
        <v>46238</v>
      </c>
      <c r="H1771" s="12">
        <v>24</v>
      </c>
      <c r="I1771" s="12">
        <v>24</v>
      </c>
      <c r="J1771" s="9" t="s">
        <v>3</v>
      </c>
      <c r="K1771" s="8">
        <v>0</v>
      </c>
    </row>
    <row r="1772" spans="1:11">
      <c r="A1772" s="2" t="s">
        <v>949</v>
      </c>
      <c r="B1772" s="2" t="s">
        <v>2913</v>
      </c>
      <c r="C1772" s="9">
        <v>10060393</v>
      </c>
      <c r="D1772" s="2" t="s">
        <v>2931</v>
      </c>
      <c r="E1772" s="10">
        <v>12</v>
      </c>
      <c r="F1772" s="9" t="s">
        <v>955</v>
      </c>
      <c r="G1772" s="11">
        <v>46238</v>
      </c>
      <c r="H1772" s="12">
        <v>196.05</v>
      </c>
      <c r="I1772" s="12">
        <v>196.05</v>
      </c>
      <c r="J1772" s="9" t="s">
        <v>3</v>
      </c>
      <c r="K1772" s="8">
        <v>0</v>
      </c>
    </row>
    <row r="1773" spans="1:11">
      <c r="A1773" s="2" t="s">
        <v>949</v>
      </c>
      <c r="B1773" s="2" t="s">
        <v>950</v>
      </c>
      <c r="C1773" s="9">
        <v>10060480</v>
      </c>
      <c r="D1773" s="2" t="s">
        <v>2932</v>
      </c>
      <c r="E1773" s="10">
        <v>6</v>
      </c>
      <c r="F1773" s="9" t="s">
        <v>1015</v>
      </c>
      <c r="G1773" s="11">
        <v>46238</v>
      </c>
      <c r="H1773" s="12">
        <v>59.3</v>
      </c>
      <c r="I1773" s="12">
        <v>52.78</v>
      </c>
      <c r="J1773" s="9" t="s">
        <v>3</v>
      </c>
      <c r="K1773" s="8">
        <v>0</v>
      </c>
    </row>
    <row r="1774" spans="1:11">
      <c r="A1774" s="2" t="s">
        <v>708</v>
      </c>
      <c r="B1774" s="2" t="s">
        <v>743</v>
      </c>
      <c r="C1774" s="9">
        <v>10060544</v>
      </c>
      <c r="D1774" s="2" t="s">
        <v>2933</v>
      </c>
      <c r="E1774" s="10">
        <v>4</v>
      </c>
      <c r="F1774" s="9" t="s">
        <v>2138</v>
      </c>
      <c r="G1774" s="11">
        <v>46238</v>
      </c>
      <c r="H1774" s="12">
        <v>20.91</v>
      </c>
      <c r="I1774" s="12">
        <v>18.61</v>
      </c>
      <c r="J1774" s="9" t="s">
        <v>3</v>
      </c>
      <c r="K1774" s="8">
        <v>0</v>
      </c>
    </row>
    <row r="1775" spans="1:11">
      <c r="A1775" s="2" t="s">
        <v>708</v>
      </c>
      <c r="B1775" s="2" t="s">
        <v>743</v>
      </c>
      <c r="C1775" s="9">
        <v>10060545</v>
      </c>
      <c r="D1775" s="2" t="s">
        <v>2934</v>
      </c>
      <c r="E1775" s="10">
        <v>4</v>
      </c>
      <c r="F1775" s="9" t="s">
        <v>2935</v>
      </c>
      <c r="G1775" s="11">
        <v>46238</v>
      </c>
      <c r="H1775" s="12">
        <v>29.13</v>
      </c>
      <c r="I1775" s="12">
        <v>25.93</v>
      </c>
      <c r="J1775" s="9" t="s">
        <v>3</v>
      </c>
      <c r="K1775" s="8">
        <v>0</v>
      </c>
    </row>
    <row r="1776" spans="1:11">
      <c r="A1776" s="2" t="s">
        <v>708</v>
      </c>
      <c r="B1776" s="2" t="s">
        <v>743</v>
      </c>
      <c r="C1776" s="9">
        <v>10060546</v>
      </c>
      <c r="D1776" s="2" t="s">
        <v>2936</v>
      </c>
      <c r="E1776" s="10">
        <v>4</v>
      </c>
      <c r="F1776" s="9" t="s">
        <v>759</v>
      </c>
      <c r="G1776" s="11">
        <v>46238</v>
      </c>
      <c r="H1776" s="12">
        <v>28.58</v>
      </c>
      <c r="I1776" s="12">
        <v>25.44</v>
      </c>
      <c r="J1776" s="9" t="s">
        <v>3</v>
      </c>
      <c r="K1776" s="8">
        <v>0</v>
      </c>
    </row>
    <row r="1777" spans="1:11">
      <c r="A1777" s="2" t="s">
        <v>708</v>
      </c>
      <c r="B1777" s="2" t="s">
        <v>743</v>
      </c>
      <c r="C1777" s="9">
        <v>10060547</v>
      </c>
      <c r="D1777" s="2" t="s">
        <v>2937</v>
      </c>
      <c r="E1777" s="10">
        <v>4</v>
      </c>
      <c r="F1777" s="9" t="s">
        <v>2138</v>
      </c>
      <c r="G1777" s="11">
        <v>46238</v>
      </c>
      <c r="H1777" s="12">
        <v>15.46</v>
      </c>
      <c r="I1777" s="12">
        <v>13.77</v>
      </c>
      <c r="J1777" s="9" t="s">
        <v>3</v>
      </c>
      <c r="K1777" s="8">
        <v>0</v>
      </c>
    </row>
    <row r="1778" spans="1:11">
      <c r="A1778" s="2" t="s">
        <v>708</v>
      </c>
      <c r="B1778" s="2" t="s">
        <v>743</v>
      </c>
      <c r="C1778" s="9">
        <v>10060548</v>
      </c>
      <c r="D1778" s="2" t="s">
        <v>2938</v>
      </c>
      <c r="E1778" s="10">
        <v>4</v>
      </c>
      <c r="F1778" s="9" t="s">
        <v>2138</v>
      </c>
      <c r="G1778" s="11">
        <v>46238</v>
      </c>
      <c r="H1778" s="12">
        <v>33.72</v>
      </c>
      <c r="I1778" s="12">
        <v>30.02</v>
      </c>
      <c r="J1778" s="9" t="s">
        <v>3</v>
      </c>
      <c r="K1778" s="8">
        <v>0</v>
      </c>
    </row>
    <row r="1779" spans="1:11">
      <c r="A1779" s="2" t="s">
        <v>708</v>
      </c>
      <c r="B1779" s="2" t="s">
        <v>743</v>
      </c>
      <c r="C1779" s="9">
        <v>10060549</v>
      </c>
      <c r="D1779" s="2" t="s">
        <v>2939</v>
      </c>
      <c r="E1779" s="10">
        <v>4</v>
      </c>
      <c r="F1779" s="9" t="s">
        <v>1738</v>
      </c>
      <c r="G1779" s="11">
        <v>46238</v>
      </c>
      <c r="H1779" s="12">
        <v>29.16</v>
      </c>
      <c r="I1779" s="12">
        <v>25.95</v>
      </c>
      <c r="J1779" s="9" t="s">
        <v>3</v>
      </c>
      <c r="K1779" s="8">
        <v>0</v>
      </c>
    </row>
    <row r="1780" spans="1:11">
      <c r="A1780" s="2" t="s">
        <v>708</v>
      </c>
      <c r="B1780" s="2" t="s">
        <v>743</v>
      </c>
      <c r="C1780" s="9">
        <v>10060550</v>
      </c>
      <c r="D1780" s="2" t="s">
        <v>2940</v>
      </c>
      <c r="E1780" s="10">
        <v>4</v>
      </c>
      <c r="F1780" s="9" t="s">
        <v>2935</v>
      </c>
      <c r="G1780" s="11">
        <v>46238</v>
      </c>
      <c r="H1780" s="12">
        <v>31.86</v>
      </c>
      <c r="I1780" s="12">
        <v>28.34</v>
      </c>
      <c r="J1780" s="9" t="s">
        <v>3</v>
      </c>
      <c r="K1780" s="8">
        <v>0</v>
      </c>
    </row>
    <row r="1781" spans="1:11">
      <c r="A1781" s="2" t="s">
        <v>708</v>
      </c>
      <c r="B1781" s="2" t="s">
        <v>743</v>
      </c>
      <c r="C1781" s="9">
        <v>10060551</v>
      </c>
      <c r="D1781" s="2" t="s">
        <v>2941</v>
      </c>
      <c r="E1781" s="10">
        <v>4</v>
      </c>
      <c r="F1781" s="9" t="s">
        <v>808</v>
      </c>
      <c r="G1781" s="11">
        <v>46238</v>
      </c>
      <c r="H1781" s="12">
        <v>20.53</v>
      </c>
      <c r="I1781" s="12">
        <v>18.27</v>
      </c>
      <c r="J1781" s="9" t="s">
        <v>3</v>
      </c>
      <c r="K1781" s="8">
        <v>0</v>
      </c>
    </row>
    <row r="1782" spans="1:11">
      <c r="A1782" s="2" t="s">
        <v>708</v>
      </c>
      <c r="B1782" s="2" t="s">
        <v>743</v>
      </c>
      <c r="C1782" s="9">
        <v>10060552</v>
      </c>
      <c r="D1782" s="2" t="s">
        <v>2942</v>
      </c>
      <c r="E1782" s="10">
        <v>4</v>
      </c>
      <c r="F1782" s="9" t="s">
        <v>759</v>
      </c>
      <c r="G1782" s="11">
        <v>46238</v>
      </c>
      <c r="H1782" s="12">
        <v>24.42</v>
      </c>
      <c r="I1782" s="12">
        <v>21.73</v>
      </c>
      <c r="J1782" s="9" t="s">
        <v>3</v>
      </c>
      <c r="K1782" s="8">
        <v>0</v>
      </c>
    </row>
    <row r="1783" spans="1:11">
      <c r="A1783" s="2" t="s">
        <v>708</v>
      </c>
      <c r="B1783" s="2" t="s">
        <v>743</v>
      </c>
      <c r="C1783" s="9">
        <v>10060553</v>
      </c>
      <c r="D1783" s="2" t="s">
        <v>2943</v>
      </c>
      <c r="E1783" s="10">
        <v>4</v>
      </c>
      <c r="F1783" s="9" t="s">
        <v>2138</v>
      </c>
      <c r="G1783" s="11">
        <v>46238</v>
      </c>
      <c r="H1783" s="12">
        <v>19.440000000000001</v>
      </c>
      <c r="I1783" s="12">
        <v>17.32</v>
      </c>
      <c r="J1783" s="9" t="s">
        <v>3</v>
      </c>
      <c r="K1783" s="8">
        <v>0</v>
      </c>
    </row>
    <row r="1784" spans="1:11">
      <c r="A1784" s="2" t="s">
        <v>708</v>
      </c>
      <c r="B1784" s="2" t="s">
        <v>743</v>
      </c>
      <c r="C1784" s="9">
        <v>10060554</v>
      </c>
      <c r="D1784" s="2" t="s">
        <v>2944</v>
      </c>
      <c r="E1784" s="10">
        <v>4</v>
      </c>
      <c r="F1784" s="9" t="s">
        <v>1753</v>
      </c>
      <c r="G1784" s="11">
        <v>46238</v>
      </c>
      <c r="H1784" s="12">
        <v>44.2</v>
      </c>
      <c r="I1784" s="12">
        <v>39.340000000000003</v>
      </c>
      <c r="J1784" s="9" t="s">
        <v>3</v>
      </c>
      <c r="K1784" s="8">
        <v>0</v>
      </c>
    </row>
    <row r="1785" spans="1:11">
      <c r="A1785" s="2" t="s">
        <v>708</v>
      </c>
      <c r="B1785" s="2" t="s">
        <v>743</v>
      </c>
      <c r="C1785" s="9">
        <v>10060555</v>
      </c>
      <c r="D1785" s="2" t="s">
        <v>2945</v>
      </c>
      <c r="E1785" s="10">
        <v>4</v>
      </c>
      <c r="F1785" s="9" t="s">
        <v>2946</v>
      </c>
      <c r="G1785" s="11">
        <v>46238</v>
      </c>
      <c r="H1785" s="12">
        <v>53.11</v>
      </c>
      <c r="I1785" s="12">
        <v>47.26</v>
      </c>
      <c r="J1785" s="9" t="s">
        <v>3</v>
      </c>
      <c r="K1785" s="8">
        <v>0</v>
      </c>
    </row>
    <row r="1786" spans="1:11">
      <c r="A1786" s="2" t="s">
        <v>708</v>
      </c>
      <c r="B1786" s="2" t="s">
        <v>743</v>
      </c>
      <c r="C1786" s="9">
        <v>10060556</v>
      </c>
      <c r="D1786" s="2" t="s">
        <v>2947</v>
      </c>
      <c r="E1786" s="10">
        <v>4</v>
      </c>
      <c r="F1786" s="9" t="s">
        <v>808</v>
      </c>
      <c r="G1786" s="11">
        <v>46238</v>
      </c>
      <c r="H1786" s="12">
        <v>25.02</v>
      </c>
      <c r="I1786" s="12">
        <v>22.27</v>
      </c>
      <c r="J1786" s="9" t="s">
        <v>3</v>
      </c>
      <c r="K1786" s="8">
        <v>0</v>
      </c>
    </row>
    <row r="1787" spans="1:11">
      <c r="A1787" s="2" t="s">
        <v>708</v>
      </c>
      <c r="B1787" s="2" t="s">
        <v>743</v>
      </c>
      <c r="C1787" s="9">
        <v>10060557</v>
      </c>
      <c r="D1787" s="2" t="s">
        <v>2948</v>
      </c>
      <c r="E1787" s="10">
        <v>4</v>
      </c>
      <c r="F1787" s="9" t="s">
        <v>2138</v>
      </c>
      <c r="G1787" s="11">
        <v>46238</v>
      </c>
      <c r="H1787" s="12">
        <v>23.93</v>
      </c>
      <c r="I1787" s="12">
        <v>21.3</v>
      </c>
      <c r="J1787" s="9" t="s">
        <v>3</v>
      </c>
      <c r="K1787" s="8">
        <v>0</v>
      </c>
    </row>
    <row r="1788" spans="1:11">
      <c r="A1788" s="2" t="s">
        <v>708</v>
      </c>
      <c r="B1788" s="2" t="s">
        <v>743</v>
      </c>
      <c r="C1788" s="9">
        <v>10060558</v>
      </c>
      <c r="D1788" s="2" t="s">
        <v>2949</v>
      </c>
      <c r="E1788" s="10">
        <v>4</v>
      </c>
      <c r="F1788" s="9" t="s">
        <v>2935</v>
      </c>
      <c r="G1788" s="11">
        <v>46238</v>
      </c>
      <c r="H1788" s="12">
        <v>22.01</v>
      </c>
      <c r="I1788" s="12">
        <v>19.59</v>
      </c>
      <c r="J1788" s="9" t="s">
        <v>3</v>
      </c>
      <c r="K1788" s="8">
        <v>0</v>
      </c>
    </row>
    <row r="1789" spans="1:11">
      <c r="A1789" s="2" t="s">
        <v>708</v>
      </c>
      <c r="B1789" s="2" t="s">
        <v>743</v>
      </c>
      <c r="C1789" s="9">
        <v>10060559</v>
      </c>
      <c r="D1789" s="2" t="s">
        <v>2950</v>
      </c>
      <c r="E1789" s="10">
        <v>4</v>
      </c>
      <c r="F1789" s="9" t="s">
        <v>2138</v>
      </c>
      <c r="G1789" s="11">
        <v>46238</v>
      </c>
      <c r="H1789" s="12">
        <v>22.28</v>
      </c>
      <c r="I1789" s="12">
        <v>19.829999999999998</v>
      </c>
      <c r="J1789" s="9" t="s">
        <v>3</v>
      </c>
      <c r="K1789" s="8">
        <v>0</v>
      </c>
    </row>
    <row r="1790" spans="1:11">
      <c r="A1790" s="2" t="s">
        <v>708</v>
      </c>
      <c r="B1790" s="2" t="s">
        <v>743</v>
      </c>
      <c r="C1790" s="9">
        <v>10060560</v>
      </c>
      <c r="D1790" s="2" t="s">
        <v>2951</v>
      </c>
      <c r="E1790" s="10">
        <v>4</v>
      </c>
      <c r="F1790" s="9" t="s">
        <v>2138</v>
      </c>
      <c r="G1790" s="11">
        <v>46238</v>
      </c>
      <c r="H1790" s="12">
        <v>27.75</v>
      </c>
      <c r="I1790" s="12">
        <v>24.69</v>
      </c>
      <c r="J1790" s="9" t="s">
        <v>3</v>
      </c>
      <c r="K1790" s="8">
        <v>0</v>
      </c>
    </row>
    <row r="1791" spans="1:11">
      <c r="A1791" s="2" t="s">
        <v>708</v>
      </c>
      <c r="B1791" s="2" t="s">
        <v>743</v>
      </c>
      <c r="C1791" s="9">
        <v>10060562</v>
      </c>
      <c r="D1791" s="2" t="s">
        <v>2952</v>
      </c>
      <c r="E1791" s="10">
        <v>4</v>
      </c>
      <c r="F1791" s="9" t="s">
        <v>759</v>
      </c>
      <c r="G1791" s="11">
        <v>46238</v>
      </c>
      <c r="H1791" s="12">
        <v>17.62</v>
      </c>
      <c r="I1791" s="12">
        <v>15.68</v>
      </c>
      <c r="J1791" s="9" t="s">
        <v>3</v>
      </c>
      <c r="K1791" s="8">
        <v>0</v>
      </c>
    </row>
    <row r="1792" spans="1:11">
      <c r="A1792" s="2" t="s">
        <v>708</v>
      </c>
      <c r="B1792" s="2" t="s">
        <v>743</v>
      </c>
      <c r="C1792" s="9">
        <v>10060563</v>
      </c>
      <c r="D1792" s="2" t="s">
        <v>2953</v>
      </c>
      <c r="E1792" s="10">
        <v>4</v>
      </c>
      <c r="F1792" s="9" t="s">
        <v>2954</v>
      </c>
      <c r="G1792" s="11">
        <v>46238</v>
      </c>
      <c r="H1792" s="12">
        <v>20.399999999999999</v>
      </c>
      <c r="I1792" s="12">
        <v>18.16</v>
      </c>
      <c r="J1792" s="9" t="s">
        <v>3</v>
      </c>
      <c r="K1792" s="8">
        <v>0</v>
      </c>
    </row>
    <row r="1793" spans="1:11">
      <c r="A1793" s="2" t="s">
        <v>708</v>
      </c>
      <c r="B1793" s="2" t="s">
        <v>743</v>
      </c>
      <c r="C1793" s="9">
        <v>10060567</v>
      </c>
      <c r="D1793" s="2" t="s">
        <v>2955</v>
      </c>
      <c r="E1793" s="10">
        <v>4</v>
      </c>
      <c r="F1793" s="9" t="s">
        <v>2138</v>
      </c>
      <c r="G1793" s="11">
        <v>46238</v>
      </c>
      <c r="H1793" s="12">
        <v>20.170000000000002</v>
      </c>
      <c r="I1793" s="12">
        <v>17.95</v>
      </c>
      <c r="J1793" s="9" t="s">
        <v>3</v>
      </c>
      <c r="K1793" s="8">
        <v>0</v>
      </c>
    </row>
    <row r="1794" spans="1:11">
      <c r="A1794" s="2" t="s">
        <v>708</v>
      </c>
      <c r="B1794" s="2" t="s">
        <v>743</v>
      </c>
      <c r="C1794" s="9">
        <v>10060570</v>
      </c>
      <c r="D1794" s="2" t="s">
        <v>2956</v>
      </c>
      <c r="E1794" s="10">
        <v>4</v>
      </c>
      <c r="F1794" s="9" t="s">
        <v>811</v>
      </c>
      <c r="G1794" s="11">
        <v>46238</v>
      </c>
      <c r="H1794" s="12">
        <v>11.81</v>
      </c>
      <c r="I1794" s="12">
        <v>10.51</v>
      </c>
      <c r="J1794" s="9" t="s">
        <v>3</v>
      </c>
      <c r="K1794" s="8">
        <v>0</v>
      </c>
    </row>
    <row r="1795" spans="1:11">
      <c r="A1795" s="2" t="s">
        <v>708</v>
      </c>
      <c r="B1795" s="2" t="s">
        <v>743</v>
      </c>
      <c r="C1795" s="9">
        <v>10060571</v>
      </c>
      <c r="D1795" s="2" t="s">
        <v>2957</v>
      </c>
      <c r="E1795" s="10">
        <v>4</v>
      </c>
      <c r="F1795" s="9" t="s">
        <v>763</v>
      </c>
      <c r="G1795" s="11">
        <v>46238</v>
      </c>
      <c r="H1795" s="12">
        <v>16.32</v>
      </c>
      <c r="I1795" s="12">
        <v>14.52</v>
      </c>
      <c r="J1795" s="9" t="s">
        <v>3</v>
      </c>
      <c r="K1795" s="8">
        <v>0</v>
      </c>
    </row>
    <row r="1796" spans="1:11">
      <c r="A1796" s="2" t="s">
        <v>708</v>
      </c>
      <c r="B1796" s="2" t="s">
        <v>743</v>
      </c>
      <c r="C1796" s="9">
        <v>10060574</v>
      </c>
      <c r="D1796" s="2" t="s">
        <v>2958</v>
      </c>
      <c r="E1796" s="10">
        <v>4</v>
      </c>
      <c r="F1796" s="9" t="s">
        <v>759</v>
      </c>
      <c r="G1796" s="11">
        <v>46238</v>
      </c>
      <c r="H1796" s="12">
        <v>27.91</v>
      </c>
      <c r="I1796" s="12">
        <v>24.84</v>
      </c>
      <c r="J1796" s="9" t="s">
        <v>3</v>
      </c>
      <c r="K1796" s="8">
        <v>0</v>
      </c>
    </row>
    <row r="1797" spans="1:11">
      <c r="A1797" s="2" t="s">
        <v>708</v>
      </c>
      <c r="B1797" s="2" t="s">
        <v>743</v>
      </c>
      <c r="C1797" s="9">
        <v>10060577</v>
      </c>
      <c r="D1797" s="2" t="s">
        <v>2959</v>
      </c>
      <c r="E1797" s="10">
        <v>4</v>
      </c>
      <c r="F1797" s="9" t="s">
        <v>1681</v>
      </c>
      <c r="G1797" s="11">
        <v>46238</v>
      </c>
      <c r="H1797" s="12">
        <v>32.770000000000003</v>
      </c>
      <c r="I1797" s="12">
        <v>29.16</v>
      </c>
      <c r="J1797" s="9" t="s">
        <v>3</v>
      </c>
      <c r="K1797" s="8">
        <v>0</v>
      </c>
    </row>
    <row r="1798" spans="1:11">
      <c r="A1798" s="2" t="s">
        <v>708</v>
      </c>
      <c r="B1798" s="2" t="s">
        <v>743</v>
      </c>
      <c r="C1798" s="9">
        <v>10060579</v>
      </c>
      <c r="D1798" s="2" t="s">
        <v>2960</v>
      </c>
      <c r="E1798" s="10">
        <v>4</v>
      </c>
      <c r="F1798" s="9" t="s">
        <v>2935</v>
      </c>
      <c r="G1798" s="11">
        <v>46238</v>
      </c>
      <c r="H1798" s="12">
        <v>22.12</v>
      </c>
      <c r="I1798" s="12">
        <v>19.68</v>
      </c>
      <c r="J1798" s="9" t="s">
        <v>3</v>
      </c>
      <c r="K1798" s="8">
        <v>0</v>
      </c>
    </row>
    <row r="1799" spans="1:11">
      <c r="A1799" s="2" t="s">
        <v>708</v>
      </c>
      <c r="B1799" s="2" t="s">
        <v>743</v>
      </c>
      <c r="C1799" s="9">
        <v>10060582</v>
      </c>
      <c r="D1799" s="2" t="s">
        <v>2961</v>
      </c>
      <c r="E1799" s="10">
        <v>4</v>
      </c>
      <c r="F1799" s="9" t="s">
        <v>2138</v>
      </c>
      <c r="G1799" s="11">
        <v>46238</v>
      </c>
      <c r="H1799" s="12">
        <v>21</v>
      </c>
      <c r="I1799" s="12">
        <v>18.690000000000001</v>
      </c>
      <c r="J1799" s="9" t="s">
        <v>3</v>
      </c>
      <c r="K1799" s="8">
        <v>0</v>
      </c>
    </row>
    <row r="1800" spans="1:11">
      <c r="A1800" s="2" t="s">
        <v>708</v>
      </c>
      <c r="B1800" s="2" t="s">
        <v>743</v>
      </c>
      <c r="C1800" s="9">
        <v>10060583</v>
      </c>
      <c r="D1800" s="2" t="s">
        <v>2962</v>
      </c>
      <c r="E1800" s="10">
        <v>4</v>
      </c>
      <c r="F1800" s="9" t="s">
        <v>2138</v>
      </c>
      <c r="G1800" s="11">
        <v>46238</v>
      </c>
      <c r="H1800" s="12">
        <v>22.55</v>
      </c>
      <c r="I1800" s="12">
        <v>20.079999999999998</v>
      </c>
      <c r="J1800" s="9" t="s">
        <v>3</v>
      </c>
      <c r="K1800" s="8">
        <v>0</v>
      </c>
    </row>
    <row r="1801" spans="1:11">
      <c r="A1801" s="2" t="s">
        <v>708</v>
      </c>
      <c r="B1801" s="2" t="s">
        <v>743</v>
      </c>
      <c r="C1801" s="9">
        <v>10060590</v>
      </c>
      <c r="D1801" s="2" t="s">
        <v>2963</v>
      </c>
      <c r="E1801" s="10">
        <v>12</v>
      </c>
      <c r="F1801" s="9" t="s">
        <v>1689</v>
      </c>
      <c r="G1801" s="11">
        <v>46238</v>
      </c>
      <c r="H1801" s="12">
        <v>22.59</v>
      </c>
      <c r="I1801" s="12">
        <v>20.13</v>
      </c>
      <c r="J1801" s="9" t="s">
        <v>3</v>
      </c>
      <c r="K1801" s="8">
        <v>0</v>
      </c>
    </row>
    <row r="1802" spans="1:11">
      <c r="A1802" s="2" t="s">
        <v>708</v>
      </c>
      <c r="B1802" s="2" t="s">
        <v>743</v>
      </c>
      <c r="C1802" s="9">
        <v>10060591</v>
      </c>
      <c r="D1802" s="2" t="s">
        <v>2964</v>
      </c>
      <c r="E1802" s="10">
        <v>12</v>
      </c>
      <c r="F1802" s="9" t="s">
        <v>1689</v>
      </c>
      <c r="G1802" s="11">
        <v>46238</v>
      </c>
      <c r="H1802" s="12">
        <v>22.59</v>
      </c>
      <c r="I1802" s="12">
        <v>20.13</v>
      </c>
      <c r="J1802" s="9" t="s">
        <v>3</v>
      </c>
      <c r="K1802" s="8">
        <v>0</v>
      </c>
    </row>
    <row r="1803" spans="1:11">
      <c r="A1803" s="2" t="s">
        <v>708</v>
      </c>
      <c r="B1803" s="2" t="s">
        <v>743</v>
      </c>
      <c r="C1803" s="9">
        <v>10060593</v>
      </c>
      <c r="D1803" s="2" t="s">
        <v>2965</v>
      </c>
      <c r="E1803" s="10">
        <v>6</v>
      </c>
      <c r="F1803" s="9" t="s">
        <v>2966</v>
      </c>
      <c r="G1803" s="11">
        <v>46238</v>
      </c>
      <c r="H1803" s="12">
        <v>41.17</v>
      </c>
      <c r="I1803" s="12">
        <v>36.619999999999997</v>
      </c>
      <c r="J1803" s="9" t="s">
        <v>3</v>
      </c>
      <c r="K1803" s="8">
        <v>0</v>
      </c>
    </row>
    <row r="1804" spans="1:11">
      <c r="A1804" s="2" t="s">
        <v>708</v>
      </c>
      <c r="B1804" s="2" t="s">
        <v>743</v>
      </c>
      <c r="C1804" s="9">
        <v>10060594</v>
      </c>
      <c r="D1804" s="2" t="s">
        <v>2967</v>
      </c>
      <c r="E1804" s="10">
        <v>6</v>
      </c>
      <c r="F1804" s="9" t="s">
        <v>2966</v>
      </c>
      <c r="G1804" s="11">
        <v>46238</v>
      </c>
      <c r="H1804" s="12">
        <v>41.17</v>
      </c>
      <c r="I1804" s="12">
        <v>36.619999999999997</v>
      </c>
      <c r="J1804" s="9" t="s">
        <v>3</v>
      </c>
      <c r="K1804" s="8">
        <v>0</v>
      </c>
    </row>
    <row r="1805" spans="1:11">
      <c r="A1805" s="2" t="s">
        <v>708</v>
      </c>
      <c r="B1805" s="2" t="s">
        <v>743</v>
      </c>
      <c r="C1805" s="9">
        <v>10060595</v>
      </c>
      <c r="D1805" s="2" t="s">
        <v>2968</v>
      </c>
      <c r="E1805" s="10">
        <v>6</v>
      </c>
      <c r="F1805" s="9" t="s">
        <v>2966</v>
      </c>
      <c r="G1805" s="11">
        <v>46238</v>
      </c>
      <c r="H1805" s="12">
        <v>41.17</v>
      </c>
      <c r="I1805" s="12">
        <v>36.619999999999997</v>
      </c>
      <c r="J1805" s="9" t="s">
        <v>3</v>
      </c>
      <c r="K1805" s="8">
        <v>0</v>
      </c>
    </row>
    <row r="1806" spans="1:11">
      <c r="A1806" s="2" t="s">
        <v>708</v>
      </c>
      <c r="B1806" s="2" t="s">
        <v>743</v>
      </c>
      <c r="C1806" s="9">
        <v>10060596</v>
      </c>
      <c r="D1806" s="2" t="s">
        <v>2969</v>
      </c>
      <c r="E1806" s="10">
        <v>4</v>
      </c>
      <c r="F1806" s="9" t="s">
        <v>781</v>
      </c>
      <c r="G1806" s="11">
        <v>46238</v>
      </c>
      <c r="H1806" s="12">
        <v>22.9</v>
      </c>
      <c r="I1806" s="12">
        <v>20.39</v>
      </c>
      <c r="J1806" s="9" t="s">
        <v>3</v>
      </c>
      <c r="K1806" s="8">
        <v>0</v>
      </c>
    </row>
    <row r="1807" spans="1:11">
      <c r="A1807" s="2" t="s">
        <v>708</v>
      </c>
      <c r="B1807" s="2" t="s">
        <v>743</v>
      </c>
      <c r="C1807" s="9">
        <v>10060597</v>
      </c>
      <c r="D1807" s="2" t="s">
        <v>2970</v>
      </c>
      <c r="E1807" s="10">
        <v>4</v>
      </c>
      <c r="F1807" s="9" t="s">
        <v>781</v>
      </c>
      <c r="G1807" s="11">
        <v>46238</v>
      </c>
      <c r="H1807" s="12">
        <v>22.9</v>
      </c>
      <c r="I1807" s="12">
        <v>20.39</v>
      </c>
      <c r="J1807" s="9" t="s">
        <v>3</v>
      </c>
      <c r="K1807" s="8">
        <v>0</v>
      </c>
    </row>
    <row r="1808" spans="1:11">
      <c r="A1808" s="2" t="s">
        <v>1120</v>
      </c>
      <c r="B1808" s="2" t="s">
        <v>2971</v>
      </c>
      <c r="C1808" s="9">
        <v>10060703</v>
      </c>
      <c r="D1808" s="2" t="s">
        <v>2972</v>
      </c>
      <c r="E1808" s="10">
        <v>12</v>
      </c>
      <c r="F1808" s="9" t="s">
        <v>2973</v>
      </c>
      <c r="G1808" s="11">
        <v>46238</v>
      </c>
      <c r="H1808" s="12">
        <v>31.96</v>
      </c>
      <c r="I1808" s="12">
        <v>28.44</v>
      </c>
      <c r="J1808" s="9" t="s">
        <v>3</v>
      </c>
      <c r="K1808" s="8">
        <v>0</v>
      </c>
    </row>
    <row r="1809" spans="1:11">
      <c r="A1809" s="2" t="s">
        <v>1120</v>
      </c>
      <c r="B1809" s="2" t="s">
        <v>2974</v>
      </c>
      <c r="C1809" s="9">
        <v>10060707</v>
      </c>
      <c r="D1809" s="2" t="s">
        <v>2975</v>
      </c>
      <c r="E1809" s="10">
        <v>12</v>
      </c>
      <c r="F1809" s="9" t="s">
        <v>1185</v>
      </c>
      <c r="G1809" s="11">
        <v>46238</v>
      </c>
      <c r="H1809" s="12">
        <v>134.28</v>
      </c>
      <c r="I1809" s="12">
        <v>128.16</v>
      </c>
      <c r="J1809" s="9" t="s">
        <v>3</v>
      </c>
      <c r="K1809" s="8">
        <v>0</v>
      </c>
    </row>
    <row r="1810" spans="1:11">
      <c r="A1810" s="2" t="s">
        <v>834</v>
      </c>
      <c r="B1810" s="2" t="s">
        <v>2976</v>
      </c>
      <c r="C1810" s="9">
        <v>10060740</v>
      </c>
      <c r="D1810" s="2" t="s">
        <v>2977</v>
      </c>
      <c r="E1810" s="10">
        <v>1</v>
      </c>
      <c r="F1810" s="9" t="s">
        <v>2978</v>
      </c>
      <c r="G1810" s="11">
        <v>46238</v>
      </c>
      <c r="H1810" s="12">
        <v>19.829999999999998</v>
      </c>
      <c r="I1810" s="12">
        <v>18.239999999999998</v>
      </c>
      <c r="J1810" s="9" t="s">
        <v>3</v>
      </c>
      <c r="K1810" s="8">
        <v>1</v>
      </c>
    </row>
    <row r="1811" spans="1:11">
      <c r="A1811" s="2" t="s">
        <v>834</v>
      </c>
      <c r="B1811" s="2" t="s">
        <v>2976</v>
      </c>
      <c r="C1811" s="9">
        <v>10060741</v>
      </c>
      <c r="D1811" s="2" t="s">
        <v>2979</v>
      </c>
      <c r="E1811" s="10">
        <v>2</v>
      </c>
      <c r="F1811" s="9" t="s">
        <v>1377</v>
      </c>
      <c r="G1811" s="11">
        <v>46238</v>
      </c>
      <c r="H1811" s="12">
        <v>21.14</v>
      </c>
      <c r="I1811" s="12">
        <v>19.440000000000001</v>
      </c>
      <c r="J1811" s="9" t="s">
        <v>3</v>
      </c>
      <c r="K1811" s="8">
        <v>1</v>
      </c>
    </row>
    <row r="1812" spans="1:11">
      <c r="A1812" s="2" t="s">
        <v>834</v>
      </c>
      <c r="B1812" s="2" t="s">
        <v>2976</v>
      </c>
      <c r="C1812" s="9">
        <v>10060742</v>
      </c>
      <c r="D1812" s="2" t="s">
        <v>2980</v>
      </c>
      <c r="E1812" s="10">
        <v>7</v>
      </c>
      <c r="F1812" s="9" t="s">
        <v>991</v>
      </c>
      <c r="G1812" s="11">
        <v>46238</v>
      </c>
      <c r="H1812" s="12">
        <v>21.64</v>
      </c>
      <c r="I1812" s="12">
        <v>19.86</v>
      </c>
      <c r="J1812" s="9" t="s">
        <v>3</v>
      </c>
      <c r="K1812" s="8">
        <v>1</v>
      </c>
    </row>
    <row r="1813" spans="1:11">
      <c r="A1813" s="2" t="s">
        <v>834</v>
      </c>
      <c r="B1813" s="2" t="s">
        <v>2976</v>
      </c>
      <c r="C1813" s="9">
        <v>10060743</v>
      </c>
      <c r="D1813" s="2" t="s">
        <v>2981</v>
      </c>
      <c r="E1813" s="10">
        <v>15</v>
      </c>
      <c r="F1813" s="9" t="s">
        <v>2982</v>
      </c>
      <c r="G1813" s="11">
        <v>46238</v>
      </c>
      <c r="H1813" s="12">
        <v>68.97</v>
      </c>
      <c r="I1813" s="12">
        <v>63.45</v>
      </c>
      <c r="J1813" s="9" t="s">
        <v>3</v>
      </c>
      <c r="K1813" s="8">
        <v>0</v>
      </c>
    </row>
    <row r="1814" spans="1:11">
      <c r="A1814" s="2" t="s">
        <v>834</v>
      </c>
      <c r="B1814" s="2" t="s">
        <v>2976</v>
      </c>
      <c r="C1814" s="9">
        <v>10060745</v>
      </c>
      <c r="D1814" s="2" t="s">
        <v>2983</v>
      </c>
      <c r="E1814" s="10">
        <v>2</v>
      </c>
      <c r="F1814" s="9" t="s">
        <v>1377</v>
      </c>
      <c r="G1814" s="11">
        <v>46238</v>
      </c>
      <c r="H1814" s="12">
        <v>21.74</v>
      </c>
      <c r="I1814" s="12">
        <v>20</v>
      </c>
      <c r="J1814" s="9" t="s">
        <v>3</v>
      </c>
      <c r="K1814" s="8">
        <v>1</v>
      </c>
    </row>
    <row r="1815" spans="1:11">
      <c r="A1815" s="2" t="s">
        <v>834</v>
      </c>
      <c r="B1815" s="2" t="s">
        <v>2976</v>
      </c>
      <c r="C1815" s="9">
        <v>10060746</v>
      </c>
      <c r="D1815" s="2" t="s">
        <v>2984</v>
      </c>
      <c r="E1815" s="10">
        <v>2</v>
      </c>
      <c r="F1815" s="9" t="s">
        <v>2985</v>
      </c>
      <c r="G1815" s="11">
        <v>46238</v>
      </c>
      <c r="H1815" s="12">
        <v>21.2</v>
      </c>
      <c r="I1815" s="12">
        <v>19.5</v>
      </c>
      <c r="J1815" s="9" t="s">
        <v>3</v>
      </c>
      <c r="K1815" s="8">
        <v>1</v>
      </c>
    </row>
    <row r="1816" spans="1:11">
      <c r="A1816" s="2" t="s">
        <v>834</v>
      </c>
      <c r="B1816" s="2" t="s">
        <v>2976</v>
      </c>
      <c r="C1816" s="9">
        <v>10060748</v>
      </c>
      <c r="D1816" s="2" t="s">
        <v>2986</v>
      </c>
      <c r="E1816" s="10">
        <v>1</v>
      </c>
      <c r="F1816" s="9" t="s">
        <v>2987</v>
      </c>
      <c r="G1816" s="11">
        <v>46238</v>
      </c>
      <c r="H1816" s="12">
        <v>20.28</v>
      </c>
      <c r="I1816" s="12">
        <v>18.66</v>
      </c>
      <c r="J1816" s="9" t="s">
        <v>3</v>
      </c>
      <c r="K1816" s="8">
        <v>1</v>
      </c>
    </row>
    <row r="1817" spans="1:11">
      <c r="A1817" s="2" t="s">
        <v>906</v>
      </c>
      <c r="B1817" s="2" t="s">
        <v>2988</v>
      </c>
      <c r="C1817" s="9">
        <v>10061005</v>
      </c>
      <c r="D1817" s="2" t="s">
        <v>2989</v>
      </c>
      <c r="E1817" s="10">
        <v>10</v>
      </c>
      <c r="F1817" s="9" t="s">
        <v>2990</v>
      </c>
      <c r="G1817" s="11">
        <v>46238</v>
      </c>
      <c r="H1817" s="12">
        <v>44.9</v>
      </c>
      <c r="I1817" s="12">
        <v>41.3</v>
      </c>
      <c r="J1817" s="9" t="s">
        <v>3</v>
      </c>
      <c r="K1817" s="8">
        <v>0</v>
      </c>
    </row>
    <row r="1818" spans="1:11">
      <c r="A1818" s="2" t="s">
        <v>906</v>
      </c>
      <c r="B1818" s="2" t="s">
        <v>2991</v>
      </c>
      <c r="C1818" s="9">
        <v>10061007</v>
      </c>
      <c r="D1818" s="2" t="s">
        <v>2992</v>
      </c>
      <c r="E1818" s="10">
        <v>6</v>
      </c>
      <c r="F1818" s="9" t="s">
        <v>982</v>
      </c>
      <c r="G1818" s="11">
        <v>46238</v>
      </c>
      <c r="H1818" s="12">
        <v>35.54</v>
      </c>
      <c r="I1818" s="12">
        <v>32.700000000000003</v>
      </c>
      <c r="J1818" s="9" t="s">
        <v>3</v>
      </c>
      <c r="K1818" s="8">
        <v>0</v>
      </c>
    </row>
    <row r="1819" spans="1:11">
      <c r="A1819" s="2" t="s">
        <v>906</v>
      </c>
      <c r="B1819" s="2" t="s">
        <v>2991</v>
      </c>
      <c r="C1819" s="9">
        <v>10061008</v>
      </c>
      <c r="D1819" s="2" t="s">
        <v>2993</v>
      </c>
      <c r="E1819" s="10">
        <v>6</v>
      </c>
      <c r="F1819" s="9" t="s">
        <v>982</v>
      </c>
      <c r="G1819" s="11">
        <v>46238</v>
      </c>
      <c r="H1819" s="12">
        <v>35.54</v>
      </c>
      <c r="I1819" s="12">
        <v>32.700000000000003</v>
      </c>
      <c r="J1819" s="9" t="s">
        <v>3</v>
      </c>
      <c r="K1819" s="8">
        <v>0</v>
      </c>
    </row>
    <row r="1820" spans="1:11">
      <c r="A1820" s="2" t="s">
        <v>906</v>
      </c>
      <c r="B1820" s="2" t="s">
        <v>2991</v>
      </c>
      <c r="C1820" s="9">
        <v>10061009</v>
      </c>
      <c r="D1820" s="2" t="s">
        <v>2994</v>
      </c>
      <c r="E1820" s="10">
        <v>6</v>
      </c>
      <c r="F1820" s="9" t="s">
        <v>982</v>
      </c>
      <c r="G1820" s="11">
        <v>46238</v>
      </c>
      <c r="H1820" s="12">
        <v>35.54</v>
      </c>
      <c r="I1820" s="12">
        <v>32.700000000000003</v>
      </c>
      <c r="J1820" s="9" t="s">
        <v>3</v>
      </c>
      <c r="K1820" s="8">
        <v>0</v>
      </c>
    </row>
    <row r="1821" spans="1:11">
      <c r="A1821" s="2" t="s">
        <v>906</v>
      </c>
      <c r="B1821" s="2" t="s">
        <v>2991</v>
      </c>
      <c r="C1821" s="9">
        <v>10061010</v>
      </c>
      <c r="D1821" s="2" t="s">
        <v>2995</v>
      </c>
      <c r="E1821" s="10">
        <v>12</v>
      </c>
      <c r="F1821" s="9" t="s">
        <v>982</v>
      </c>
      <c r="G1821" s="11">
        <v>46238</v>
      </c>
      <c r="H1821" s="12">
        <v>71.09</v>
      </c>
      <c r="I1821" s="12">
        <v>65.400000000000006</v>
      </c>
      <c r="J1821" s="9" t="s">
        <v>3</v>
      </c>
      <c r="K1821" s="8">
        <v>0</v>
      </c>
    </row>
    <row r="1822" spans="1:11">
      <c r="A1822" s="2" t="s">
        <v>906</v>
      </c>
      <c r="B1822" s="2" t="s">
        <v>2991</v>
      </c>
      <c r="C1822" s="9">
        <v>10061013</v>
      </c>
      <c r="D1822" s="2" t="s">
        <v>2996</v>
      </c>
      <c r="E1822" s="10">
        <v>6</v>
      </c>
      <c r="F1822" s="9" t="s">
        <v>982</v>
      </c>
      <c r="G1822" s="11">
        <v>46238</v>
      </c>
      <c r="H1822" s="12">
        <v>35.54</v>
      </c>
      <c r="I1822" s="12">
        <v>32.700000000000003</v>
      </c>
      <c r="J1822" s="9" t="s">
        <v>3</v>
      </c>
      <c r="K1822" s="8">
        <v>0</v>
      </c>
    </row>
    <row r="1823" spans="1:11">
      <c r="A1823" s="2" t="s">
        <v>906</v>
      </c>
      <c r="B1823" s="2" t="s">
        <v>2997</v>
      </c>
      <c r="C1823" s="9">
        <v>10061015</v>
      </c>
      <c r="D1823" s="2" t="s">
        <v>2998</v>
      </c>
      <c r="E1823" s="10">
        <v>18</v>
      </c>
      <c r="F1823" s="9" t="s">
        <v>917</v>
      </c>
      <c r="G1823" s="11">
        <v>46238</v>
      </c>
      <c r="H1823" s="12">
        <v>84.52</v>
      </c>
      <c r="I1823" s="12">
        <v>77.760000000000005</v>
      </c>
      <c r="J1823" s="9" t="s">
        <v>3</v>
      </c>
      <c r="K1823" s="8">
        <v>0</v>
      </c>
    </row>
    <row r="1824" spans="1:11">
      <c r="A1824" s="2" t="s">
        <v>906</v>
      </c>
      <c r="B1824" s="2" t="s">
        <v>2997</v>
      </c>
      <c r="C1824" s="9">
        <v>10061017</v>
      </c>
      <c r="D1824" s="2" t="s">
        <v>2999</v>
      </c>
      <c r="E1824" s="10">
        <v>18</v>
      </c>
      <c r="F1824" s="9" t="s">
        <v>917</v>
      </c>
      <c r="G1824" s="11">
        <v>46238</v>
      </c>
      <c r="H1824" s="12">
        <v>84.52</v>
      </c>
      <c r="I1824" s="12">
        <v>77.760000000000005</v>
      </c>
      <c r="J1824" s="9" t="s">
        <v>3</v>
      </c>
      <c r="K1824" s="8">
        <v>0</v>
      </c>
    </row>
    <row r="1825" spans="1:11">
      <c r="A1825" s="2" t="s">
        <v>906</v>
      </c>
      <c r="B1825" s="2" t="s">
        <v>2997</v>
      </c>
      <c r="C1825" s="9">
        <v>10061022</v>
      </c>
      <c r="D1825" s="2" t="s">
        <v>3000</v>
      </c>
      <c r="E1825" s="10">
        <v>20</v>
      </c>
      <c r="F1825" s="9" t="s">
        <v>1691</v>
      </c>
      <c r="G1825" s="11">
        <v>46238</v>
      </c>
      <c r="H1825" s="12">
        <v>35.22</v>
      </c>
      <c r="I1825" s="12">
        <v>32.4</v>
      </c>
      <c r="J1825" s="9" t="s">
        <v>3</v>
      </c>
      <c r="K1825" s="8">
        <v>0</v>
      </c>
    </row>
    <row r="1826" spans="1:11">
      <c r="A1826" s="2" t="s">
        <v>906</v>
      </c>
      <c r="B1826" s="2" t="s">
        <v>2997</v>
      </c>
      <c r="C1826" s="9">
        <v>10061023</v>
      </c>
      <c r="D1826" s="2" t="s">
        <v>3001</v>
      </c>
      <c r="E1826" s="10">
        <v>96</v>
      </c>
      <c r="F1826" s="9" t="s">
        <v>738</v>
      </c>
      <c r="G1826" s="11">
        <v>46238</v>
      </c>
      <c r="H1826" s="12">
        <v>72</v>
      </c>
      <c r="I1826" s="12">
        <v>66.239999999999995</v>
      </c>
      <c r="J1826" s="9" t="s">
        <v>3</v>
      </c>
      <c r="K1826" s="8">
        <v>0</v>
      </c>
    </row>
    <row r="1827" spans="1:11">
      <c r="A1827" s="2" t="s">
        <v>906</v>
      </c>
      <c r="B1827" s="2" t="s">
        <v>2997</v>
      </c>
      <c r="C1827" s="9">
        <v>10061024</v>
      </c>
      <c r="D1827" s="2" t="s">
        <v>3002</v>
      </c>
      <c r="E1827" s="10">
        <v>18</v>
      </c>
      <c r="F1827" s="9" t="s">
        <v>917</v>
      </c>
      <c r="G1827" s="11">
        <v>46238</v>
      </c>
      <c r="H1827" s="12">
        <v>86.28</v>
      </c>
      <c r="I1827" s="12">
        <v>79.38</v>
      </c>
      <c r="J1827" s="9" t="s">
        <v>3</v>
      </c>
      <c r="K1827" s="8">
        <v>0</v>
      </c>
    </row>
    <row r="1828" spans="1:11">
      <c r="A1828" s="2" t="s">
        <v>906</v>
      </c>
      <c r="B1828" s="2" t="s">
        <v>2997</v>
      </c>
      <c r="C1828" s="9">
        <v>10061025</v>
      </c>
      <c r="D1828" s="2" t="s">
        <v>3003</v>
      </c>
      <c r="E1828" s="10">
        <v>12</v>
      </c>
      <c r="F1828" s="9" t="s">
        <v>1263</v>
      </c>
      <c r="G1828" s="11">
        <v>46238</v>
      </c>
      <c r="H1828" s="12">
        <v>111.65</v>
      </c>
      <c r="I1828" s="12">
        <v>102.72</v>
      </c>
      <c r="J1828" s="9" t="s">
        <v>3</v>
      </c>
      <c r="K1828" s="8">
        <v>0</v>
      </c>
    </row>
    <row r="1829" spans="1:11">
      <c r="A1829" s="2" t="s">
        <v>906</v>
      </c>
      <c r="B1829" s="2" t="s">
        <v>2997</v>
      </c>
      <c r="C1829" s="9">
        <v>10061027</v>
      </c>
      <c r="D1829" s="2" t="s">
        <v>3004</v>
      </c>
      <c r="E1829" s="10">
        <v>18</v>
      </c>
      <c r="F1829" s="9" t="s">
        <v>917</v>
      </c>
      <c r="G1829" s="11">
        <v>46238</v>
      </c>
      <c r="H1829" s="12">
        <v>84.52</v>
      </c>
      <c r="I1829" s="12">
        <v>77.760000000000005</v>
      </c>
      <c r="J1829" s="9" t="s">
        <v>3</v>
      </c>
      <c r="K1829" s="8">
        <v>0</v>
      </c>
    </row>
    <row r="1830" spans="1:11">
      <c r="A1830" s="2" t="s">
        <v>906</v>
      </c>
      <c r="B1830" s="2" t="s">
        <v>3005</v>
      </c>
      <c r="C1830" s="9">
        <v>10061031</v>
      </c>
      <c r="D1830" s="2" t="s">
        <v>3006</v>
      </c>
      <c r="E1830" s="10">
        <v>18</v>
      </c>
      <c r="F1830" s="9" t="s">
        <v>3007</v>
      </c>
      <c r="G1830" s="11">
        <v>46238</v>
      </c>
      <c r="H1830" s="12">
        <v>67.14</v>
      </c>
      <c r="I1830" s="12">
        <v>61.74</v>
      </c>
      <c r="J1830" s="9" t="s">
        <v>3</v>
      </c>
      <c r="K1830" s="8">
        <v>0</v>
      </c>
    </row>
    <row r="1831" spans="1:11">
      <c r="A1831" s="2" t="s">
        <v>906</v>
      </c>
      <c r="B1831" s="2" t="s">
        <v>3005</v>
      </c>
      <c r="C1831" s="9">
        <v>10061033</v>
      </c>
      <c r="D1831" s="2" t="s">
        <v>3008</v>
      </c>
      <c r="E1831" s="10">
        <v>18</v>
      </c>
      <c r="F1831" s="9" t="s">
        <v>3007</v>
      </c>
      <c r="G1831" s="11">
        <v>46238</v>
      </c>
      <c r="H1831" s="12">
        <v>67.14</v>
      </c>
      <c r="I1831" s="12">
        <v>61.74</v>
      </c>
      <c r="J1831" s="9" t="s">
        <v>3</v>
      </c>
      <c r="K1831" s="8">
        <v>0</v>
      </c>
    </row>
    <row r="1832" spans="1:11">
      <c r="A1832" s="2" t="s">
        <v>906</v>
      </c>
      <c r="B1832" s="2" t="s">
        <v>3005</v>
      </c>
      <c r="C1832" s="9">
        <v>10061034</v>
      </c>
      <c r="D1832" s="2" t="s">
        <v>3009</v>
      </c>
      <c r="E1832" s="10">
        <v>18</v>
      </c>
      <c r="F1832" s="9" t="s">
        <v>3007</v>
      </c>
      <c r="G1832" s="11">
        <v>46238</v>
      </c>
      <c r="H1832" s="12">
        <v>67.14</v>
      </c>
      <c r="I1832" s="12">
        <v>61.74</v>
      </c>
      <c r="J1832" s="9" t="s">
        <v>3</v>
      </c>
      <c r="K1832" s="8">
        <v>0</v>
      </c>
    </row>
    <row r="1833" spans="1:11">
      <c r="A1833" s="2" t="s">
        <v>906</v>
      </c>
      <c r="B1833" s="2" t="s">
        <v>3005</v>
      </c>
      <c r="C1833" s="9">
        <v>10061035</v>
      </c>
      <c r="D1833" s="2" t="s">
        <v>3010</v>
      </c>
      <c r="E1833" s="10">
        <v>12</v>
      </c>
      <c r="F1833" s="9" t="s">
        <v>1762</v>
      </c>
      <c r="G1833" s="11">
        <v>46238</v>
      </c>
      <c r="H1833" s="12">
        <v>81</v>
      </c>
      <c r="I1833" s="12">
        <v>74.52</v>
      </c>
      <c r="J1833" s="9" t="s">
        <v>3</v>
      </c>
      <c r="K1833" s="8">
        <v>0</v>
      </c>
    </row>
    <row r="1834" spans="1:11">
      <c r="A1834" s="2" t="s">
        <v>906</v>
      </c>
      <c r="B1834" s="2" t="s">
        <v>3005</v>
      </c>
      <c r="C1834" s="9">
        <v>10061036</v>
      </c>
      <c r="D1834" s="2" t="s">
        <v>3011</v>
      </c>
      <c r="E1834" s="10">
        <v>12</v>
      </c>
      <c r="F1834" s="9" t="s">
        <v>1367</v>
      </c>
      <c r="G1834" s="11">
        <v>46238</v>
      </c>
      <c r="H1834" s="12">
        <v>113.09</v>
      </c>
      <c r="I1834" s="12">
        <v>104.04</v>
      </c>
      <c r="J1834" s="9" t="s">
        <v>3</v>
      </c>
      <c r="K1834" s="8">
        <v>0</v>
      </c>
    </row>
    <row r="1835" spans="1:11">
      <c r="A1835" s="2" t="s">
        <v>906</v>
      </c>
      <c r="B1835" s="2" t="s">
        <v>3005</v>
      </c>
      <c r="C1835" s="9">
        <v>10061037</v>
      </c>
      <c r="D1835" s="2" t="s">
        <v>3012</v>
      </c>
      <c r="E1835" s="10">
        <v>18</v>
      </c>
      <c r="F1835" s="9" t="s">
        <v>3007</v>
      </c>
      <c r="G1835" s="11">
        <v>46238</v>
      </c>
      <c r="H1835" s="12">
        <v>67.14</v>
      </c>
      <c r="I1835" s="12">
        <v>61.74</v>
      </c>
      <c r="J1835" s="9" t="s">
        <v>3</v>
      </c>
      <c r="K1835" s="8">
        <v>0</v>
      </c>
    </row>
    <row r="1836" spans="1:11">
      <c r="A1836" s="2" t="s">
        <v>906</v>
      </c>
      <c r="B1836" s="2" t="s">
        <v>3005</v>
      </c>
      <c r="C1836" s="9">
        <v>10061038</v>
      </c>
      <c r="D1836" s="2" t="s">
        <v>3013</v>
      </c>
      <c r="E1836" s="10">
        <v>12</v>
      </c>
      <c r="F1836" s="9" t="s">
        <v>1762</v>
      </c>
      <c r="G1836" s="11">
        <v>46238</v>
      </c>
      <c r="H1836" s="12">
        <v>81</v>
      </c>
      <c r="I1836" s="12">
        <v>74.52</v>
      </c>
      <c r="J1836" s="9" t="s">
        <v>3</v>
      </c>
      <c r="K1836" s="8">
        <v>0</v>
      </c>
    </row>
    <row r="1837" spans="1:11">
      <c r="A1837" s="2" t="s">
        <v>906</v>
      </c>
      <c r="B1837" s="2" t="s">
        <v>3005</v>
      </c>
      <c r="C1837" s="9">
        <v>10061039</v>
      </c>
      <c r="D1837" s="2" t="s">
        <v>3014</v>
      </c>
      <c r="E1837" s="10">
        <v>12</v>
      </c>
      <c r="F1837" s="9" t="s">
        <v>1367</v>
      </c>
      <c r="G1837" s="11">
        <v>46238</v>
      </c>
      <c r="H1837" s="12">
        <v>113.09</v>
      </c>
      <c r="I1837" s="12">
        <v>104.04</v>
      </c>
      <c r="J1837" s="9" t="s">
        <v>3</v>
      </c>
      <c r="K1837" s="8">
        <v>0</v>
      </c>
    </row>
    <row r="1838" spans="1:11">
      <c r="A1838" s="2" t="s">
        <v>906</v>
      </c>
      <c r="B1838" s="2" t="s">
        <v>3005</v>
      </c>
      <c r="C1838" s="9">
        <v>10061040</v>
      </c>
      <c r="D1838" s="2" t="s">
        <v>3015</v>
      </c>
      <c r="E1838" s="10">
        <v>18</v>
      </c>
      <c r="F1838" s="9" t="s">
        <v>3007</v>
      </c>
      <c r="G1838" s="11">
        <v>46238</v>
      </c>
      <c r="H1838" s="12">
        <v>67.14</v>
      </c>
      <c r="I1838" s="12">
        <v>61.74</v>
      </c>
      <c r="J1838" s="9" t="s">
        <v>3</v>
      </c>
      <c r="K1838" s="8">
        <v>0</v>
      </c>
    </row>
    <row r="1839" spans="1:11">
      <c r="A1839" s="2" t="s">
        <v>906</v>
      </c>
      <c r="B1839" s="2" t="s">
        <v>2991</v>
      </c>
      <c r="C1839" s="9">
        <v>10061042</v>
      </c>
      <c r="D1839" s="2" t="s">
        <v>3016</v>
      </c>
      <c r="E1839" s="10">
        <v>6</v>
      </c>
      <c r="F1839" s="9" t="s">
        <v>982</v>
      </c>
      <c r="G1839" s="11">
        <v>46238</v>
      </c>
      <c r="H1839" s="12">
        <v>35.54</v>
      </c>
      <c r="I1839" s="12">
        <v>32.700000000000003</v>
      </c>
      <c r="J1839" s="9" t="s">
        <v>3</v>
      </c>
      <c r="K1839" s="8">
        <v>0</v>
      </c>
    </row>
    <row r="1840" spans="1:11">
      <c r="A1840" s="2" t="s">
        <v>906</v>
      </c>
      <c r="B1840" s="2" t="s">
        <v>3005</v>
      </c>
      <c r="C1840" s="9">
        <v>10061060</v>
      </c>
      <c r="D1840" s="2" t="s">
        <v>3017</v>
      </c>
      <c r="E1840" s="10">
        <v>20</v>
      </c>
      <c r="F1840" s="9" t="s">
        <v>2817</v>
      </c>
      <c r="G1840" s="11">
        <v>46238</v>
      </c>
      <c r="H1840" s="12">
        <v>21.4</v>
      </c>
      <c r="I1840" s="12">
        <v>19.600000000000001</v>
      </c>
      <c r="J1840" s="9" t="s">
        <v>3</v>
      </c>
      <c r="K1840" s="8">
        <v>0</v>
      </c>
    </row>
    <row r="1841" spans="1:11">
      <c r="A1841" s="2" t="s">
        <v>906</v>
      </c>
      <c r="B1841" s="2" t="s">
        <v>3005</v>
      </c>
      <c r="C1841" s="9">
        <v>10061062</v>
      </c>
      <c r="D1841" s="2" t="s">
        <v>3018</v>
      </c>
      <c r="E1841" s="10">
        <v>12</v>
      </c>
      <c r="F1841" s="9" t="s">
        <v>1392</v>
      </c>
      <c r="G1841" s="11">
        <v>46238</v>
      </c>
      <c r="H1841" s="12">
        <v>46.92</v>
      </c>
      <c r="I1841" s="12">
        <v>43.2</v>
      </c>
      <c r="J1841" s="9" t="s">
        <v>3</v>
      </c>
      <c r="K1841" s="8">
        <v>0</v>
      </c>
    </row>
    <row r="1842" spans="1:11">
      <c r="A1842" s="2" t="s">
        <v>906</v>
      </c>
      <c r="B1842" s="2" t="s">
        <v>2991</v>
      </c>
      <c r="C1842" s="9">
        <v>10061068</v>
      </c>
      <c r="D1842" s="2" t="s">
        <v>3019</v>
      </c>
      <c r="E1842" s="10">
        <v>6</v>
      </c>
      <c r="F1842" s="9" t="s">
        <v>982</v>
      </c>
      <c r="G1842" s="11">
        <v>46238</v>
      </c>
      <c r="H1842" s="12">
        <v>35.54</v>
      </c>
      <c r="I1842" s="12">
        <v>32.700000000000003</v>
      </c>
      <c r="J1842" s="9" t="s">
        <v>3</v>
      </c>
      <c r="K1842" s="8">
        <v>0</v>
      </c>
    </row>
    <row r="1843" spans="1:11">
      <c r="A1843" s="2" t="s">
        <v>906</v>
      </c>
      <c r="B1843" s="2" t="s">
        <v>2991</v>
      </c>
      <c r="C1843" s="9">
        <v>10061081</v>
      </c>
      <c r="D1843" s="2" t="s">
        <v>3020</v>
      </c>
      <c r="E1843" s="10">
        <v>8</v>
      </c>
      <c r="F1843" s="9" t="s">
        <v>866</v>
      </c>
      <c r="G1843" s="11">
        <v>46238</v>
      </c>
      <c r="H1843" s="12">
        <v>66.17</v>
      </c>
      <c r="I1843" s="12">
        <v>60.88</v>
      </c>
      <c r="J1843" s="9" t="s">
        <v>3</v>
      </c>
      <c r="K1843" s="8">
        <v>0</v>
      </c>
    </row>
    <row r="1844" spans="1:11">
      <c r="A1844" s="2" t="s">
        <v>708</v>
      </c>
      <c r="B1844" s="2" t="s">
        <v>743</v>
      </c>
      <c r="C1844" s="9">
        <v>10061082</v>
      </c>
      <c r="D1844" s="2" t="s">
        <v>3021</v>
      </c>
      <c r="E1844" s="10">
        <v>5</v>
      </c>
      <c r="F1844" s="9" t="s">
        <v>763</v>
      </c>
      <c r="G1844" s="11">
        <v>46238</v>
      </c>
      <c r="H1844" s="12">
        <v>31.24</v>
      </c>
      <c r="I1844" s="12">
        <v>27.8</v>
      </c>
      <c r="J1844" s="9" t="s">
        <v>3</v>
      </c>
      <c r="K1844" s="8">
        <v>0</v>
      </c>
    </row>
    <row r="1845" spans="1:11">
      <c r="A1845" s="2" t="s">
        <v>708</v>
      </c>
      <c r="B1845" s="2" t="s">
        <v>743</v>
      </c>
      <c r="C1845" s="9">
        <v>10061083</v>
      </c>
      <c r="D1845" s="2" t="s">
        <v>3022</v>
      </c>
      <c r="E1845" s="10">
        <v>4</v>
      </c>
      <c r="F1845" s="9" t="s">
        <v>1753</v>
      </c>
      <c r="G1845" s="11">
        <v>46238</v>
      </c>
      <c r="H1845" s="12">
        <v>21.93</v>
      </c>
      <c r="I1845" s="12">
        <v>19.52</v>
      </c>
      <c r="J1845" s="9" t="s">
        <v>3</v>
      </c>
      <c r="K1845" s="8">
        <v>0</v>
      </c>
    </row>
    <row r="1846" spans="1:11">
      <c r="A1846" s="2" t="s">
        <v>708</v>
      </c>
      <c r="B1846" s="2" t="s">
        <v>743</v>
      </c>
      <c r="C1846" s="9">
        <v>10061084</v>
      </c>
      <c r="D1846" s="2" t="s">
        <v>3023</v>
      </c>
      <c r="E1846" s="10">
        <v>4</v>
      </c>
      <c r="F1846" s="9" t="s">
        <v>1718</v>
      </c>
      <c r="G1846" s="11">
        <v>46238</v>
      </c>
      <c r="H1846" s="12">
        <v>18.96</v>
      </c>
      <c r="I1846" s="12">
        <v>16.87</v>
      </c>
      <c r="J1846" s="9" t="s">
        <v>3</v>
      </c>
      <c r="K1846" s="8">
        <v>0</v>
      </c>
    </row>
    <row r="1847" spans="1:11">
      <c r="A1847" s="2" t="s">
        <v>708</v>
      </c>
      <c r="B1847" s="2" t="s">
        <v>743</v>
      </c>
      <c r="C1847" s="9">
        <v>10061085</v>
      </c>
      <c r="D1847" s="2" t="s">
        <v>3024</v>
      </c>
      <c r="E1847" s="10">
        <v>5</v>
      </c>
      <c r="F1847" s="9" t="s">
        <v>811</v>
      </c>
      <c r="G1847" s="11">
        <v>46238</v>
      </c>
      <c r="H1847" s="12">
        <v>34.520000000000003</v>
      </c>
      <c r="I1847" s="12">
        <v>30.7</v>
      </c>
      <c r="J1847" s="9" t="s">
        <v>3</v>
      </c>
      <c r="K1847" s="8">
        <v>0</v>
      </c>
    </row>
    <row r="1848" spans="1:11">
      <c r="A1848" s="2" t="s">
        <v>708</v>
      </c>
      <c r="B1848" s="2" t="s">
        <v>743</v>
      </c>
      <c r="C1848" s="9">
        <v>10061087</v>
      </c>
      <c r="D1848" s="2" t="s">
        <v>3025</v>
      </c>
      <c r="E1848" s="10">
        <v>4</v>
      </c>
      <c r="F1848" s="9" t="s">
        <v>1536</v>
      </c>
      <c r="G1848" s="11">
        <v>46238</v>
      </c>
      <c r="H1848" s="12">
        <v>33.24</v>
      </c>
      <c r="I1848" s="12">
        <v>29.6</v>
      </c>
      <c r="J1848" s="9" t="s">
        <v>3</v>
      </c>
      <c r="K1848" s="8">
        <v>0</v>
      </c>
    </row>
    <row r="1849" spans="1:11">
      <c r="A1849" s="2" t="s">
        <v>708</v>
      </c>
      <c r="B1849" s="2" t="s">
        <v>743</v>
      </c>
      <c r="C1849" s="9">
        <v>10061088</v>
      </c>
      <c r="D1849" s="2" t="s">
        <v>3026</v>
      </c>
      <c r="E1849" s="10">
        <v>5</v>
      </c>
      <c r="F1849" s="9" t="s">
        <v>811</v>
      </c>
      <c r="G1849" s="11">
        <v>46238</v>
      </c>
      <c r="H1849" s="12">
        <v>108.72</v>
      </c>
      <c r="I1849" s="12">
        <v>96.76</v>
      </c>
      <c r="J1849" s="9" t="s">
        <v>3</v>
      </c>
      <c r="K1849" s="8">
        <v>0</v>
      </c>
    </row>
    <row r="1850" spans="1:11">
      <c r="A1850" s="2" t="s">
        <v>708</v>
      </c>
      <c r="B1850" s="2" t="s">
        <v>743</v>
      </c>
      <c r="C1850" s="9">
        <v>10061091</v>
      </c>
      <c r="D1850" s="2" t="s">
        <v>3027</v>
      </c>
      <c r="E1850" s="10">
        <v>5</v>
      </c>
      <c r="F1850" s="9" t="s">
        <v>3028</v>
      </c>
      <c r="G1850" s="11">
        <v>46238</v>
      </c>
      <c r="H1850" s="12">
        <v>43.49</v>
      </c>
      <c r="I1850" s="12">
        <v>38.71</v>
      </c>
      <c r="J1850" s="9" t="s">
        <v>3</v>
      </c>
      <c r="K1850" s="8">
        <v>0</v>
      </c>
    </row>
    <row r="1851" spans="1:11">
      <c r="A1851" s="2" t="s">
        <v>708</v>
      </c>
      <c r="B1851" s="2" t="s">
        <v>743</v>
      </c>
      <c r="C1851" s="9">
        <v>10061092</v>
      </c>
      <c r="D1851" s="2" t="s">
        <v>3029</v>
      </c>
      <c r="E1851" s="10">
        <v>4</v>
      </c>
      <c r="F1851" s="9" t="s">
        <v>2946</v>
      </c>
      <c r="G1851" s="11">
        <v>46238</v>
      </c>
      <c r="H1851" s="12">
        <v>14.85</v>
      </c>
      <c r="I1851" s="12">
        <v>13.21</v>
      </c>
      <c r="J1851" s="9" t="s">
        <v>3</v>
      </c>
      <c r="K1851" s="8">
        <v>0</v>
      </c>
    </row>
    <row r="1852" spans="1:11">
      <c r="A1852" s="2" t="s">
        <v>708</v>
      </c>
      <c r="B1852" s="2" t="s">
        <v>743</v>
      </c>
      <c r="C1852" s="9">
        <v>10061094</v>
      </c>
      <c r="D1852" s="2" t="s">
        <v>3030</v>
      </c>
      <c r="E1852" s="10">
        <v>5</v>
      </c>
      <c r="F1852" s="9" t="s">
        <v>763</v>
      </c>
      <c r="G1852" s="11">
        <v>46238</v>
      </c>
      <c r="H1852" s="12">
        <v>46.44</v>
      </c>
      <c r="I1852" s="12">
        <v>41.33</v>
      </c>
      <c r="J1852" s="9" t="s">
        <v>3</v>
      </c>
      <c r="K1852" s="8">
        <v>0</v>
      </c>
    </row>
    <row r="1853" spans="1:11">
      <c r="A1853" s="2" t="s">
        <v>708</v>
      </c>
      <c r="B1853" s="2" t="s">
        <v>743</v>
      </c>
      <c r="C1853" s="9">
        <v>10061095</v>
      </c>
      <c r="D1853" s="2" t="s">
        <v>3031</v>
      </c>
      <c r="E1853" s="10">
        <v>5</v>
      </c>
      <c r="F1853" s="9" t="s">
        <v>811</v>
      </c>
      <c r="G1853" s="11">
        <v>46238</v>
      </c>
      <c r="H1853" s="12">
        <v>58.81</v>
      </c>
      <c r="I1853" s="12">
        <v>52.32</v>
      </c>
      <c r="J1853" s="9" t="s">
        <v>3</v>
      </c>
      <c r="K1853" s="8">
        <v>0</v>
      </c>
    </row>
    <row r="1854" spans="1:11">
      <c r="A1854" s="2" t="s">
        <v>906</v>
      </c>
      <c r="B1854" s="2" t="s">
        <v>2991</v>
      </c>
      <c r="C1854" s="9">
        <v>10061096</v>
      </c>
      <c r="D1854" s="2" t="s">
        <v>3032</v>
      </c>
      <c r="E1854" s="10">
        <v>6</v>
      </c>
      <c r="F1854" s="9" t="s">
        <v>1060</v>
      </c>
      <c r="G1854" s="11">
        <v>46238</v>
      </c>
      <c r="H1854" s="12">
        <v>28.92</v>
      </c>
      <c r="I1854" s="12">
        <v>26.58</v>
      </c>
      <c r="J1854" s="9" t="s">
        <v>3</v>
      </c>
      <c r="K1854" s="8">
        <v>0</v>
      </c>
    </row>
    <row r="1855" spans="1:11">
      <c r="A1855" s="2" t="s">
        <v>906</v>
      </c>
      <c r="B1855" s="2" t="s">
        <v>2988</v>
      </c>
      <c r="C1855" s="9">
        <v>10061099</v>
      </c>
      <c r="D1855" s="2" t="s">
        <v>3033</v>
      </c>
      <c r="E1855" s="10">
        <v>9</v>
      </c>
      <c r="F1855" s="9" t="s">
        <v>982</v>
      </c>
      <c r="G1855" s="11">
        <v>46238</v>
      </c>
      <c r="H1855" s="12">
        <v>34.020000000000003</v>
      </c>
      <c r="I1855" s="12">
        <v>31.32</v>
      </c>
      <c r="J1855" s="9" t="s">
        <v>3</v>
      </c>
      <c r="K1855" s="8">
        <v>0</v>
      </c>
    </row>
    <row r="1856" spans="1:11">
      <c r="A1856" s="2" t="s">
        <v>906</v>
      </c>
      <c r="B1856" s="2" t="s">
        <v>2991</v>
      </c>
      <c r="C1856" s="9">
        <v>10061114</v>
      </c>
      <c r="D1856" s="2" t="s">
        <v>3034</v>
      </c>
      <c r="E1856" s="10">
        <v>2</v>
      </c>
      <c r="F1856" s="9" t="s">
        <v>991</v>
      </c>
      <c r="G1856" s="11">
        <v>46238</v>
      </c>
      <c r="H1856" s="12">
        <v>58.06</v>
      </c>
      <c r="I1856" s="12">
        <v>53.41</v>
      </c>
      <c r="J1856" s="9" t="s">
        <v>3</v>
      </c>
      <c r="K1856" s="8">
        <v>0</v>
      </c>
    </row>
    <row r="1857" spans="1:11">
      <c r="A1857" s="2" t="s">
        <v>906</v>
      </c>
      <c r="B1857" s="2" t="s">
        <v>2991</v>
      </c>
      <c r="C1857" s="9">
        <v>10061116</v>
      </c>
      <c r="D1857" s="2" t="s">
        <v>3035</v>
      </c>
      <c r="E1857" s="10">
        <v>6</v>
      </c>
      <c r="F1857" s="9" t="s">
        <v>982</v>
      </c>
      <c r="G1857" s="11">
        <v>46238</v>
      </c>
      <c r="H1857" s="12">
        <v>35.54</v>
      </c>
      <c r="I1857" s="12">
        <v>32.700000000000003</v>
      </c>
      <c r="J1857" s="9" t="s">
        <v>3</v>
      </c>
      <c r="K1857" s="8">
        <v>0</v>
      </c>
    </row>
    <row r="1858" spans="1:11">
      <c r="A1858" s="2" t="s">
        <v>906</v>
      </c>
      <c r="B1858" s="2" t="s">
        <v>2997</v>
      </c>
      <c r="C1858" s="9">
        <v>10061118</v>
      </c>
      <c r="D1858" s="2" t="s">
        <v>3036</v>
      </c>
      <c r="E1858" s="10">
        <v>8</v>
      </c>
      <c r="F1858" s="9" t="s">
        <v>3037</v>
      </c>
      <c r="G1858" s="11">
        <v>46238</v>
      </c>
      <c r="H1858" s="12">
        <v>39.479999999999997</v>
      </c>
      <c r="I1858" s="12">
        <v>36.32</v>
      </c>
      <c r="J1858" s="9" t="s">
        <v>3</v>
      </c>
      <c r="K1858" s="8">
        <v>0</v>
      </c>
    </row>
    <row r="1859" spans="1:11">
      <c r="A1859" s="2" t="s">
        <v>906</v>
      </c>
      <c r="B1859" s="2" t="s">
        <v>2991</v>
      </c>
      <c r="C1859" s="9">
        <v>10061122</v>
      </c>
      <c r="D1859" s="2" t="s">
        <v>3038</v>
      </c>
      <c r="E1859" s="10">
        <v>6</v>
      </c>
      <c r="F1859" s="9" t="s">
        <v>728</v>
      </c>
      <c r="G1859" s="11">
        <v>46238</v>
      </c>
      <c r="H1859" s="12">
        <v>34.619999999999997</v>
      </c>
      <c r="I1859" s="12">
        <v>31.86</v>
      </c>
      <c r="J1859" s="9" t="s">
        <v>3</v>
      </c>
      <c r="K1859" s="8">
        <v>0</v>
      </c>
    </row>
    <row r="1860" spans="1:11">
      <c r="A1860" s="2" t="s">
        <v>906</v>
      </c>
      <c r="B1860" s="2" t="s">
        <v>2997</v>
      </c>
      <c r="C1860" s="9">
        <v>10061123</v>
      </c>
      <c r="D1860" s="2" t="s">
        <v>3039</v>
      </c>
      <c r="E1860" s="10">
        <v>18</v>
      </c>
      <c r="F1860" s="9" t="s">
        <v>917</v>
      </c>
      <c r="G1860" s="11">
        <v>46238</v>
      </c>
      <c r="H1860" s="12">
        <v>84.52</v>
      </c>
      <c r="I1860" s="12">
        <v>77.760000000000005</v>
      </c>
      <c r="J1860" s="9" t="s">
        <v>3</v>
      </c>
      <c r="K1860" s="8">
        <v>0</v>
      </c>
    </row>
    <row r="1861" spans="1:11">
      <c r="A1861" s="2" t="s">
        <v>906</v>
      </c>
      <c r="B1861" s="2" t="s">
        <v>3005</v>
      </c>
      <c r="C1861" s="9">
        <v>10061126</v>
      </c>
      <c r="D1861" s="2" t="s">
        <v>3040</v>
      </c>
      <c r="E1861" s="10">
        <v>8</v>
      </c>
      <c r="F1861" s="9" t="s">
        <v>690</v>
      </c>
      <c r="G1861" s="11">
        <v>46238</v>
      </c>
      <c r="H1861" s="12">
        <v>32.56</v>
      </c>
      <c r="I1861" s="12">
        <v>29.92</v>
      </c>
      <c r="J1861" s="9" t="s">
        <v>3</v>
      </c>
      <c r="K1861" s="8">
        <v>0</v>
      </c>
    </row>
    <row r="1862" spans="1:11">
      <c r="A1862" s="2" t="s">
        <v>906</v>
      </c>
      <c r="B1862" s="2" t="s">
        <v>3041</v>
      </c>
      <c r="C1862" s="9">
        <v>10061130</v>
      </c>
      <c r="D1862" s="2" t="s">
        <v>3042</v>
      </c>
      <c r="E1862" s="10">
        <v>12</v>
      </c>
      <c r="F1862" s="9" t="s">
        <v>969</v>
      </c>
      <c r="G1862" s="11">
        <v>46238</v>
      </c>
      <c r="H1862" s="12">
        <v>54.96</v>
      </c>
      <c r="I1862" s="12">
        <v>50.52</v>
      </c>
      <c r="J1862" s="9" t="s">
        <v>3</v>
      </c>
      <c r="K1862" s="8">
        <v>0</v>
      </c>
    </row>
    <row r="1863" spans="1:11">
      <c r="A1863" s="2" t="s">
        <v>906</v>
      </c>
      <c r="B1863" s="2" t="s">
        <v>3041</v>
      </c>
      <c r="C1863" s="9">
        <v>10061131</v>
      </c>
      <c r="D1863" s="2" t="s">
        <v>3043</v>
      </c>
      <c r="E1863" s="10">
        <v>12</v>
      </c>
      <c r="F1863" s="9" t="s">
        <v>969</v>
      </c>
      <c r="G1863" s="11">
        <v>46238</v>
      </c>
      <c r="H1863" s="12">
        <v>54.96</v>
      </c>
      <c r="I1863" s="12">
        <v>50.52</v>
      </c>
      <c r="J1863" s="9" t="s">
        <v>3</v>
      </c>
      <c r="K1863" s="8">
        <v>0</v>
      </c>
    </row>
    <row r="1864" spans="1:11">
      <c r="A1864" s="2" t="s">
        <v>906</v>
      </c>
      <c r="B1864" s="2" t="s">
        <v>2997</v>
      </c>
      <c r="C1864" s="9">
        <v>10061140</v>
      </c>
      <c r="D1864" s="2" t="s">
        <v>3044</v>
      </c>
      <c r="E1864" s="10">
        <v>8</v>
      </c>
      <c r="F1864" s="9" t="s">
        <v>697</v>
      </c>
      <c r="G1864" s="11">
        <v>46238</v>
      </c>
      <c r="H1864" s="12">
        <v>38.61</v>
      </c>
      <c r="I1864" s="12">
        <v>35.520000000000003</v>
      </c>
      <c r="J1864" s="9" t="s">
        <v>3</v>
      </c>
      <c r="K1864" s="8">
        <v>0</v>
      </c>
    </row>
    <row r="1865" spans="1:11">
      <c r="A1865" s="2" t="s">
        <v>708</v>
      </c>
      <c r="B1865" s="2" t="s">
        <v>743</v>
      </c>
      <c r="C1865" s="9">
        <v>10061711</v>
      </c>
      <c r="D1865" s="2" t="s">
        <v>3045</v>
      </c>
      <c r="E1865" s="10">
        <v>4</v>
      </c>
      <c r="F1865" s="9" t="s">
        <v>1718</v>
      </c>
      <c r="G1865" s="11">
        <v>46238</v>
      </c>
      <c r="H1865" s="12">
        <v>41.09</v>
      </c>
      <c r="I1865" s="12">
        <v>36.57</v>
      </c>
      <c r="J1865" s="9" t="s">
        <v>3</v>
      </c>
      <c r="K1865" s="8">
        <v>0</v>
      </c>
    </row>
    <row r="1866" spans="1:11">
      <c r="A1866" s="2" t="s">
        <v>708</v>
      </c>
      <c r="B1866" s="2" t="s">
        <v>743</v>
      </c>
      <c r="C1866" s="9">
        <v>10061716</v>
      </c>
      <c r="D1866" s="2" t="s">
        <v>3046</v>
      </c>
      <c r="E1866" s="10">
        <v>4</v>
      </c>
      <c r="F1866" s="9" t="s">
        <v>1681</v>
      </c>
      <c r="G1866" s="11">
        <v>46238</v>
      </c>
      <c r="H1866" s="12">
        <v>26.02</v>
      </c>
      <c r="I1866" s="12">
        <v>23.15</v>
      </c>
      <c r="J1866" s="9" t="s">
        <v>3</v>
      </c>
      <c r="K1866" s="8">
        <v>0</v>
      </c>
    </row>
    <row r="1867" spans="1:11">
      <c r="A1867" s="2" t="s">
        <v>708</v>
      </c>
      <c r="B1867" s="2" t="s">
        <v>743</v>
      </c>
      <c r="C1867" s="9">
        <v>10061723</v>
      </c>
      <c r="D1867" s="2" t="s">
        <v>3047</v>
      </c>
      <c r="E1867" s="10">
        <v>4</v>
      </c>
      <c r="F1867" s="9" t="s">
        <v>781</v>
      </c>
      <c r="G1867" s="11">
        <v>46238</v>
      </c>
      <c r="H1867" s="12">
        <v>33.42</v>
      </c>
      <c r="I1867" s="12">
        <v>29.74</v>
      </c>
      <c r="J1867" s="9" t="s">
        <v>3</v>
      </c>
      <c r="K1867" s="8">
        <v>0</v>
      </c>
    </row>
    <row r="1868" spans="1:11">
      <c r="A1868" s="2" t="s">
        <v>708</v>
      </c>
      <c r="B1868" s="2" t="s">
        <v>743</v>
      </c>
      <c r="C1868" s="9">
        <v>10061725</v>
      </c>
      <c r="D1868" s="2" t="s">
        <v>3048</v>
      </c>
      <c r="E1868" s="10">
        <v>4</v>
      </c>
      <c r="F1868" s="9" t="s">
        <v>1718</v>
      </c>
      <c r="G1868" s="11">
        <v>46238</v>
      </c>
      <c r="H1868" s="12">
        <v>21.99</v>
      </c>
      <c r="I1868" s="12">
        <v>19.59</v>
      </c>
      <c r="J1868" s="9" t="s">
        <v>3</v>
      </c>
      <c r="K1868" s="8">
        <v>0</v>
      </c>
    </row>
    <row r="1869" spans="1:11">
      <c r="A1869" s="2" t="s">
        <v>708</v>
      </c>
      <c r="B1869" s="2" t="s">
        <v>743</v>
      </c>
      <c r="C1869" s="9">
        <v>10061726</v>
      </c>
      <c r="D1869" s="2" t="s">
        <v>3049</v>
      </c>
      <c r="E1869" s="10">
        <v>4</v>
      </c>
      <c r="F1869" s="9" t="s">
        <v>1718</v>
      </c>
      <c r="G1869" s="11">
        <v>46238</v>
      </c>
      <c r="H1869" s="12">
        <v>32.92</v>
      </c>
      <c r="I1869" s="12">
        <v>29.3</v>
      </c>
      <c r="J1869" s="9" t="s">
        <v>3</v>
      </c>
      <c r="K1869" s="8">
        <v>0</v>
      </c>
    </row>
    <row r="1870" spans="1:11">
      <c r="A1870" s="2" t="s">
        <v>708</v>
      </c>
      <c r="B1870" s="2" t="s">
        <v>743</v>
      </c>
      <c r="C1870" s="9">
        <v>10061727</v>
      </c>
      <c r="D1870" s="2" t="s">
        <v>3050</v>
      </c>
      <c r="E1870" s="10">
        <v>4</v>
      </c>
      <c r="F1870" s="9" t="s">
        <v>1718</v>
      </c>
      <c r="G1870" s="11">
        <v>46238</v>
      </c>
      <c r="H1870" s="12">
        <v>27.69</v>
      </c>
      <c r="I1870" s="12">
        <v>24.64</v>
      </c>
      <c r="J1870" s="9" t="s">
        <v>3</v>
      </c>
      <c r="K1870" s="8">
        <v>0</v>
      </c>
    </row>
    <row r="1871" spans="1:11">
      <c r="A1871" s="2" t="s">
        <v>708</v>
      </c>
      <c r="B1871" s="2" t="s">
        <v>743</v>
      </c>
      <c r="C1871" s="9">
        <v>10061758</v>
      </c>
      <c r="D1871" s="2" t="s">
        <v>3051</v>
      </c>
      <c r="E1871" s="10">
        <v>4</v>
      </c>
      <c r="F1871" s="9" t="s">
        <v>1718</v>
      </c>
      <c r="G1871" s="11">
        <v>46238</v>
      </c>
      <c r="H1871" s="12">
        <v>36.090000000000003</v>
      </c>
      <c r="I1871" s="12">
        <v>32.119999999999997</v>
      </c>
      <c r="J1871" s="9" t="s">
        <v>3</v>
      </c>
      <c r="K1871" s="8">
        <v>0</v>
      </c>
    </row>
    <row r="1872" spans="1:11">
      <c r="A1872" s="2" t="s">
        <v>708</v>
      </c>
      <c r="B1872" s="2" t="s">
        <v>743</v>
      </c>
      <c r="C1872" s="9">
        <v>10061762</v>
      </c>
      <c r="D1872" s="2" t="s">
        <v>3052</v>
      </c>
      <c r="E1872" s="10">
        <v>4</v>
      </c>
      <c r="F1872" s="9" t="s">
        <v>1718</v>
      </c>
      <c r="G1872" s="11">
        <v>46238</v>
      </c>
      <c r="H1872" s="12">
        <v>62.02</v>
      </c>
      <c r="I1872" s="12">
        <v>55.2</v>
      </c>
      <c r="J1872" s="9" t="s">
        <v>3</v>
      </c>
      <c r="K1872" s="8">
        <v>0</v>
      </c>
    </row>
    <row r="1873" spans="1:11">
      <c r="A1873" s="2" t="s">
        <v>708</v>
      </c>
      <c r="B1873" s="2" t="s">
        <v>743</v>
      </c>
      <c r="C1873" s="9">
        <v>10061763</v>
      </c>
      <c r="D1873" s="2" t="s">
        <v>3053</v>
      </c>
      <c r="E1873" s="10">
        <v>4</v>
      </c>
      <c r="F1873" s="9" t="s">
        <v>781</v>
      </c>
      <c r="G1873" s="11">
        <v>46238</v>
      </c>
      <c r="H1873" s="12">
        <v>112.24</v>
      </c>
      <c r="I1873" s="12">
        <v>99.89</v>
      </c>
      <c r="J1873" s="9" t="s">
        <v>3</v>
      </c>
      <c r="K1873" s="8">
        <v>0</v>
      </c>
    </row>
    <row r="1874" spans="1:11">
      <c r="A1874" s="2" t="s">
        <v>708</v>
      </c>
      <c r="B1874" s="2" t="s">
        <v>743</v>
      </c>
      <c r="C1874" s="9">
        <v>10061764</v>
      </c>
      <c r="D1874" s="2" t="s">
        <v>3054</v>
      </c>
      <c r="E1874" s="10">
        <v>4</v>
      </c>
      <c r="F1874" s="9" t="s">
        <v>1718</v>
      </c>
      <c r="G1874" s="11">
        <v>46238</v>
      </c>
      <c r="H1874" s="12">
        <v>62.02</v>
      </c>
      <c r="I1874" s="12">
        <v>55.2</v>
      </c>
      <c r="J1874" s="9" t="s">
        <v>3</v>
      </c>
      <c r="K1874" s="8">
        <v>0</v>
      </c>
    </row>
    <row r="1875" spans="1:11">
      <c r="A1875" s="2" t="s">
        <v>708</v>
      </c>
      <c r="B1875" s="2" t="s">
        <v>743</v>
      </c>
      <c r="C1875" s="9">
        <v>10061768</v>
      </c>
      <c r="D1875" s="2" t="s">
        <v>3055</v>
      </c>
      <c r="E1875" s="10">
        <v>4</v>
      </c>
      <c r="F1875" s="9" t="s">
        <v>1718</v>
      </c>
      <c r="G1875" s="11">
        <v>46238</v>
      </c>
      <c r="H1875" s="12">
        <v>35.54</v>
      </c>
      <c r="I1875" s="12">
        <v>31.63</v>
      </c>
      <c r="J1875" s="9" t="s">
        <v>3</v>
      </c>
      <c r="K1875" s="8">
        <v>0</v>
      </c>
    </row>
    <row r="1876" spans="1:11">
      <c r="A1876" s="2" t="s">
        <v>708</v>
      </c>
      <c r="B1876" s="2" t="s">
        <v>743</v>
      </c>
      <c r="C1876" s="9">
        <v>10061772</v>
      </c>
      <c r="D1876" s="2" t="s">
        <v>3056</v>
      </c>
      <c r="E1876" s="10">
        <v>4</v>
      </c>
      <c r="F1876" s="9" t="s">
        <v>763</v>
      </c>
      <c r="G1876" s="11">
        <v>46238</v>
      </c>
      <c r="H1876" s="12">
        <v>28.02</v>
      </c>
      <c r="I1876" s="12">
        <v>24.94</v>
      </c>
      <c r="J1876" s="9" t="s">
        <v>3</v>
      </c>
      <c r="K1876" s="8">
        <v>0</v>
      </c>
    </row>
    <row r="1877" spans="1:11">
      <c r="A1877" s="2" t="s">
        <v>708</v>
      </c>
      <c r="B1877" s="2" t="s">
        <v>743</v>
      </c>
      <c r="C1877" s="9">
        <v>10061773</v>
      </c>
      <c r="D1877" s="2" t="s">
        <v>3057</v>
      </c>
      <c r="E1877" s="10">
        <v>4</v>
      </c>
      <c r="F1877" s="9" t="s">
        <v>1681</v>
      </c>
      <c r="G1877" s="11">
        <v>46238</v>
      </c>
      <c r="H1877" s="12">
        <v>16.12</v>
      </c>
      <c r="I1877" s="12">
        <v>14.35</v>
      </c>
      <c r="J1877" s="9" t="s">
        <v>3</v>
      </c>
      <c r="K1877" s="8">
        <v>0</v>
      </c>
    </row>
    <row r="1878" spans="1:11">
      <c r="A1878" s="2" t="s">
        <v>708</v>
      </c>
      <c r="B1878" s="2" t="s">
        <v>743</v>
      </c>
      <c r="C1878" s="9">
        <v>10061776</v>
      </c>
      <c r="D1878" s="2" t="s">
        <v>3058</v>
      </c>
      <c r="E1878" s="10">
        <v>4</v>
      </c>
      <c r="F1878" s="9" t="s">
        <v>2935</v>
      </c>
      <c r="G1878" s="11">
        <v>46238</v>
      </c>
      <c r="H1878" s="12">
        <v>24.42</v>
      </c>
      <c r="I1878" s="12">
        <v>21.73</v>
      </c>
      <c r="J1878" s="9" t="s">
        <v>3</v>
      </c>
      <c r="K1878" s="8">
        <v>0</v>
      </c>
    </row>
    <row r="1879" spans="1:11">
      <c r="A1879" s="2" t="s">
        <v>708</v>
      </c>
      <c r="B1879" s="2" t="s">
        <v>743</v>
      </c>
      <c r="C1879" s="9">
        <v>10061779</v>
      </c>
      <c r="D1879" s="2" t="s">
        <v>3059</v>
      </c>
      <c r="E1879" s="10">
        <v>4</v>
      </c>
      <c r="F1879" s="9" t="s">
        <v>759</v>
      </c>
      <c r="G1879" s="11">
        <v>46238</v>
      </c>
      <c r="H1879" s="12">
        <v>19.14</v>
      </c>
      <c r="I1879" s="12">
        <v>17.02</v>
      </c>
      <c r="J1879" s="9" t="s">
        <v>3</v>
      </c>
      <c r="K1879" s="8">
        <v>0</v>
      </c>
    </row>
    <row r="1880" spans="1:11">
      <c r="A1880" s="2" t="s">
        <v>708</v>
      </c>
      <c r="B1880" s="2" t="s">
        <v>743</v>
      </c>
      <c r="C1880" s="9">
        <v>10061784</v>
      </c>
      <c r="D1880" s="2" t="s">
        <v>3060</v>
      </c>
      <c r="E1880" s="10">
        <v>4</v>
      </c>
      <c r="F1880" s="9" t="s">
        <v>3061</v>
      </c>
      <c r="G1880" s="11">
        <v>46238</v>
      </c>
      <c r="H1880" s="12">
        <v>55.91</v>
      </c>
      <c r="I1880" s="12">
        <v>49.76</v>
      </c>
      <c r="J1880" s="9" t="s">
        <v>3</v>
      </c>
      <c r="K1880" s="8">
        <v>0</v>
      </c>
    </row>
    <row r="1881" spans="1:11">
      <c r="A1881" s="2" t="s">
        <v>708</v>
      </c>
      <c r="B1881" s="2" t="s">
        <v>743</v>
      </c>
      <c r="C1881" s="9">
        <v>10061785</v>
      </c>
      <c r="D1881" s="2" t="s">
        <v>3062</v>
      </c>
      <c r="E1881" s="10">
        <v>4</v>
      </c>
      <c r="F1881" s="9" t="s">
        <v>2683</v>
      </c>
      <c r="G1881" s="11">
        <v>46238</v>
      </c>
      <c r="H1881" s="12">
        <v>78.06</v>
      </c>
      <c r="I1881" s="12">
        <v>69.47</v>
      </c>
      <c r="J1881" s="9" t="s">
        <v>3</v>
      </c>
      <c r="K1881" s="8">
        <v>0</v>
      </c>
    </row>
    <row r="1882" spans="1:11">
      <c r="A1882" s="2" t="s">
        <v>708</v>
      </c>
      <c r="B1882" s="2" t="s">
        <v>743</v>
      </c>
      <c r="C1882" s="9">
        <v>10061786</v>
      </c>
      <c r="D1882" s="2" t="s">
        <v>3063</v>
      </c>
      <c r="E1882" s="10">
        <v>4</v>
      </c>
      <c r="F1882" s="9" t="s">
        <v>2935</v>
      </c>
      <c r="G1882" s="11">
        <v>46238</v>
      </c>
      <c r="H1882" s="12">
        <v>29.51</v>
      </c>
      <c r="I1882" s="12">
        <v>26.26</v>
      </c>
      <c r="J1882" s="9" t="s">
        <v>3</v>
      </c>
      <c r="K1882" s="8">
        <v>0</v>
      </c>
    </row>
    <row r="1883" spans="1:11">
      <c r="A1883" s="2" t="s">
        <v>708</v>
      </c>
      <c r="B1883" s="2" t="s">
        <v>743</v>
      </c>
      <c r="C1883" s="9">
        <v>10061787</v>
      </c>
      <c r="D1883" s="2" t="s">
        <v>3064</v>
      </c>
      <c r="E1883" s="10">
        <v>4</v>
      </c>
      <c r="F1883" s="9" t="s">
        <v>3061</v>
      </c>
      <c r="G1883" s="11">
        <v>46238</v>
      </c>
      <c r="H1883" s="12">
        <v>52.01</v>
      </c>
      <c r="I1883" s="12">
        <v>46.29</v>
      </c>
      <c r="J1883" s="9" t="s">
        <v>3</v>
      </c>
      <c r="K1883" s="8">
        <v>0</v>
      </c>
    </row>
    <row r="1884" spans="1:11">
      <c r="A1884" s="2" t="s">
        <v>708</v>
      </c>
      <c r="B1884" s="2" t="s">
        <v>743</v>
      </c>
      <c r="C1884" s="9">
        <v>10061788</v>
      </c>
      <c r="D1884" s="2" t="s">
        <v>3065</v>
      </c>
      <c r="E1884" s="10">
        <v>4</v>
      </c>
      <c r="F1884" s="9" t="s">
        <v>2935</v>
      </c>
      <c r="G1884" s="11">
        <v>46238</v>
      </c>
      <c r="H1884" s="12">
        <v>24.72</v>
      </c>
      <c r="I1884" s="12">
        <v>22</v>
      </c>
      <c r="J1884" s="9" t="s">
        <v>3</v>
      </c>
      <c r="K1884" s="8">
        <v>0</v>
      </c>
    </row>
    <row r="1885" spans="1:11">
      <c r="A1885" s="2" t="s">
        <v>708</v>
      </c>
      <c r="B1885" s="2" t="s">
        <v>743</v>
      </c>
      <c r="C1885" s="9">
        <v>10061789</v>
      </c>
      <c r="D1885" s="2" t="s">
        <v>3066</v>
      </c>
      <c r="E1885" s="10">
        <v>4</v>
      </c>
      <c r="F1885" s="9" t="s">
        <v>759</v>
      </c>
      <c r="G1885" s="11">
        <v>46238</v>
      </c>
      <c r="H1885" s="12">
        <v>22.86</v>
      </c>
      <c r="I1885" s="12">
        <v>20.350000000000001</v>
      </c>
      <c r="J1885" s="9" t="s">
        <v>3</v>
      </c>
      <c r="K1885" s="8">
        <v>0</v>
      </c>
    </row>
    <row r="1886" spans="1:11">
      <c r="A1886" s="2" t="s">
        <v>708</v>
      </c>
      <c r="B1886" s="2" t="s">
        <v>743</v>
      </c>
      <c r="C1886" s="9">
        <v>10061790</v>
      </c>
      <c r="D1886" s="2" t="s">
        <v>3067</v>
      </c>
      <c r="E1886" s="10">
        <v>4</v>
      </c>
      <c r="F1886" s="9" t="s">
        <v>2954</v>
      </c>
      <c r="G1886" s="11">
        <v>46238</v>
      </c>
      <c r="H1886" s="12">
        <v>47.27</v>
      </c>
      <c r="I1886" s="12">
        <v>42.08</v>
      </c>
      <c r="J1886" s="9" t="s">
        <v>3</v>
      </c>
      <c r="K1886" s="8">
        <v>0</v>
      </c>
    </row>
    <row r="1887" spans="1:11">
      <c r="A1887" s="2" t="s">
        <v>708</v>
      </c>
      <c r="B1887" s="2" t="s">
        <v>743</v>
      </c>
      <c r="C1887" s="9">
        <v>10061791</v>
      </c>
      <c r="D1887" s="2" t="s">
        <v>3068</v>
      </c>
      <c r="E1887" s="10">
        <v>4</v>
      </c>
      <c r="F1887" s="9" t="s">
        <v>2954</v>
      </c>
      <c r="G1887" s="11">
        <v>46238</v>
      </c>
      <c r="H1887" s="12">
        <v>39.78</v>
      </c>
      <c r="I1887" s="12">
        <v>35.42</v>
      </c>
      <c r="J1887" s="9" t="s">
        <v>3</v>
      </c>
      <c r="K1887" s="8">
        <v>0</v>
      </c>
    </row>
    <row r="1888" spans="1:11">
      <c r="A1888" s="2" t="s">
        <v>708</v>
      </c>
      <c r="B1888" s="2" t="s">
        <v>743</v>
      </c>
      <c r="C1888" s="9">
        <v>10061792</v>
      </c>
      <c r="D1888" s="2" t="s">
        <v>3069</v>
      </c>
      <c r="E1888" s="10">
        <v>4</v>
      </c>
      <c r="F1888" s="9" t="s">
        <v>781</v>
      </c>
      <c r="G1888" s="11">
        <v>46238</v>
      </c>
      <c r="H1888" s="12">
        <v>47.27</v>
      </c>
      <c r="I1888" s="12">
        <v>42.08</v>
      </c>
      <c r="J1888" s="9" t="s">
        <v>3</v>
      </c>
      <c r="K1888" s="8">
        <v>0</v>
      </c>
    </row>
    <row r="1889" spans="1:11">
      <c r="A1889" s="2" t="s">
        <v>708</v>
      </c>
      <c r="B1889" s="2" t="s">
        <v>743</v>
      </c>
      <c r="C1889" s="9">
        <v>10061793</v>
      </c>
      <c r="D1889" s="2" t="s">
        <v>3070</v>
      </c>
      <c r="E1889" s="10">
        <v>4</v>
      </c>
      <c r="F1889" s="9" t="s">
        <v>781</v>
      </c>
      <c r="G1889" s="11">
        <v>46238</v>
      </c>
      <c r="H1889" s="12">
        <v>39.78</v>
      </c>
      <c r="I1889" s="12">
        <v>35.42</v>
      </c>
      <c r="J1889" s="9" t="s">
        <v>3</v>
      </c>
      <c r="K1889" s="8">
        <v>0</v>
      </c>
    </row>
    <row r="1890" spans="1:11">
      <c r="A1890" s="2" t="s">
        <v>708</v>
      </c>
      <c r="B1890" s="2" t="s">
        <v>743</v>
      </c>
      <c r="C1890" s="9">
        <v>10061794</v>
      </c>
      <c r="D1890" s="2" t="s">
        <v>3071</v>
      </c>
      <c r="E1890" s="10">
        <v>4</v>
      </c>
      <c r="F1890" s="9" t="s">
        <v>2138</v>
      </c>
      <c r="G1890" s="11">
        <v>46238</v>
      </c>
      <c r="H1890" s="12">
        <v>39.119999999999997</v>
      </c>
      <c r="I1890" s="12">
        <v>34.840000000000003</v>
      </c>
      <c r="J1890" s="9" t="s">
        <v>3</v>
      </c>
      <c r="K1890" s="8">
        <v>0</v>
      </c>
    </row>
    <row r="1891" spans="1:11">
      <c r="A1891" s="2" t="s">
        <v>708</v>
      </c>
      <c r="B1891" s="2" t="s">
        <v>743</v>
      </c>
      <c r="C1891" s="9">
        <v>10061795</v>
      </c>
      <c r="D1891" s="2" t="s">
        <v>3072</v>
      </c>
      <c r="E1891" s="10">
        <v>4</v>
      </c>
      <c r="F1891" s="9" t="s">
        <v>2138</v>
      </c>
      <c r="G1891" s="11">
        <v>46238</v>
      </c>
      <c r="H1891" s="12">
        <v>32.81</v>
      </c>
      <c r="I1891" s="12">
        <v>29.21</v>
      </c>
      <c r="J1891" s="9" t="s">
        <v>3</v>
      </c>
      <c r="K1891" s="8">
        <v>0</v>
      </c>
    </row>
    <row r="1892" spans="1:11">
      <c r="A1892" s="2" t="s">
        <v>708</v>
      </c>
      <c r="B1892" s="2" t="s">
        <v>743</v>
      </c>
      <c r="C1892" s="9">
        <v>10061796</v>
      </c>
      <c r="D1892" s="2" t="s">
        <v>3073</v>
      </c>
      <c r="E1892" s="10">
        <v>4</v>
      </c>
      <c r="F1892" s="9" t="s">
        <v>781</v>
      </c>
      <c r="G1892" s="11">
        <v>46238</v>
      </c>
      <c r="H1892" s="12">
        <v>47.27</v>
      </c>
      <c r="I1892" s="12">
        <v>42.08</v>
      </c>
      <c r="J1892" s="9" t="s">
        <v>3</v>
      </c>
      <c r="K1892" s="8">
        <v>0</v>
      </c>
    </row>
    <row r="1893" spans="1:11">
      <c r="A1893" s="2" t="s">
        <v>708</v>
      </c>
      <c r="B1893" s="2" t="s">
        <v>743</v>
      </c>
      <c r="C1893" s="9">
        <v>10061797</v>
      </c>
      <c r="D1893" s="2" t="s">
        <v>3074</v>
      </c>
      <c r="E1893" s="10">
        <v>4</v>
      </c>
      <c r="F1893" s="9" t="s">
        <v>781</v>
      </c>
      <c r="G1893" s="11">
        <v>46238</v>
      </c>
      <c r="H1893" s="12">
        <v>39.78</v>
      </c>
      <c r="I1893" s="12">
        <v>35.42</v>
      </c>
      <c r="J1893" s="9" t="s">
        <v>3</v>
      </c>
      <c r="K1893" s="8">
        <v>0</v>
      </c>
    </row>
    <row r="1894" spans="1:11">
      <c r="A1894" s="2" t="s">
        <v>708</v>
      </c>
      <c r="B1894" s="2" t="s">
        <v>743</v>
      </c>
      <c r="C1894" s="9">
        <v>10061799</v>
      </c>
      <c r="D1894" s="2" t="s">
        <v>3075</v>
      </c>
      <c r="E1894" s="10">
        <v>4</v>
      </c>
      <c r="F1894" s="9" t="s">
        <v>1681</v>
      </c>
      <c r="G1894" s="11">
        <v>46238</v>
      </c>
      <c r="H1894" s="12">
        <v>27.4</v>
      </c>
      <c r="I1894" s="12">
        <v>24.4</v>
      </c>
      <c r="J1894" s="9" t="s">
        <v>3</v>
      </c>
      <c r="K1894" s="8">
        <v>0</v>
      </c>
    </row>
    <row r="1895" spans="1:11">
      <c r="A1895" s="2" t="s">
        <v>708</v>
      </c>
      <c r="B1895" s="2" t="s">
        <v>743</v>
      </c>
      <c r="C1895" s="9">
        <v>10061800</v>
      </c>
      <c r="D1895" s="2" t="s">
        <v>3076</v>
      </c>
      <c r="E1895" s="10">
        <v>4</v>
      </c>
      <c r="F1895" s="9" t="s">
        <v>1681</v>
      </c>
      <c r="G1895" s="11">
        <v>46238</v>
      </c>
      <c r="H1895" s="12">
        <v>19.78</v>
      </c>
      <c r="I1895" s="12">
        <v>17.62</v>
      </c>
      <c r="J1895" s="9" t="s">
        <v>3</v>
      </c>
      <c r="K1895" s="8">
        <v>0</v>
      </c>
    </row>
    <row r="1896" spans="1:11">
      <c r="A1896" s="2" t="s">
        <v>708</v>
      </c>
      <c r="B1896" s="2" t="s">
        <v>743</v>
      </c>
      <c r="C1896" s="9">
        <v>10061802</v>
      </c>
      <c r="D1896" s="2" t="s">
        <v>3077</v>
      </c>
      <c r="E1896" s="10">
        <v>4</v>
      </c>
      <c r="F1896" s="9" t="s">
        <v>759</v>
      </c>
      <c r="G1896" s="11">
        <v>46238</v>
      </c>
      <c r="H1896" s="12">
        <v>19.440000000000001</v>
      </c>
      <c r="I1896" s="12">
        <v>17.29</v>
      </c>
      <c r="J1896" s="9" t="s">
        <v>3</v>
      </c>
      <c r="K1896" s="8">
        <v>0</v>
      </c>
    </row>
    <row r="1897" spans="1:11">
      <c r="A1897" s="2" t="s">
        <v>708</v>
      </c>
      <c r="B1897" s="2" t="s">
        <v>743</v>
      </c>
      <c r="C1897" s="9">
        <v>10061804</v>
      </c>
      <c r="D1897" s="2" t="s">
        <v>3078</v>
      </c>
      <c r="E1897" s="10">
        <v>4</v>
      </c>
      <c r="F1897" s="9" t="s">
        <v>781</v>
      </c>
      <c r="G1897" s="11">
        <v>46238</v>
      </c>
      <c r="H1897" s="12">
        <v>32.03</v>
      </c>
      <c r="I1897" s="12">
        <v>28.51</v>
      </c>
      <c r="J1897" s="9" t="s">
        <v>3</v>
      </c>
      <c r="K1897" s="8">
        <v>0</v>
      </c>
    </row>
    <row r="1898" spans="1:11">
      <c r="A1898" s="2" t="s">
        <v>708</v>
      </c>
      <c r="B1898" s="2" t="s">
        <v>743</v>
      </c>
      <c r="C1898" s="9">
        <v>10061810</v>
      </c>
      <c r="D1898" s="2" t="s">
        <v>3079</v>
      </c>
      <c r="E1898" s="10">
        <v>4</v>
      </c>
      <c r="F1898" s="9" t="s">
        <v>759</v>
      </c>
      <c r="G1898" s="11">
        <v>46238</v>
      </c>
      <c r="H1898" s="12">
        <v>19.440000000000001</v>
      </c>
      <c r="I1898" s="12">
        <v>17.29</v>
      </c>
      <c r="J1898" s="9" t="s">
        <v>3</v>
      </c>
      <c r="K1898" s="8">
        <v>0</v>
      </c>
    </row>
    <row r="1899" spans="1:11">
      <c r="A1899" s="2" t="s">
        <v>708</v>
      </c>
      <c r="B1899" s="2" t="s">
        <v>743</v>
      </c>
      <c r="C1899" s="9">
        <v>10061812</v>
      </c>
      <c r="D1899" s="2" t="s">
        <v>3080</v>
      </c>
      <c r="E1899" s="10">
        <v>4</v>
      </c>
      <c r="F1899" s="9" t="s">
        <v>781</v>
      </c>
      <c r="G1899" s="11">
        <v>46238</v>
      </c>
      <c r="H1899" s="12">
        <v>32.03</v>
      </c>
      <c r="I1899" s="12">
        <v>28.51</v>
      </c>
      <c r="J1899" s="9" t="s">
        <v>3</v>
      </c>
      <c r="K1899" s="8">
        <v>0</v>
      </c>
    </row>
    <row r="1900" spans="1:11">
      <c r="A1900" s="2" t="s">
        <v>708</v>
      </c>
      <c r="B1900" s="2" t="s">
        <v>743</v>
      </c>
      <c r="C1900" s="9">
        <v>10061814</v>
      </c>
      <c r="D1900" s="2" t="s">
        <v>3081</v>
      </c>
      <c r="E1900" s="10">
        <v>4</v>
      </c>
      <c r="F1900" s="9" t="s">
        <v>2138</v>
      </c>
      <c r="G1900" s="11">
        <v>46238</v>
      </c>
      <c r="H1900" s="12">
        <v>26.63</v>
      </c>
      <c r="I1900" s="12">
        <v>23.72</v>
      </c>
      <c r="J1900" s="9" t="s">
        <v>3</v>
      </c>
      <c r="K1900" s="8">
        <v>0</v>
      </c>
    </row>
    <row r="1901" spans="1:11">
      <c r="A1901" s="2" t="s">
        <v>708</v>
      </c>
      <c r="B1901" s="2" t="s">
        <v>743</v>
      </c>
      <c r="C1901" s="9">
        <v>10061816</v>
      </c>
      <c r="D1901" s="2" t="s">
        <v>3082</v>
      </c>
      <c r="E1901" s="10">
        <v>4</v>
      </c>
      <c r="F1901" s="9" t="s">
        <v>2138</v>
      </c>
      <c r="G1901" s="11">
        <v>46238</v>
      </c>
      <c r="H1901" s="12">
        <v>20.13</v>
      </c>
      <c r="I1901" s="12">
        <v>17.920000000000002</v>
      </c>
      <c r="J1901" s="9" t="s">
        <v>3</v>
      </c>
      <c r="K1901" s="8">
        <v>0</v>
      </c>
    </row>
    <row r="1902" spans="1:11">
      <c r="A1902" s="2" t="s">
        <v>708</v>
      </c>
      <c r="B1902" s="2" t="s">
        <v>743</v>
      </c>
      <c r="C1902" s="9">
        <v>10061818</v>
      </c>
      <c r="D1902" s="2" t="s">
        <v>3083</v>
      </c>
      <c r="E1902" s="10">
        <v>4</v>
      </c>
      <c r="F1902" s="9" t="s">
        <v>759</v>
      </c>
      <c r="G1902" s="11">
        <v>46238</v>
      </c>
      <c r="H1902" s="12">
        <v>19.440000000000001</v>
      </c>
      <c r="I1902" s="12">
        <v>17.29</v>
      </c>
      <c r="J1902" s="9" t="s">
        <v>3</v>
      </c>
      <c r="K1902" s="8">
        <v>0</v>
      </c>
    </row>
    <row r="1903" spans="1:11">
      <c r="A1903" s="2" t="s">
        <v>708</v>
      </c>
      <c r="B1903" s="2" t="s">
        <v>743</v>
      </c>
      <c r="C1903" s="9">
        <v>10061820</v>
      </c>
      <c r="D1903" s="2" t="s">
        <v>3084</v>
      </c>
      <c r="E1903" s="10">
        <v>4</v>
      </c>
      <c r="F1903" s="9" t="s">
        <v>808</v>
      </c>
      <c r="G1903" s="11">
        <v>46238</v>
      </c>
      <c r="H1903" s="12">
        <v>26.63</v>
      </c>
      <c r="I1903" s="12">
        <v>23.71</v>
      </c>
      <c r="J1903" s="9" t="s">
        <v>3</v>
      </c>
      <c r="K1903" s="8">
        <v>0</v>
      </c>
    </row>
    <row r="1904" spans="1:11">
      <c r="A1904" s="2" t="s">
        <v>708</v>
      </c>
      <c r="B1904" s="2" t="s">
        <v>743</v>
      </c>
      <c r="C1904" s="9">
        <v>10061821</v>
      </c>
      <c r="D1904" s="2" t="s">
        <v>3085</v>
      </c>
      <c r="E1904" s="10">
        <v>4</v>
      </c>
      <c r="F1904" s="9" t="s">
        <v>808</v>
      </c>
      <c r="G1904" s="11">
        <v>46238</v>
      </c>
      <c r="H1904" s="12">
        <v>22.38</v>
      </c>
      <c r="I1904" s="12">
        <v>19.93</v>
      </c>
      <c r="J1904" s="9" t="s">
        <v>3</v>
      </c>
      <c r="K1904" s="8">
        <v>0</v>
      </c>
    </row>
    <row r="1905" spans="1:11">
      <c r="A1905" s="2" t="s">
        <v>708</v>
      </c>
      <c r="B1905" s="2" t="s">
        <v>743</v>
      </c>
      <c r="C1905" s="9">
        <v>10061824</v>
      </c>
      <c r="D1905" s="2" t="s">
        <v>3086</v>
      </c>
      <c r="E1905" s="10">
        <v>4</v>
      </c>
      <c r="F1905" s="9" t="s">
        <v>3087</v>
      </c>
      <c r="G1905" s="11">
        <v>46238</v>
      </c>
      <c r="H1905" s="12">
        <v>72.39</v>
      </c>
      <c r="I1905" s="12">
        <v>64.430000000000007</v>
      </c>
      <c r="J1905" s="9" t="s">
        <v>3</v>
      </c>
      <c r="K1905" s="8">
        <v>0</v>
      </c>
    </row>
    <row r="1906" spans="1:11">
      <c r="A1906" s="2" t="s">
        <v>708</v>
      </c>
      <c r="B1906" s="2" t="s">
        <v>743</v>
      </c>
      <c r="C1906" s="9">
        <v>10061830</v>
      </c>
      <c r="D1906" s="2" t="s">
        <v>3088</v>
      </c>
      <c r="E1906" s="10">
        <v>4</v>
      </c>
      <c r="F1906" s="9" t="s">
        <v>781</v>
      </c>
      <c r="G1906" s="11">
        <v>46238</v>
      </c>
      <c r="H1906" s="12">
        <v>22.9</v>
      </c>
      <c r="I1906" s="12">
        <v>20.39</v>
      </c>
      <c r="J1906" s="9" t="s">
        <v>3</v>
      </c>
      <c r="K1906" s="8">
        <v>0</v>
      </c>
    </row>
    <row r="1907" spans="1:11">
      <c r="A1907" s="2" t="s">
        <v>708</v>
      </c>
      <c r="B1907" s="2" t="s">
        <v>743</v>
      </c>
      <c r="C1907" s="9">
        <v>10061836</v>
      </c>
      <c r="D1907" s="2" t="s">
        <v>3089</v>
      </c>
      <c r="E1907" s="10">
        <v>4</v>
      </c>
      <c r="F1907" s="9" t="s">
        <v>808</v>
      </c>
      <c r="G1907" s="11">
        <v>46238</v>
      </c>
      <c r="H1907" s="12">
        <v>47.66</v>
      </c>
      <c r="I1907" s="12">
        <v>42.42</v>
      </c>
      <c r="J1907" s="9" t="s">
        <v>3</v>
      </c>
      <c r="K1907" s="8">
        <v>0</v>
      </c>
    </row>
    <row r="1908" spans="1:11">
      <c r="A1908" s="2" t="s">
        <v>708</v>
      </c>
      <c r="B1908" s="2" t="s">
        <v>743</v>
      </c>
      <c r="C1908" s="9">
        <v>10061837</v>
      </c>
      <c r="D1908" s="2" t="s">
        <v>3090</v>
      </c>
      <c r="E1908" s="10">
        <v>4</v>
      </c>
      <c r="F1908" s="9" t="s">
        <v>2138</v>
      </c>
      <c r="G1908" s="11">
        <v>46238</v>
      </c>
      <c r="H1908" s="12">
        <v>22.64</v>
      </c>
      <c r="I1908" s="12">
        <v>20.149999999999999</v>
      </c>
      <c r="J1908" s="9" t="s">
        <v>3</v>
      </c>
      <c r="K1908" s="8">
        <v>0</v>
      </c>
    </row>
    <row r="1909" spans="1:11">
      <c r="A1909" s="2" t="s">
        <v>708</v>
      </c>
      <c r="B1909" s="2" t="s">
        <v>743</v>
      </c>
      <c r="C1909" s="9">
        <v>10061838</v>
      </c>
      <c r="D1909" s="2" t="s">
        <v>3091</v>
      </c>
      <c r="E1909" s="10">
        <v>4</v>
      </c>
      <c r="F1909" s="9" t="s">
        <v>2138</v>
      </c>
      <c r="G1909" s="11">
        <v>46238</v>
      </c>
      <c r="H1909" s="12">
        <v>29.02</v>
      </c>
      <c r="I1909" s="12">
        <v>25.83</v>
      </c>
      <c r="J1909" s="9" t="s">
        <v>3</v>
      </c>
      <c r="K1909" s="8">
        <v>0</v>
      </c>
    </row>
    <row r="1910" spans="1:11">
      <c r="A1910" s="2" t="s">
        <v>708</v>
      </c>
      <c r="B1910" s="2" t="s">
        <v>743</v>
      </c>
      <c r="C1910" s="9">
        <v>10061839</v>
      </c>
      <c r="D1910" s="2" t="s">
        <v>3092</v>
      </c>
      <c r="E1910" s="10">
        <v>4</v>
      </c>
      <c r="F1910" s="9" t="s">
        <v>2138</v>
      </c>
      <c r="G1910" s="11">
        <v>46238</v>
      </c>
      <c r="H1910" s="12">
        <v>20.72</v>
      </c>
      <c r="I1910" s="12">
        <v>18.440000000000001</v>
      </c>
      <c r="J1910" s="9" t="s">
        <v>3</v>
      </c>
      <c r="K1910" s="8">
        <v>0</v>
      </c>
    </row>
    <row r="1911" spans="1:11">
      <c r="A1911" s="2" t="s">
        <v>708</v>
      </c>
      <c r="B1911" s="2" t="s">
        <v>743</v>
      </c>
      <c r="C1911" s="9">
        <v>10061840</v>
      </c>
      <c r="D1911" s="2" t="s">
        <v>3093</v>
      </c>
      <c r="E1911" s="10">
        <v>4</v>
      </c>
      <c r="F1911" s="9" t="s">
        <v>2138</v>
      </c>
      <c r="G1911" s="11">
        <v>46238</v>
      </c>
      <c r="H1911" s="12">
        <v>24.87</v>
      </c>
      <c r="I1911" s="12">
        <v>22.13</v>
      </c>
      <c r="J1911" s="9" t="s">
        <v>3</v>
      </c>
      <c r="K1911" s="8">
        <v>0</v>
      </c>
    </row>
    <row r="1912" spans="1:11">
      <c r="A1912" s="2" t="s">
        <v>708</v>
      </c>
      <c r="B1912" s="2" t="s">
        <v>743</v>
      </c>
      <c r="C1912" s="9">
        <v>10061843</v>
      </c>
      <c r="D1912" s="2" t="s">
        <v>3094</v>
      </c>
      <c r="E1912" s="10">
        <v>4</v>
      </c>
      <c r="F1912" s="9" t="s">
        <v>3087</v>
      </c>
      <c r="G1912" s="11">
        <v>46238</v>
      </c>
      <c r="H1912" s="12">
        <v>28.18</v>
      </c>
      <c r="I1912" s="12">
        <v>25.08</v>
      </c>
      <c r="J1912" s="9" t="s">
        <v>3</v>
      </c>
      <c r="K1912" s="8">
        <v>0</v>
      </c>
    </row>
    <row r="1913" spans="1:11">
      <c r="A1913" s="2" t="s">
        <v>708</v>
      </c>
      <c r="B1913" s="2" t="s">
        <v>743</v>
      </c>
      <c r="C1913" s="9">
        <v>10061844</v>
      </c>
      <c r="D1913" s="2" t="s">
        <v>3095</v>
      </c>
      <c r="E1913" s="10">
        <v>4</v>
      </c>
      <c r="F1913" s="9" t="s">
        <v>1681</v>
      </c>
      <c r="G1913" s="11">
        <v>46238</v>
      </c>
      <c r="H1913" s="12">
        <v>37</v>
      </c>
      <c r="I1913" s="12">
        <v>32.93</v>
      </c>
      <c r="J1913" s="9" t="s">
        <v>3</v>
      </c>
      <c r="K1913" s="8">
        <v>0</v>
      </c>
    </row>
    <row r="1914" spans="1:11">
      <c r="A1914" s="2" t="s">
        <v>708</v>
      </c>
      <c r="B1914" s="2" t="s">
        <v>743</v>
      </c>
      <c r="C1914" s="9">
        <v>10061845</v>
      </c>
      <c r="D1914" s="2" t="s">
        <v>3096</v>
      </c>
      <c r="E1914" s="10">
        <v>4</v>
      </c>
      <c r="F1914" s="9" t="s">
        <v>2138</v>
      </c>
      <c r="G1914" s="11">
        <v>46238</v>
      </c>
      <c r="H1914" s="12">
        <v>24.44</v>
      </c>
      <c r="I1914" s="12">
        <v>21.75</v>
      </c>
      <c r="J1914" s="9" t="s">
        <v>3</v>
      </c>
      <c r="K1914" s="8">
        <v>0</v>
      </c>
    </row>
    <row r="1915" spans="1:11">
      <c r="A1915" s="2" t="s">
        <v>708</v>
      </c>
      <c r="B1915" s="2" t="s">
        <v>743</v>
      </c>
      <c r="C1915" s="9">
        <v>10061846</v>
      </c>
      <c r="D1915" s="2" t="s">
        <v>3097</v>
      </c>
      <c r="E1915" s="10">
        <v>4</v>
      </c>
      <c r="F1915" s="9" t="s">
        <v>763</v>
      </c>
      <c r="G1915" s="11">
        <v>46238</v>
      </c>
      <c r="H1915" s="12">
        <v>21.17</v>
      </c>
      <c r="I1915" s="12">
        <v>18.84</v>
      </c>
      <c r="J1915" s="9" t="s">
        <v>3</v>
      </c>
      <c r="K1915" s="8">
        <v>0</v>
      </c>
    </row>
    <row r="1916" spans="1:11">
      <c r="A1916" s="2" t="s">
        <v>708</v>
      </c>
      <c r="B1916" s="2" t="s">
        <v>743</v>
      </c>
      <c r="C1916" s="9">
        <v>10061848</v>
      </c>
      <c r="D1916" s="2" t="s">
        <v>3098</v>
      </c>
      <c r="E1916" s="10">
        <v>4</v>
      </c>
      <c r="F1916" s="9" t="s">
        <v>2954</v>
      </c>
      <c r="G1916" s="11">
        <v>46238</v>
      </c>
      <c r="H1916" s="12">
        <v>28.96</v>
      </c>
      <c r="I1916" s="12">
        <v>25.79</v>
      </c>
      <c r="J1916" s="9" t="s">
        <v>3</v>
      </c>
      <c r="K1916" s="8">
        <v>0</v>
      </c>
    </row>
    <row r="1917" spans="1:11">
      <c r="A1917" s="2" t="s">
        <v>708</v>
      </c>
      <c r="B1917" s="2" t="s">
        <v>743</v>
      </c>
      <c r="C1917" s="9">
        <v>10061849</v>
      </c>
      <c r="D1917" s="2" t="s">
        <v>3099</v>
      </c>
      <c r="E1917" s="10">
        <v>4</v>
      </c>
      <c r="F1917" s="9" t="s">
        <v>3100</v>
      </c>
      <c r="G1917" s="11">
        <v>46238</v>
      </c>
      <c r="H1917" s="12">
        <v>19.64</v>
      </c>
      <c r="I1917" s="12">
        <v>17.48</v>
      </c>
      <c r="J1917" s="9" t="s">
        <v>3</v>
      </c>
      <c r="K1917" s="8">
        <v>0</v>
      </c>
    </row>
    <row r="1918" spans="1:11">
      <c r="A1918" s="2" t="s">
        <v>708</v>
      </c>
      <c r="B1918" s="2" t="s">
        <v>743</v>
      </c>
      <c r="C1918" s="9">
        <v>10061850</v>
      </c>
      <c r="D1918" s="2" t="s">
        <v>3101</v>
      </c>
      <c r="E1918" s="10">
        <v>4</v>
      </c>
      <c r="F1918" s="9" t="s">
        <v>3102</v>
      </c>
      <c r="G1918" s="11">
        <v>46238</v>
      </c>
      <c r="H1918" s="12">
        <v>33.65</v>
      </c>
      <c r="I1918" s="12">
        <v>29.95</v>
      </c>
      <c r="J1918" s="9" t="s">
        <v>3</v>
      </c>
      <c r="K1918" s="8">
        <v>0</v>
      </c>
    </row>
    <row r="1919" spans="1:11">
      <c r="A1919" s="2" t="s">
        <v>708</v>
      </c>
      <c r="B1919" s="2" t="s">
        <v>743</v>
      </c>
      <c r="C1919" s="9">
        <v>10061851</v>
      </c>
      <c r="D1919" s="2" t="s">
        <v>3103</v>
      </c>
      <c r="E1919" s="10">
        <v>4</v>
      </c>
      <c r="F1919" s="9" t="s">
        <v>759</v>
      </c>
      <c r="G1919" s="11">
        <v>46238</v>
      </c>
      <c r="H1919" s="12">
        <v>16.53</v>
      </c>
      <c r="I1919" s="12">
        <v>14.71</v>
      </c>
      <c r="J1919" s="9" t="s">
        <v>3</v>
      </c>
      <c r="K1919" s="8">
        <v>0</v>
      </c>
    </row>
    <row r="1920" spans="1:11">
      <c r="A1920" s="2" t="s">
        <v>708</v>
      </c>
      <c r="B1920" s="2" t="s">
        <v>743</v>
      </c>
      <c r="C1920" s="9">
        <v>10061852</v>
      </c>
      <c r="D1920" s="2" t="s">
        <v>3104</v>
      </c>
      <c r="E1920" s="10">
        <v>4</v>
      </c>
      <c r="F1920" s="9" t="s">
        <v>781</v>
      </c>
      <c r="G1920" s="11">
        <v>46238</v>
      </c>
      <c r="H1920" s="12">
        <v>39.549999999999997</v>
      </c>
      <c r="I1920" s="12">
        <v>35.229999999999997</v>
      </c>
      <c r="J1920" s="9" t="s">
        <v>3</v>
      </c>
      <c r="K1920" s="8">
        <v>0</v>
      </c>
    </row>
    <row r="1921" spans="1:11">
      <c r="A1921" s="2" t="s">
        <v>708</v>
      </c>
      <c r="B1921" s="2" t="s">
        <v>743</v>
      </c>
      <c r="C1921" s="9">
        <v>10061853</v>
      </c>
      <c r="D1921" s="2" t="s">
        <v>3105</v>
      </c>
      <c r="E1921" s="10">
        <v>4</v>
      </c>
      <c r="F1921" s="9" t="s">
        <v>1753</v>
      </c>
      <c r="G1921" s="11">
        <v>46238</v>
      </c>
      <c r="H1921" s="12">
        <v>22.13</v>
      </c>
      <c r="I1921" s="12">
        <v>19.690000000000001</v>
      </c>
      <c r="J1921" s="9" t="s">
        <v>3</v>
      </c>
      <c r="K1921" s="8">
        <v>0</v>
      </c>
    </row>
    <row r="1922" spans="1:11">
      <c r="A1922" s="2" t="s">
        <v>708</v>
      </c>
      <c r="B1922" s="2" t="s">
        <v>743</v>
      </c>
      <c r="C1922" s="9">
        <v>10061854</v>
      </c>
      <c r="D1922" s="2" t="s">
        <v>3106</v>
      </c>
      <c r="E1922" s="10">
        <v>4</v>
      </c>
      <c r="F1922" s="9" t="s">
        <v>3107</v>
      </c>
      <c r="G1922" s="11">
        <v>46238</v>
      </c>
      <c r="H1922" s="12">
        <v>22.13</v>
      </c>
      <c r="I1922" s="12">
        <v>19.690000000000001</v>
      </c>
      <c r="J1922" s="9" t="s">
        <v>3</v>
      </c>
      <c r="K1922" s="8">
        <v>0</v>
      </c>
    </row>
    <row r="1923" spans="1:11">
      <c r="A1923" s="2" t="s">
        <v>708</v>
      </c>
      <c r="B1923" s="2" t="s">
        <v>743</v>
      </c>
      <c r="C1923" s="9">
        <v>10061855</v>
      </c>
      <c r="D1923" s="2" t="s">
        <v>3108</v>
      </c>
      <c r="E1923" s="10">
        <v>4</v>
      </c>
      <c r="F1923" s="9" t="s">
        <v>3107</v>
      </c>
      <c r="G1923" s="11">
        <v>46238</v>
      </c>
      <c r="H1923" s="12">
        <v>22.13</v>
      </c>
      <c r="I1923" s="12">
        <v>19.690000000000001</v>
      </c>
      <c r="J1923" s="9" t="s">
        <v>3</v>
      </c>
      <c r="K1923" s="8">
        <v>0</v>
      </c>
    </row>
    <row r="1924" spans="1:11">
      <c r="A1924" s="2" t="s">
        <v>708</v>
      </c>
      <c r="B1924" s="2" t="s">
        <v>743</v>
      </c>
      <c r="C1924" s="9">
        <v>10061856</v>
      </c>
      <c r="D1924" s="2" t="s">
        <v>3109</v>
      </c>
      <c r="E1924" s="10">
        <v>4</v>
      </c>
      <c r="F1924" s="9" t="s">
        <v>2946</v>
      </c>
      <c r="G1924" s="11">
        <v>46238</v>
      </c>
      <c r="H1924" s="12">
        <v>22.13</v>
      </c>
      <c r="I1924" s="12">
        <v>19.690000000000001</v>
      </c>
      <c r="J1924" s="9" t="s">
        <v>3</v>
      </c>
      <c r="K1924" s="8">
        <v>0</v>
      </c>
    </row>
    <row r="1925" spans="1:11">
      <c r="A1925" s="2" t="s">
        <v>708</v>
      </c>
      <c r="B1925" s="2" t="s">
        <v>3110</v>
      </c>
      <c r="C1925" s="9">
        <v>10061901</v>
      </c>
      <c r="D1925" s="2" t="s">
        <v>3111</v>
      </c>
      <c r="E1925" s="10">
        <v>12</v>
      </c>
      <c r="F1925" s="9" t="s">
        <v>3112</v>
      </c>
      <c r="G1925" s="11">
        <v>46238</v>
      </c>
      <c r="H1925" s="12">
        <v>85.67</v>
      </c>
      <c r="I1925" s="12">
        <v>76.25</v>
      </c>
      <c r="J1925" s="9" t="s">
        <v>3</v>
      </c>
      <c r="K1925" s="8">
        <v>0</v>
      </c>
    </row>
    <row r="1926" spans="1:11">
      <c r="A1926" s="2" t="s">
        <v>708</v>
      </c>
      <c r="B1926" s="2" t="s">
        <v>3110</v>
      </c>
      <c r="C1926" s="9">
        <v>10061902</v>
      </c>
      <c r="D1926" s="2" t="s">
        <v>3113</v>
      </c>
      <c r="E1926" s="10">
        <v>12</v>
      </c>
      <c r="F1926" s="9" t="s">
        <v>3112</v>
      </c>
      <c r="G1926" s="11">
        <v>46238</v>
      </c>
      <c r="H1926" s="12">
        <v>85.67</v>
      </c>
      <c r="I1926" s="12">
        <v>76.25</v>
      </c>
      <c r="J1926" s="9" t="s">
        <v>3</v>
      </c>
      <c r="K1926" s="8">
        <v>0</v>
      </c>
    </row>
    <row r="1927" spans="1:11">
      <c r="A1927" s="2" t="s">
        <v>708</v>
      </c>
      <c r="B1927" s="2" t="s">
        <v>3110</v>
      </c>
      <c r="C1927" s="9">
        <v>10061904</v>
      </c>
      <c r="D1927" s="2" t="s">
        <v>3114</v>
      </c>
      <c r="E1927" s="10">
        <v>12</v>
      </c>
      <c r="F1927" s="9" t="s">
        <v>3112</v>
      </c>
      <c r="G1927" s="11">
        <v>46238</v>
      </c>
      <c r="H1927" s="12">
        <v>85.67</v>
      </c>
      <c r="I1927" s="12">
        <v>76.25</v>
      </c>
      <c r="J1927" s="9" t="s">
        <v>3</v>
      </c>
      <c r="K1927" s="8">
        <v>0</v>
      </c>
    </row>
    <row r="1928" spans="1:11">
      <c r="A1928" s="2" t="s">
        <v>708</v>
      </c>
      <c r="B1928" s="2" t="s">
        <v>3110</v>
      </c>
      <c r="C1928" s="9">
        <v>10061909</v>
      </c>
      <c r="D1928" s="2" t="s">
        <v>3115</v>
      </c>
      <c r="E1928" s="10">
        <v>6</v>
      </c>
      <c r="F1928" s="9" t="s">
        <v>1536</v>
      </c>
      <c r="G1928" s="11">
        <v>46238</v>
      </c>
      <c r="H1928" s="12">
        <v>36.71</v>
      </c>
      <c r="I1928" s="12">
        <v>32.67</v>
      </c>
      <c r="J1928" s="9" t="s">
        <v>3</v>
      </c>
      <c r="K1928" s="8">
        <v>0</v>
      </c>
    </row>
    <row r="1929" spans="1:11">
      <c r="A1929" s="2" t="s">
        <v>708</v>
      </c>
      <c r="B1929" s="2" t="s">
        <v>3110</v>
      </c>
      <c r="C1929" s="9">
        <v>10061910</v>
      </c>
      <c r="D1929" s="2" t="s">
        <v>3116</v>
      </c>
      <c r="E1929" s="10">
        <v>6</v>
      </c>
      <c r="F1929" s="9" t="s">
        <v>1536</v>
      </c>
      <c r="G1929" s="11">
        <v>46238</v>
      </c>
      <c r="H1929" s="12">
        <v>36.71</v>
      </c>
      <c r="I1929" s="12">
        <v>32.67</v>
      </c>
      <c r="J1929" s="9" t="s">
        <v>3</v>
      </c>
      <c r="K1929" s="8">
        <v>0</v>
      </c>
    </row>
    <row r="1930" spans="1:11">
      <c r="A1930" s="2" t="s">
        <v>851</v>
      </c>
      <c r="B1930" s="2" t="s">
        <v>3117</v>
      </c>
      <c r="C1930" s="9">
        <v>10061973</v>
      </c>
      <c r="D1930" s="2" t="s">
        <v>3118</v>
      </c>
      <c r="E1930" s="10">
        <v>6</v>
      </c>
      <c r="F1930" s="9" t="s">
        <v>1315</v>
      </c>
      <c r="G1930" s="11">
        <v>46238</v>
      </c>
      <c r="H1930" s="12">
        <v>40.74</v>
      </c>
      <c r="I1930" s="12">
        <v>36.26</v>
      </c>
      <c r="J1930" s="9" t="s">
        <v>3</v>
      </c>
      <c r="K1930" s="8">
        <v>0</v>
      </c>
    </row>
    <row r="1931" spans="1:11">
      <c r="A1931" s="2" t="s">
        <v>851</v>
      </c>
      <c r="B1931" s="2" t="s">
        <v>3117</v>
      </c>
      <c r="C1931" s="9">
        <v>10061974</v>
      </c>
      <c r="D1931" s="2" t="s">
        <v>3119</v>
      </c>
      <c r="E1931" s="10">
        <v>6</v>
      </c>
      <c r="F1931" s="9" t="s">
        <v>1315</v>
      </c>
      <c r="G1931" s="11">
        <v>46238</v>
      </c>
      <c r="H1931" s="12">
        <v>40.74</v>
      </c>
      <c r="I1931" s="12">
        <v>36.26</v>
      </c>
      <c r="J1931" s="9" t="s">
        <v>3</v>
      </c>
      <c r="K1931" s="8">
        <v>0</v>
      </c>
    </row>
    <row r="1932" spans="1:11">
      <c r="A1932" s="2" t="s">
        <v>851</v>
      </c>
      <c r="B1932" s="2" t="s">
        <v>3117</v>
      </c>
      <c r="C1932" s="9">
        <v>10061975</v>
      </c>
      <c r="D1932" s="2" t="s">
        <v>3120</v>
      </c>
      <c r="E1932" s="10">
        <v>6</v>
      </c>
      <c r="F1932" s="9" t="s">
        <v>1315</v>
      </c>
      <c r="G1932" s="11">
        <v>46238</v>
      </c>
      <c r="H1932" s="12">
        <v>40.74</v>
      </c>
      <c r="I1932" s="12">
        <v>36.26</v>
      </c>
      <c r="J1932" s="9" t="s">
        <v>3</v>
      </c>
      <c r="K1932" s="8">
        <v>0</v>
      </c>
    </row>
    <row r="1933" spans="1:11">
      <c r="A1933" s="2" t="s">
        <v>906</v>
      </c>
      <c r="B1933" s="2" t="s">
        <v>3041</v>
      </c>
      <c r="C1933" s="9">
        <v>10061998</v>
      </c>
      <c r="D1933" s="2" t="s">
        <v>3121</v>
      </c>
      <c r="E1933" s="10">
        <v>10</v>
      </c>
      <c r="F1933" s="9" t="s">
        <v>982</v>
      </c>
      <c r="G1933" s="11">
        <v>46238</v>
      </c>
      <c r="H1933" s="12">
        <v>45.76</v>
      </c>
      <c r="I1933" s="12">
        <v>42.1</v>
      </c>
      <c r="J1933" s="9" t="s">
        <v>3</v>
      </c>
      <c r="K1933" s="8">
        <v>0</v>
      </c>
    </row>
    <row r="1934" spans="1:11">
      <c r="A1934" s="2" t="s">
        <v>906</v>
      </c>
      <c r="B1934" s="2" t="s">
        <v>3005</v>
      </c>
      <c r="C1934" s="9">
        <v>10062038</v>
      </c>
      <c r="D1934" s="2" t="s">
        <v>3122</v>
      </c>
      <c r="E1934" s="10">
        <v>18</v>
      </c>
      <c r="F1934" s="9" t="s">
        <v>3007</v>
      </c>
      <c r="G1934" s="11">
        <v>46238</v>
      </c>
      <c r="H1934" s="12">
        <v>67.14</v>
      </c>
      <c r="I1934" s="12">
        <v>61.74</v>
      </c>
      <c r="J1934" s="9" t="s">
        <v>3</v>
      </c>
      <c r="K1934" s="8">
        <v>0</v>
      </c>
    </row>
    <row r="1935" spans="1:11">
      <c r="A1935" s="2" t="s">
        <v>906</v>
      </c>
      <c r="B1935" s="2" t="s">
        <v>2991</v>
      </c>
      <c r="C1935" s="9">
        <v>10062041</v>
      </c>
      <c r="D1935" s="2" t="s">
        <v>3123</v>
      </c>
      <c r="E1935" s="10">
        <v>8</v>
      </c>
      <c r="F1935" s="9" t="s">
        <v>969</v>
      </c>
      <c r="G1935" s="11">
        <v>46238</v>
      </c>
      <c r="H1935" s="12">
        <v>47.28</v>
      </c>
      <c r="I1935" s="12">
        <v>43.52</v>
      </c>
      <c r="J1935" s="9" t="s">
        <v>3</v>
      </c>
      <c r="K1935" s="8">
        <v>0</v>
      </c>
    </row>
    <row r="1936" spans="1:11">
      <c r="A1936" s="2" t="s">
        <v>906</v>
      </c>
      <c r="B1936" s="2" t="s">
        <v>2991</v>
      </c>
      <c r="C1936" s="9">
        <v>10062043</v>
      </c>
      <c r="D1936" s="2" t="s">
        <v>3124</v>
      </c>
      <c r="E1936" s="10">
        <v>6</v>
      </c>
      <c r="F1936" s="9" t="s">
        <v>982</v>
      </c>
      <c r="G1936" s="11">
        <v>46238</v>
      </c>
      <c r="H1936" s="12">
        <v>35.54</v>
      </c>
      <c r="I1936" s="12">
        <v>32.700000000000003</v>
      </c>
      <c r="J1936" s="9" t="s">
        <v>3</v>
      </c>
      <c r="K1936" s="8">
        <v>0</v>
      </c>
    </row>
    <row r="1937" spans="1:11">
      <c r="A1937" s="2" t="s">
        <v>1120</v>
      </c>
      <c r="B1937" s="2" t="s">
        <v>3125</v>
      </c>
      <c r="C1937" s="9">
        <v>10062216</v>
      </c>
      <c r="D1937" s="2" t="s">
        <v>3126</v>
      </c>
      <c r="E1937" s="10">
        <v>6</v>
      </c>
      <c r="F1937" s="9" t="s">
        <v>2302</v>
      </c>
      <c r="G1937" s="11">
        <v>46238</v>
      </c>
      <c r="H1937" s="12">
        <v>74.61</v>
      </c>
      <c r="I1937" s="12">
        <v>66.39</v>
      </c>
      <c r="J1937" s="9" t="s">
        <v>3</v>
      </c>
      <c r="K1937" s="8">
        <v>0</v>
      </c>
    </row>
    <row r="1938" spans="1:11">
      <c r="A1938" s="2" t="s">
        <v>1120</v>
      </c>
      <c r="B1938" s="2" t="s">
        <v>3127</v>
      </c>
      <c r="C1938" s="9">
        <v>10062234</v>
      </c>
      <c r="D1938" s="2" t="s">
        <v>3127</v>
      </c>
      <c r="E1938" s="10">
        <v>6</v>
      </c>
      <c r="F1938" s="9" t="s">
        <v>2302</v>
      </c>
      <c r="G1938" s="11">
        <v>46238</v>
      </c>
      <c r="H1938" s="12">
        <v>114.41</v>
      </c>
      <c r="I1938" s="12">
        <v>101.83</v>
      </c>
      <c r="J1938" s="9" t="s">
        <v>3</v>
      </c>
      <c r="K1938" s="8">
        <v>0</v>
      </c>
    </row>
    <row r="1939" spans="1:11">
      <c r="A1939" s="2" t="s">
        <v>949</v>
      </c>
      <c r="B1939" s="2" t="s">
        <v>2913</v>
      </c>
      <c r="C1939" s="9">
        <v>10063076</v>
      </c>
      <c r="D1939" s="2" t="s">
        <v>3128</v>
      </c>
      <c r="E1939" s="10">
        <v>12</v>
      </c>
      <c r="F1939" s="9" t="s">
        <v>955</v>
      </c>
      <c r="G1939" s="11">
        <v>46238</v>
      </c>
      <c r="H1939" s="12">
        <v>85.91</v>
      </c>
      <c r="I1939" s="12">
        <v>85.91</v>
      </c>
      <c r="J1939" s="9" t="s">
        <v>3</v>
      </c>
      <c r="K1939" s="8">
        <v>0</v>
      </c>
    </row>
    <row r="1940" spans="1:11">
      <c r="A1940" s="2" t="s">
        <v>949</v>
      </c>
      <c r="B1940" s="2" t="s">
        <v>2913</v>
      </c>
      <c r="C1940" s="9">
        <v>10063077</v>
      </c>
      <c r="D1940" s="2" t="s">
        <v>3129</v>
      </c>
      <c r="E1940" s="10">
        <v>15</v>
      </c>
      <c r="F1940" s="9" t="s">
        <v>955</v>
      </c>
      <c r="G1940" s="11">
        <v>46238</v>
      </c>
      <c r="H1940" s="12">
        <v>274.94</v>
      </c>
      <c r="I1940" s="12">
        <v>274.94</v>
      </c>
      <c r="J1940" s="9" t="s">
        <v>3</v>
      </c>
      <c r="K1940" s="8">
        <v>0</v>
      </c>
    </row>
    <row r="1941" spans="1:11">
      <c r="A1941" s="2" t="s">
        <v>1255</v>
      </c>
      <c r="B1941" s="2" t="s">
        <v>3130</v>
      </c>
      <c r="C1941" s="9">
        <v>10063101</v>
      </c>
      <c r="D1941" s="2" t="s">
        <v>3131</v>
      </c>
      <c r="E1941" s="10">
        <v>12</v>
      </c>
      <c r="F1941" s="9" t="s">
        <v>728</v>
      </c>
      <c r="G1941" s="11">
        <v>46238</v>
      </c>
      <c r="H1941" s="12">
        <v>47.33</v>
      </c>
      <c r="I1941" s="12">
        <v>42.12</v>
      </c>
      <c r="J1941" s="9" t="s">
        <v>3</v>
      </c>
      <c r="K1941" s="8">
        <v>0</v>
      </c>
    </row>
    <row r="1942" spans="1:11">
      <c r="A1942" s="2" t="s">
        <v>1255</v>
      </c>
      <c r="B1942" s="2" t="s">
        <v>3130</v>
      </c>
      <c r="C1942" s="9">
        <v>10063102</v>
      </c>
      <c r="D1942" s="2" t="s">
        <v>3132</v>
      </c>
      <c r="E1942" s="10">
        <v>12</v>
      </c>
      <c r="F1942" s="9" t="s">
        <v>728</v>
      </c>
      <c r="G1942" s="11">
        <v>46238</v>
      </c>
      <c r="H1942" s="12">
        <v>47.33</v>
      </c>
      <c r="I1942" s="12">
        <v>42.12</v>
      </c>
      <c r="J1942" s="9" t="s">
        <v>3</v>
      </c>
      <c r="K1942" s="8">
        <v>0</v>
      </c>
    </row>
    <row r="1943" spans="1:11">
      <c r="A1943" s="2" t="s">
        <v>1255</v>
      </c>
      <c r="B1943" s="2" t="s">
        <v>3130</v>
      </c>
      <c r="C1943" s="9">
        <v>10063103</v>
      </c>
      <c r="D1943" s="2" t="s">
        <v>3133</v>
      </c>
      <c r="E1943" s="10">
        <v>12</v>
      </c>
      <c r="F1943" s="9" t="s">
        <v>728</v>
      </c>
      <c r="G1943" s="11">
        <v>46238</v>
      </c>
      <c r="H1943" s="12">
        <v>47.33</v>
      </c>
      <c r="I1943" s="12">
        <v>42.12</v>
      </c>
      <c r="J1943" s="9" t="s">
        <v>3</v>
      </c>
      <c r="K1943" s="8">
        <v>0</v>
      </c>
    </row>
    <row r="1944" spans="1:11">
      <c r="A1944" s="2" t="s">
        <v>1255</v>
      </c>
      <c r="B1944" s="2" t="s">
        <v>3130</v>
      </c>
      <c r="C1944" s="9">
        <v>10063104</v>
      </c>
      <c r="D1944" s="2" t="s">
        <v>3134</v>
      </c>
      <c r="E1944" s="10">
        <v>12</v>
      </c>
      <c r="F1944" s="9" t="s">
        <v>728</v>
      </c>
      <c r="G1944" s="11">
        <v>46238</v>
      </c>
      <c r="H1944" s="12">
        <v>47.33</v>
      </c>
      <c r="I1944" s="12">
        <v>42.12</v>
      </c>
      <c r="J1944" s="9" t="s">
        <v>3</v>
      </c>
      <c r="K1944" s="8">
        <v>0</v>
      </c>
    </row>
    <row r="1945" spans="1:11">
      <c r="A1945" s="2" t="s">
        <v>1255</v>
      </c>
      <c r="B1945" s="2" t="s">
        <v>3130</v>
      </c>
      <c r="C1945" s="9">
        <v>10063105</v>
      </c>
      <c r="D1945" s="2" t="s">
        <v>3135</v>
      </c>
      <c r="E1945" s="10">
        <v>12</v>
      </c>
      <c r="F1945" s="9" t="s">
        <v>728</v>
      </c>
      <c r="G1945" s="11">
        <v>46238</v>
      </c>
      <c r="H1945" s="12">
        <v>47.33</v>
      </c>
      <c r="I1945" s="12">
        <v>42.12</v>
      </c>
      <c r="J1945" s="9" t="s">
        <v>3</v>
      </c>
      <c r="K1945" s="8">
        <v>0</v>
      </c>
    </row>
    <row r="1946" spans="1:11">
      <c r="A1946" s="2" t="s">
        <v>721</v>
      </c>
      <c r="B1946" s="2" t="s">
        <v>3136</v>
      </c>
      <c r="C1946" s="9">
        <v>10063373</v>
      </c>
      <c r="D1946" s="2" t="s">
        <v>3137</v>
      </c>
      <c r="E1946" s="10">
        <v>6</v>
      </c>
      <c r="F1946" s="9" t="s">
        <v>3138</v>
      </c>
      <c r="G1946" s="11">
        <v>46238</v>
      </c>
      <c r="H1946" s="12">
        <v>50.66</v>
      </c>
      <c r="I1946" s="12">
        <v>45.09</v>
      </c>
      <c r="J1946" s="9" t="s">
        <v>3</v>
      </c>
      <c r="K1946" s="8">
        <v>0</v>
      </c>
    </row>
    <row r="1947" spans="1:11">
      <c r="A1947" s="2" t="s">
        <v>721</v>
      </c>
      <c r="B1947" s="2" t="s">
        <v>3136</v>
      </c>
      <c r="C1947" s="9">
        <v>10063391</v>
      </c>
      <c r="D1947" s="2" t="s">
        <v>3139</v>
      </c>
      <c r="E1947" s="10">
        <v>6</v>
      </c>
      <c r="F1947" s="9" t="s">
        <v>1315</v>
      </c>
      <c r="G1947" s="11">
        <v>46238</v>
      </c>
      <c r="H1947" s="12">
        <v>25.87</v>
      </c>
      <c r="I1947" s="12">
        <v>23.02</v>
      </c>
      <c r="J1947" s="9" t="s">
        <v>3</v>
      </c>
      <c r="K1947" s="8">
        <v>0</v>
      </c>
    </row>
    <row r="1948" spans="1:11">
      <c r="A1948" s="2" t="s">
        <v>721</v>
      </c>
      <c r="B1948" s="2" t="s">
        <v>3136</v>
      </c>
      <c r="C1948" s="9">
        <v>10063392</v>
      </c>
      <c r="D1948" s="2" t="s">
        <v>3140</v>
      </c>
      <c r="E1948" s="10">
        <v>6</v>
      </c>
      <c r="F1948" s="9" t="s">
        <v>1315</v>
      </c>
      <c r="G1948" s="11">
        <v>46238</v>
      </c>
      <c r="H1948" s="12">
        <v>25.87</v>
      </c>
      <c r="I1948" s="12">
        <v>23.02</v>
      </c>
      <c r="J1948" s="9" t="s">
        <v>3</v>
      </c>
      <c r="K1948" s="8">
        <v>0</v>
      </c>
    </row>
    <row r="1949" spans="1:11">
      <c r="A1949" s="2" t="s">
        <v>721</v>
      </c>
      <c r="B1949" s="2" t="s">
        <v>3136</v>
      </c>
      <c r="C1949" s="9">
        <v>10063395</v>
      </c>
      <c r="D1949" s="2" t="s">
        <v>3141</v>
      </c>
      <c r="E1949" s="10">
        <v>6</v>
      </c>
      <c r="F1949" s="9" t="s">
        <v>1315</v>
      </c>
      <c r="G1949" s="11">
        <v>46238</v>
      </c>
      <c r="H1949" s="12">
        <v>25.87</v>
      </c>
      <c r="I1949" s="12">
        <v>23.02</v>
      </c>
      <c r="J1949" s="9" t="s">
        <v>3</v>
      </c>
      <c r="K1949" s="8">
        <v>0</v>
      </c>
    </row>
    <row r="1950" spans="1:11">
      <c r="A1950" s="2" t="s">
        <v>708</v>
      </c>
      <c r="B1950" s="2" t="s">
        <v>2727</v>
      </c>
      <c r="C1950" s="9">
        <v>10063417</v>
      </c>
      <c r="D1950" s="2" t="s">
        <v>3142</v>
      </c>
      <c r="E1950" s="10">
        <v>12</v>
      </c>
      <c r="F1950" s="9" t="s">
        <v>955</v>
      </c>
      <c r="G1950" s="11">
        <v>46238</v>
      </c>
      <c r="H1950" s="12">
        <v>76.94</v>
      </c>
      <c r="I1950" s="12">
        <v>68.48</v>
      </c>
      <c r="J1950" s="9" t="s">
        <v>3</v>
      </c>
      <c r="K1950" s="8">
        <v>0</v>
      </c>
    </row>
    <row r="1951" spans="1:11">
      <c r="A1951" s="2" t="s">
        <v>708</v>
      </c>
      <c r="B1951" s="2" t="s">
        <v>2727</v>
      </c>
      <c r="C1951" s="9">
        <v>10063418</v>
      </c>
      <c r="D1951" s="2" t="s">
        <v>3143</v>
      </c>
      <c r="E1951" s="10">
        <v>12</v>
      </c>
      <c r="F1951" s="9" t="s">
        <v>955</v>
      </c>
      <c r="G1951" s="11">
        <v>46238</v>
      </c>
      <c r="H1951" s="12">
        <v>76.94</v>
      </c>
      <c r="I1951" s="12">
        <v>68.48</v>
      </c>
      <c r="J1951" s="9" t="s">
        <v>3</v>
      </c>
      <c r="K1951" s="8">
        <v>0</v>
      </c>
    </row>
    <row r="1952" spans="1:11">
      <c r="A1952" s="2" t="s">
        <v>708</v>
      </c>
      <c r="B1952" s="2" t="s">
        <v>2727</v>
      </c>
      <c r="C1952" s="9">
        <v>10063429</v>
      </c>
      <c r="D1952" s="2" t="s">
        <v>3144</v>
      </c>
      <c r="E1952" s="10">
        <v>12</v>
      </c>
      <c r="F1952" s="9" t="s">
        <v>955</v>
      </c>
      <c r="G1952" s="11">
        <v>46238</v>
      </c>
      <c r="H1952" s="12">
        <v>59.24</v>
      </c>
      <c r="I1952" s="12">
        <v>52.72</v>
      </c>
      <c r="J1952" s="9" t="s">
        <v>3</v>
      </c>
      <c r="K1952" s="8">
        <v>0</v>
      </c>
    </row>
    <row r="1953" spans="1:11">
      <c r="A1953" s="2" t="s">
        <v>708</v>
      </c>
      <c r="B1953" s="2" t="s">
        <v>2727</v>
      </c>
      <c r="C1953" s="9">
        <v>10063460</v>
      </c>
      <c r="D1953" s="2" t="s">
        <v>3145</v>
      </c>
      <c r="E1953" s="10">
        <v>12</v>
      </c>
      <c r="F1953" s="9" t="s">
        <v>666</v>
      </c>
      <c r="G1953" s="11">
        <v>46238</v>
      </c>
      <c r="H1953" s="12">
        <v>59.24</v>
      </c>
      <c r="I1953" s="12">
        <v>52.72</v>
      </c>
      <c r="J1953" s="9" t="s">
        <v>3</v>
      </c>
      <c r="K1953" s="8">
        <v>0</v>
      </c>
    </row>
    <row r="1954" spans="1:11">
      <c r="A1954" s="2" t="s">
        <v>708</v>
      </c>
      <c r="B1954" s="2" t="s">
        <v>2727</v>
      </c>
      <c r="C1954" s="9">
        <v>10063461</v>
      </c>
      <c r="D1954" s="2" t="s">
        <v>3146</v>
      </c>
      <c r="E1954" s="10">
        <v>12</v>
      </c>
      <c r="F1954" s="9" t="s">
        <v>666</v>
      </c>
      <c r="G1954" s="11">
        <v>46238</v>
      </c>
      <c r="H1954" s="12">
        <v>91.83</v>
      </c>
      <c r="I1954" s="12">
        <v>81.73</v>
      </c>
      <c r="J1954" s="9" t="s">
        <v>3</v>
      </c>
      <c r="K1954" s="8">
        <v>0</v>
      </c>
    </row>
    <row r="1955" spans="1:11">
      <c r="A1955" s="2" t="s">
        <v>708</v>
      </c>
      <c r="B1955" s="2" t="s">
        <v>2727</v>
      </c>
      <c r="C1955" s="9">
        <v>10063463</v>
      </c>
      <c r="D1955" s="2" t="s">
        <v>3147</v>
      </c>
      <c r="E1955" s="10">
        <v>12</v>
      </c>
      <c r="F1955" s="9" t="s">
        <v>2302</v>
      </c>
      <c r="G1955" s="11">
        <v>46238</v>
      </c>
      <c r="H1955" s="12">
        <v>34.56</v>
      </c>
      <c r="I1955" s="12">
        <v>30.72</v>
      </c>
      <c r="J1955" s="9" t="s">
        <v>3</v>
      </c>
      <c r="K1955" s="8">
        <v>0</v>
      </c>
    </row>
    <row r="1956" spans="1:11">
      <c r="A1956" s="2" t="s">
        <v>708</v>
      </c>
      <c r="B1956" s="2" t="s">
        <v>2727</v>
      </c>
      <c r="C1956" s="9">
        <v>10063464</v>
      </c>
      <c r="D1956" s="2" t="s">
        <v>3148</v>
      </c>
      <c r="E1956" s="10">
        <v>12</v>
      </c>
      <c r="F1956" s="9" t="s">
        <v>2302</v>
      </c>
      <c r="G1956" s="11">
        <v>46238</v>
      </c>
      <c r="H1956" s="12">
        <v>34.56</v>
      </c>
      <c r="I1956" s="12">
        <v>30.72</v>
      </c>
      <c r="J1956" s="9" t="s">
        <v>3</v>
      </c>
      <c r="K1956" s="8">
        <v>0</v>
      </c>
    </row>
    <row r="1957" spans="1:11">
      <c r="A1957" s="2" t="s">
        <v>708</v>
      </c>
      <c r="B1957" s="2" t="s">
        <v>2727</v>
      </c>
      <c r="C1957" s="9">
        <v>10063465</v>
      </c>
      <c r="D1957" s="2" t="s">
        <v>3149</v>
      </c>
      <c r="E1957" s="10">
        <v>12</v>
      </c>
      <c r="F1957" s="9" t="s">
        <v>666</v>
      </c>
      <c r="G1957" s="11">
        <v>46238</v>
      </c>
      <c r="H1957" s="12">
        <v>76.94</v>
      </c>
      <c r="I1957" s="12">
        <v>68.48</v>
      </c>
      <c r="J1957" s="9" t="s">
        <v>3</v>
      </c>
      <c r="K1957" s="8">
        <v>0</v>
      </c>
    </row>
    <row r="1958" spans="1:11">
      <c r="A1958" s="2" t="s">
        <v>708</v>
      </c>
      <c r="B1958" s="2" t="s">
        <v>2727</v>
      </c>
      <c r="C1958" s="9">
        <v>10063466</v>
      </c>
      <c r="D1958" s="2" t="s">
        <v>3150</v>
      </c>
      <c r="E1958" s="10">
        <v>12</v>
      </c>
      <c r="F1958" s="9" t="s">
        <v>666</v>
      </c>
      <c r="G1958" s="11">
        <v>46238</v>
      </c>
      <c r="H1958" s="12">
        <v>91.83</v>
      </c>
      <c r="I1958" s="12">
        <v>81.73</v>
      </c>
      <c r="J1958" s="9" t="s">
        <v>3</v>
      </c>
      <c r="K1958" s="8">
        <v>0</v>
      </c>
    </row>
    <row r="1959" spans="1:11">
      <c r="A1959" s="2" t="s">
        <v>708</v>
      </c>
      <c r="B1959" s="2" t="s">
        <v>2727</v>
      </c>
      <c r="C1959" s="9">
        <v>10063471</v>
      </c>
      <c r="D1959" s="2" t="s">
        <v>3151</v>
      </c>
      <c r="E1959" s="10">
        <v>12</v>
      </c>
      <c r="F1959" s="9" t="s">
        <v>3152</v>
      </c>
      <c r="G1959" s="11">
        <v>46238</v>
      </c>
      <c r="H1959" s="12">
        <v>55.98</v>
      </c>
      <c r="I1959" s="12">
        <v>49.82</v>
      </c>
      <c r="J1959" s="9" t="s">
        <v>3</v>
      </c>
      <c r="K1959" s="8">
        <v>0</v>
      </c>
    </row>
    <row r="1960" spans="1:11">
      <c r="A1960" s="2" t="s">
        <v>708</v>
      </c>
      <c r="B1960" s="2" t="s">
        <v>2727</v>
      </c>
      <c r="C1960" s="9">
        <v>10063472</v>
      </c>
      <c r="D1960" s="2" t="s">
        <v>3153</v>
      </c>
      <c r="E1960" s="10">
        <v>12</v>
      </c>
      <c r="F1960" s="9" t="s">
        <v>3152</v>
      </c>
      <c r="G1960" s="11">
        <v>46238</v>
      </c>
      <c r="H1960" s="12">
        <v>55.98</v>
      </c>
      <c r="I1960" s="12">
        <v>49.82</v>
      </c>
      <c r="J1960" s="9" t="s">
        <v>3</v>
      </c>
      <c r="K1960" s="8">
        <v>0</v>
      </c>
    </row>
    <row r="1961" spans="1:11">
      <c r="A1961" s="2" t="s">
        <v>708</v>
      </c>
      <c r="B1961" s="2" t="s">
        <v>2727</v>
      </c>
      <c r="C1961" s="9">
        <v>10063473</v>
      </c>
      <c r="D1961" s="2" t="s">
        <v>3154</v>
      </c>
      <c r="E1961" s="10">
        <v>12</v>
      </c>
      <c r="F1961" s="9" t="s">
        <v>3152</v>
      </c>
      <c r="G1961" s="11">
        <v>46238</v>
      </c>
      <c r="H1961" s="12">
        <v>55.98</v>
      </c>
      <c r="I1961" s="12">
        <v>49.82</v>
      </c>
      <c r="J1961" s="9" t="s">
        <v>3</v>
      </c>
      <c r="K1961" s="8">
        <v>0</v>
      </c>
    </row>
    <row r="1962" spans="1:11">
      <c r="A1962" s="2" t="s">
        <v>708</v>
      </c>
      <c r="B1962" s="2" t="s">
        <v>2727</v>
      </c>
      <c r="C1962" s="9">
        <v>10063474</v>
      </c>
      <c r="D1962" s="2" t="s">
        <v>3155</v>
      </c>
      <c r="E1962" s="10">
        <v>12</v>
      </c>
      <c r="F1962" s="9" t="s">
        <v>3156</v>
      </c>
      <c r="G1962" s="11">
        <v>46238</v>
      </c>
      <c r="H1962" s="12">
        <v>53.28</v>
      </c>
      <c r="I1962" s="12">
        <v>47.42</v>
      </c>
      <c r="J1962" s="9" t="s">
        <v>3</v>
      </c>
      <c r="K1962" s="8">
        <v>0</v>
      </c>
    </row>
    <row r="1963" spans="1:11">
      <c r="A1963" s="2" t="s">
        <v>708</v>
      </c>
      <c r="B1963" s="2" t="s">
        <v>2727</v>
      </c>
      <c r="C1963" s="9">
        <v>10063475</v>
      </c>
      <c r="D1963" s="2" t="s">
        <v>3157</v>
      </c>
      <c r="E1963" s="10">
        <v>12</v>
      </c>
      <c r="F1963" s="9" t="s">
        <v>3156</v>
      </c>
      <c r="G1963" s="11">
        <v>46238</v>
      </c>
      <c r="H1963" s="12">
        <v>53.28</v>
      </c>
      <c r="I1963" s="12">
        <v>47.42</v>
      </c>
      <c r="J1963" s="9" t="s">
        <v>3</v>
      </c>
      <c r="K1963" s="8">
        <v>0</v>
      </c>
    </row>
    <row r="1964" spans="1:11">
      <c r="A1964" s="2" t="s">
        <v>708</v>
      </c>
      <c r="B1964" s="2" t="s">
        <v>2727</v>
      </c>
      <c r="C1964" s="9">
        <v>10063476</v>
      </c>
      <c r="D1964" s="2" t="s">
        <v>3158</v>
      </c>
      <c r="E1964" s="10">
        <v>12</v>
      </c>
      <c r="F1964" s="9" t="s">
        <v>3156</v>
      </c>
      <c r="G1964" s="11">
        <v>46238</v>
      </c>
      <c r="H1964" s="12">
        <v>50.64</v>
      </c>
      <c r="I1964" s="12">
        <v>45.12</v>
      </c>
      <c r="J1964" s="9" t="s">
        <v>3</v>
      </c>
      <c r="K1964" s="8">
        <v>0</v>
      </c>
    </row>
    <row r="1965" spans="1:11">
      <c r="A1965" s="2" t="s">
        <v>1120</v>
      </c>
      <c r="B1965" s="2" t="s">
        <v>3159</v>
      </c>
      <c r="C1965" s="9">
        <v>10063806</v>
      </c>
      <c r="D1965" s="2" t="s">
        <v>3160</v>
      </c>
      <c r="E1965" s="10">
        <v>12</v>
      </c>
      <c r="F1965" s="9" t="s">
        <v>2322</v>
      </c>
      <c r="G1965" s="11">
        <v>46238</v>
      </c>
      <c r="H1965" s="12">
        <v>25.44</v>
      </c>
      <c r="I1965" s="12">
        <v>24.84</v>
      </c>
      <c r="J1965" s="9" t="s">
        <v>3</v>
      </c>
      <c r="K1965" s="8">
        <v>0</v>
      </c>
    </row>
    <row r="1966" spans="1:11">
      <c r="A1966" s="2" t="s">
        <v>1120</v>
      </c>
      <c r="B1966" s="2" t="s">
        <v>3161</v>
      </c>
      <c r="C1966" s="9">
        <v>10063807</v>
      </c>
      <c r="D1966" s="2" t="s">
        <v>3162</v>
      </c>
      <c r="E1966" s="10">
        <v>6</v>
      </c>
      <c r="F1966" s="9" t="s">
        <v>2701</v>
      </c>
      <c r="G1966" s="11">
        <v>46238</v>
      </c>
      <c r="H1966" s="12">
        <v>80.88</v>
      </c>
      <c r="I1966" s="12">
        <v>80.099999999999994</v>
      </c>
      <c r="J1966" s="9" t="s">
        <v>3</v>
      </c>
      <c r="K1966" s="8">
        <v>0</v>
      </c>
    </row>
    <row r="1967" spans="1:11">
      <c r="A1967" s="2" t="s">
        <v>1120</v>
      </c>
      <c r="B1967" s="2" t="s">
        <v>3163</v>
      </c>
      <c r="C1967" s="9">
        <v>10063847</v>
      </c>
      <c r="D1967" s="2" t="s">
        <v>3164</v>
      </c>
      <c r="E1967" s="10">
        <v>6</v>
      </c>
      <c r="F1967" s="9" t="s">
        <v>2701</v>
      </c>
      <c r="G1967" s="11">
        <v>46238</v>
      </c>
      <c r="H1967" s="12">
        <v>81.8</v>
      </c>
      <c r="I1967" s="12">
        <v>81.67</v>
      </c>
      <c r="J1967" s="9" t="s">
        <v>3</v>
      </c>
      <c r="K1967" s="8">
        <v>0</v>
      </c>
    </row>
    <row r="1968" spans="1:11">
      <c r="A1968" s="2" t="s">
        <v>1120</v>
      </c>
      <c r="B1968" s="2" t="s">
        <v>3161</v>
      </c>
      <c r="C1968" s="9">
        <v>10063870</v>
      </c>
      <c r="D1968" s="2" t="s">
        <v>3165</v>
      </c>
      <c r="E1968" s="10">
        <v>6</v>
      </c>
      <c r="F1968" s="9" t="s">
        <v>2701</v>
      </c>
      <c r="G1968" s="11">
        <v>46238</v>
      </c>
      <c r="H1968" s="12">
        <v>96.82</v>
      </c>
      <c r="I1968" s="12">
        <v>96.24</v>
      </c>
      <c r="J1968" s="9" t="s">
        <v>3</v>
      </c>
      <c r="K1968" s="8">
        <v>0</v>
      </c>
    </row>
    <row r="1969" spans="1:11">
      <c r="A1969" s="2" t="s">
        <v>1120</v>
      </c>
      <c r="B1969" s="2" t="s">
        <v>3166</v>
      </c>
      <c r="C1969" s="9">
        <v>10064508</v>
      </c>
      <c r="D1969" s="2" t="s">
        <v>3167</v>
      </c>
      <c r="E1969" s="10">
        <v>6</v>
      </c>
      <c r="F1969" s="9" t="s">
        <v>979</v>
      </c>
      <c r="G1969" s="11">
        <v>46238</v>
      </c>
      <c r="H1969" s="12">
        <v>38.93</v>
      </c>
      <c r="I1969" s="12">
        <v>37.01</v>
      </c>
      <c r="J1969" s="9" t="s">
        <v>3</v>
      </c>
      <c r="K1969" s="8">
        <v>0</v>
      </c>
    </row>
    <row r="1970" spans="1:11">
      <c r="A1970" s="2" t="s">
        <v>1120</v>
      </c>
      <c r="B1970" s="2" t="s">
        <v>3168</v>
      </c>
      <c r="C1970" s="9">
        <v>10064510</v>
      </c>
      <c r="D1970" s="2" t="s">
        <v>3169</v>
      </c>
      <c r="E1970" s="10">
        <v>1</v>
      </c>
      <c r="F1970" s="9" t="s">
        <v>1428</v>
      </c>
      <c r="G1970" s="11">
        <v>46238</v>
      </c>
      <c r="H1970" s="12">
        <v>31.15</v>
      </c>
      <c r="I1970" s="12">
        <v>28.79</v>
      </c>
      <c r="J1970" s="9" t="s">
        <v>3</v>
      </c>
      <c r="K1970" s="8">
        <v>0</v>
      </c>
    </row>
    <row r="1971" spans="1:11">
      <c r="A1971" s="2" t="s">
        <v>1120</v>
      </c>
      <c r="B1971" s="2" t="s">
        <v>3168</v>
      </c>
      <c r="C1971" s="9">
        <v>10064511</v>
      </c>
      <c r="D1971" s="2" t="s">
        <v>3170</v>
      </c>
      <c r="E1971" s="10">
        <v>1</v>
      </c>
      <c r="F1971" s="9" t="s">
        <v>1232</v>
      </c>
      <c r="G1971" s="11">
        <v>46238</v>
      </c>
      <c r="H1971" s="12">
        <v>60.56</v>
      </c>
      <c r="I1971" s="12">
        <v>56.72</v>
      </c>
      <c r="J1971" s="9" t="s">
        <v>3</v>
      </c>
      <c r="K1971" s="8">
        <v>0</v>
      </c>
    </row>
    <row r="1972" spans="1:11">
      <c r="A1972" s="2" t="s">
        <v>2740</v>
      </c>
      <c r="B1972" s="2" t="s">
        <v>2741</v>
      </c>
      <c r="C1972" s="9">
        <v>10064719</v>
      </c>
      <c r="D1972" s="2" t="s">
        <v>3171</v>
      </c>
      <c r="E1972" s="10">
        <v>12</v>
      </c>
      <c r="F1972" s="9" t="s">
        <v>2756</v>
      </c>
      <c r="G1972" s="11">
        <v>46238</v>
      </c>
      <c r="H1972" s="12">
        <v>66.27</v>
      </c>
      <c r="I1972" s="12">
        <v>58.94</v>
      </c>
      <c r="J1972" s="9" t="s">
        <v>3</v>
      </c>
      <c r="K1972" s="8">
        <v>0</v>
      </c>
    </row>
    <row r="1973" spans="1:11">
      <c r="A1973" s="2" t="s">
        <v>2740</v>
      </c>
      <c r="B1973" s="2" t="s">
        <v>2741</v>
      </c>
      <c r="C1973" s="9">
        <v>10065003</v>
      </c>
      <c r="D1973" s="2" t="s">
        <v>3172</v>
      </c>
      <c r="E1973" s="10">
        <v>12</v>
      </c>
      <c r="F1973" s="9" t="s">
        <v>2756</v>
      </c>
      <c r="G1973" s="11">
        <v>46238</v>
      </c>
      <c r="H1973" s="12">
        <v>66.27</v>
      </c>
      <c r="I1973" s="12">
        <v>58.94</v>
      </c>
      <c r="J1973" s="9" t="s">
        <v>3</v>
      </c>
      <c r="K1973" s="8">
        <v>0</v>
      </c>
    </row>
    <row r="1974" spans="1:11">
      <c r="A1974" s="2" t="s">
        <v>663</v>
      </c>
      <c r="B1974" s="2" t="s">
        <v>3173</v>
      </c>
      <c r="C1974" s="9">
        <v>10065013</v>
      </c>
      <c r="D1974" s="2" t="s">
        <v>3174</v>
      </c>
      <c r="E1974" s="10">
        <v>12</v>
      </c>
      <c r="F1974" s="9" t="s">
        <v>811</v>
      </c>
      <c r="G1974" s="11">
        <v>46238</v>
      </c>
      <c r="H1974" s="12">
        <v>54.56</v>
      </c>
      <c r="I1974" s="12">
        <v>48.56</v>
      </c>
      <c r="J1974" s="9" t="s">
        <v>3</v>
      </c>
      <c r="K1974" s="8">
        <v>0</v>
      </c>
    </row>
    <row r="1975" spans="1:11">
      <c r="A1975" s="2" t="s">
        <v>663</v>
      </c>
      <c r="B1975" s="2" t="s">
        <v>3173</v>
      </c>
      <c r="C1975" s="9">
        <v>10065015</v>
      </c>
      <c r="D1975" s="2" t="s">
        <v>3175</v>
      </c>
      <c r="E1975" s="10">
        <v>12</v>
      </c>
      <c r="F1975" s="9" t="s">
        <v>3112</v>
      </c>
      <c r="G1975" s="11">
        <v>46238</v>
      </c>
      <c r="H1975" s="12">
        <v>54.56</v>
      </c>
      <c r="I1975" s="12">
        <v>48.56</v>
      </c>
      <c r="J1975" s="9" t="s">
        <v>3</v>
      </c>
      <c r="K1975" s="8">
        <v>0</v>
      </c>
    </row>
    <row r="1976" spans="1:11">
      <c r="A1976" s="2" t="s">
        <v>663</v>
      </c>
      <c r="B1976" s="2" t="s">
        <v>3173</v>
      </c>
      <c r="C1976" s="9">
        <v>10065020</v>
      </c>
      <c r="D1976" s="2" t="s">
        <v>3176</v>
      </c>
      <c r="E1976" s="10">
        <v>12</v>
      </c>
      <c r="F1976" s="9" t="s">
        <v>3177</v>
      </c>
      <c r="G1976" s="11">
        <v>46238</v>
      </c>
      <c r="H1976" s="12">
        <v>54.56</v>
      </c>
      <c r="I1976" s="12">
        <v>48.56</v>
      </c>
      <c r="J1976" s="9" t="s">
        <v>3</v>
      </c>
      <c r="K1976" s="8">
        <v>0</v>
      </c>
    </row>
    <row r="1977" spans="1:11">
      <c r="A1977" s="2" t="s">
        <v>2740</v>
      </c>
      <c r="B1977" s="2" t="s">
        <v>2741</v>
      </c>
      <c r="C1977" s="9">
        <v>10065171</v>
      </c>
      <c r="D1977" s="2" t="s">
        <v>3178</v>
      </c>
      <c r="E1977" s="10">
        <v>12</v>
      </c>
      <c r="F1977" s="9" t="s">
        <v>2756</v>
      </c>
      <c r="G1977" s="11">
        <v>46238</v>
      </c>
      <c r="H1977" s="12">
        <v>66.27</v>
      </c>
      <c r="I1977" s="12">
        <v>58.94</v>
      </c>
      <c r="J1977" s="9" t="s">
        <v>3</v>
      </c>
      <c r="K1977" s="8">
        <v>0</v>
      </c>
    </row>
    <row r="1978" spans="1:11">
      <c r="A1978" s="2" t="s">
        <v>2740</v>
      </c>
      <c r="B1978" s="2" t="s">
        <v>2741</v>
      </c>
      <c r="C1978" s="9">
        <v>10065208</v>
      </c>
      <c r="D1978" s="2" t="s">
        <v>3179</v>
      </c>
      <c r="E1978" s="10">
        <v>6</v>
      </c>
      <c r="F1978" s="9" t="s">
        <v>759</v>
      </c>
      <c r="G1978" s="11">
        <v>46238</v>
      </c>
      <c r="H1978" s="12">
        <v>40.74</v>
      </c>
      <c r="I1978" s="12">
        <v>36.28</v>
      </c>
      <c r="J1978" s="9" t="s">
        <v>3</v>
      </c>
      <c r="K1978" s="8">
        <v>0</v>
      </c>
    </row>
    <row r="1979" spans="1:11">
      <c r="A1979" s="2" t="s">
        <v>721</v>
      </c>
      <c r="B1979" s="2" t="s">
        <v>3180</v>
      </c>
      <c r="C1979" s="9">
        <v>10065224</v>
      </c>
      <c r="D1979" s="2" t="s">
        <v>3181</v>
      </c>
      <c r="E1979" s="10">
        <v>6</v>
      </c>
      <c r="F1979" s="9" t="s">
        <v>1910</v>
      </c>
      <c r="G1979" s="11">
        <v>46238</v>
      </c>
      <c r="H1979" s="12">
        <v>38.83</v>
      </c>
      <c r="I1979" s="12">
        <v>34.56</v>
      </c>
      <c r="J1979" s="9" t="s">
        <v>3</v>
      </c>
      <c r="K1979" s="8">
        <v>0</v>
      </c>
    </row>
    <row r="1980" spans="1:11">
      <c r="A1980" s="2" t="s">
        <v>721</v>
      </c>
      <c r="B1980" s="2" t="s">
        <v>3180</v>
      </c>
      <c r="C1980" s="9">
        <v>10065225</v>
      </c>
      <c r="D1980" s="2" t="s">
        <v>3182</v>
      </c>
      <c r="E1980" s="10">
        <v>6</v>
      </c>
      <c r="F1980" s="9" t="s">
        <v>1910</v>
      </c>
      <c r="G1980" s="11">
        <v>46238</v>
      </c>
      <c r="H1980" s="12">
        <v>38.83</v>
      </c>
      <c r="I1980" s="12">
        <v>34.56</v>
      </c>
      <c r="J1980" s="9" t="s">
        <v>3</v>
      </c>
      <c r="K1980" s="8">
        <v>0</v>
      </c>
    </row>
    <row r="1981" spans="1:11">
      <c r="A1981" s="2" t="s">
        <v>687</v>
      </c>
      <c r="B1981" s="2" t="s">
        <v>3183</v>
      </c>
      <c r="C1981" s="9">
        <v>10065500</v>
      </c>
      <c r="D1981" s="2" t="s">
        <v>3184</v>
      </c>
      <c r="E1981" s="10">
        <v>6</v>
      </c>
      <c r="F1981" s="9" t="s">
        <v>666</v>
      </c>
      <c r="G1981" s="11">
        <v>46238</v>
      </c>
      <c r="H1981" s="12">
        <v>51.56</v>
      </c>
      <c r="I1981" s="12">
        <v>45.89</v>
      </c>
      <c r="J1981" s="9" t="s">
        <v>3</v>
      </c>
      <c r="K1981" s="8">
        <v>0</v>
      </c>
    </row>
    <row r="1982" spans="1:11">
      <c r="A1982" s="2" t="s">
        <v>687</v>
      </c>
      <c r="B1982" s="2" t="s">
        <v>3183</v>
      </c>
      <c r="C1982" s="9">
        <v>10065501</v>
      </c>
      <c r="D1982" s="2" t="s">
        <v>3185</v>
      </c>
      <c r="E1982" s="10">
        <v>6</v>
      </c>
      <c r="F1982" s="9" t="s">
        <v>666</v>
      </c>
      <c r="G1982" s="11">
        <v>46238</v>
      </c>
      <c r="H1982" s="12">
        <v>51.56</v>
      </c>
      <c r="I1982" s="12">
        <v>45.89</v>
      </c>
      <c r="J1982" s="9" t="s">
        <v>3</v>
      </c>
      <c r="K1982" s="8">
        <v>0</v>
      </c>
    </row>
    <row r="1983" spans="1:11">
      <c r="A1983" s="2" t="s">
        <v>687</v>
      </c>
      <c r="B1983" s="2" t="s">
        <v>3183</v>
      </c>
      <c r="C1983" s="9">
        <v>10065502</v>
      </c>
      <c r="D1983" s="2" t="s">
        <v>3186</v>
      </c>
      <c r="E1983" s="10">
        <v>6</v>
      </c>
      <c r="F1983" s="9" t="s">
        <v>666</v>
      </c>
      <c r="G1983" s="11">
        <v>46238</v>
      </c>
      <c r="H1983" s="12">
        <v>49.05</v>
      </c>
      <c r="I1983" s="12">
        <v>43.66</v>
      </c>
      <c r="J1983" s="9" t="s">
        <v>3</v>
      </c>
      <c r="K1983" s="8">
        <v>0</v>
      </c>
    </row>
    <row r="1984" spans="1:11">
      <c r="A1984" s="2" t="s">
        <v>2740</v>
      </c>
      <c r="B1984" s="2" t="s">
        <v>2741</v>
      </c>
      <c r="C1984" s="9">
        <v>10066050</v>
      </c>
      <c r="D1984" s="2" t="s">
        <v>3187</v>
      </c>
      <c r="E1984" s="10">
        <v>6</v>
      </c>
      <c r="F1984" s="9" t="s">
        <v>804</v>
      </c>
      <c r="G1984" s="11">
        <v>46238</v>
      </c>
      <c r="H1984" s="12">
        <v>35.369999999999997</v>
      </c>
      <c r="I1984" s="12">
        <v>31.51</v>
      </c>
      <c r="J1984" s="9" t="s">
        <v>3</v>
      </c>
      <c r="K1984" s="8">
        <v>0</v>
      </c>
    </row>
    <row r="1985" spans="1:11">
      <c r="A1985" s="2" t="s">
        <v>2740</v>
      </c>
      <c r="B1985" s="2" t="s">
        <v>2741</v>
      </c>
      <c r="C1985" s="9">
        <v>10066065</v>
      </c>
      <c r="D1985" s="2" t="s">
        <v>3188</v>
      </c>
      <c r="E1985" s="10">
        <v>12</v>
      </c>
      <c r="F1985" s="9" t="s">
        <v>811</v>
      </c>
      <c r="G1985" s="11">
        <v>46238</v>
      </c>
      <c r="H1985" s="12">
        <v>46.24</v>
      </c>
      <c r="I1985" s="12">
        <v>41.13</v>
      </c>
      <c r="J1985" s="9" t="s">
        <v>3</v>
      </c>
      <c r="K1985" s="8">
        <v>0</v>
      </c>
    </row>
    <row r="1986" spans="1:11">
      <c r="A1986" s="2" t="s">
        <v>2740</v>
      </c>
      <c r="B1986" s="2" t="s">
        <v>2741</v>
      </c>
      <c r="C1986" s="9">
        <v>10066066</v>
      </c>
      <c r="D1986" s="2" t="s">
        <v>3189</v>
      </c>
      <c r="E1986" s="10">
        <v>9</v>
      </c>
      <c r="F1986" s="9" t="s">
        <v>1315</v>
      </c>
      <c r="G1986" s="11">
        <v>46238</v>
      </c>
      <c r="H1986" s="12">
        <v>46.46</v>
      </c>
      <c r="I1986" s="12">
        <v>41.36</v>
      </c>
      <c r="J1986" s="9" t="s">
        <v>3</v>
      </c>
      <c r="K1986" s="8">
        <v>0</v>
      </c>
    </row>
    <row r="1987" spans="1:11">
      <c r="A1987" s="2" t="s">
        <v>2740</v>
      </c>
      <c r="B1987" s="2" t="s">
        <v>2741</v>
      </c>
      <c r="C1987" s="9">
        <v>10066067</v>
      </c>
      <c r="D1987" s="2" t="s">
        <v>3190</v>
      </c>
      <c r="E1987" s="10">
        <v>9</v>
      </c>
      <c r="F1987" s="9" t="s">
        <v>1315</v>
      </c>
      <c r="G1987" s="11">
        <v>46238</v>
      </c>
      <c r="H1987" s="12">
        <v>46.46</v>
      </c>
      <c r="I1987" s="12">
        <v>41.36</v>
      </c>
      <c r="J1987" s="9" t="s">
        <v>3</v>
      </c>
      <c r="K1987" s="8">
        <v>0</v>
      </c>
    </row>
    <row r="1988" spans="1:11">
      <c r="A1988" s="2" t="s">
        <v>2740</v>
      </c>
      <c r="B1988" s="2" t="s">
        <v>2741</v>
      </c>
      <c r="C1988" s="9">
        <v>10066069</v>
      </c>
      <c r="D1988" s="2" t="s">
        <v>3191</v>
      </c>
      <c r="E1988" s="10">
        <v>6</v>
      </c>
      <c r="F1988" s="9" t="s">
        <v>2756</v>
      </c>
      <c r="G1988" s="11">
        <v>46238</v>
      </c>
      <c r="H1988" s="12">
        <v>27.9</v>
      </c>
      <c r="I1988" s="12">
        <v>24.82</v>
      </c>
      <c r="J1988" s="9" t="s">
        <v>3</v>
      </c>
      <c r="K1988" s="8">
        <v>0</v>
      </c>
    </row>
    <row r="1989" spans="1:11">
      <c r="A1989" s="2" t="s">
        <v>2740</v>
      </c>
      <c r="B1989" s="2" t="s">
        <v>2741</v>
      </c>
      <c r="C1989" s="9">
        <v>10066070</v>
      </c>
      <c r="D1989" s="2" t="s">
        <v>3192</v>
      </c>
      <c r="E1989" s="10">
        <v>6</v>
      </c>
      <c r="F1989" s="9" t="s">
        <v>804</v>
      </c>
      <c r="G1989" s="11">
        <v>46238</v>
      </c>
      <c r="H1989" s="12">
        <v>35.369999999999997</v>
      </c>
      <c r="I1989" s="12">
        <v>31.51</v>
      </c>
      <c r="J1989" s="9" t="s">
        <v>3</v>
      </c>
      <c r="K1989" s="8">
        <v>0</v>
      </c>
    </row>
    <row r="1990" spans="1:11">
      <c r="A1990" s="2" t="s">
        <v>2740</v>
      </c>
      <c r="B1990" s="2" t="s">
        <v>2741</v>
      </c>
      <c r="C1990" s="9">
        <v>10066071</v>
      </c>
      <c r="D1990" s="2" t="s">
        <v>3193</v>
      </c>
      <c r="E1990" s="10">
        <v>12</v>
      </c>
      <c r="F1990" s="9" t="s">
        <v>804</v>
      </c>
      <c r="G1990" s="11">
        <v>46238</v>
      </c>
      <c r="H1990" s="12">
        <v>71.510000000000005</v>
      </c>
      <c r="I1990" s="12">
        <v>63.66</v>
      </c>
      <c r="J1990" s="9" t="s">
        <v>3</v>
      </c>
      <c r="K1990" s="8">
        <v>0</v>
      </c>
    </row>
    <row r="1991" spans="1:11">
      <c r="A1991" s="2" t="s">
        <v>2740</v>
      </c>
      <c r="B1991" s="2" t="s">
        <v>2741</v>
      </c>
      <c r="C1991" s="9">
        <v>10066072</v>
      </c>
      <c r="D1991" s="2" t="s">
        <v>3194</v>
      </c>
      <c r="E1991" s="10">
        <v>6</v>
      </c>
      <c r="F1991" s="9" t="s">
        <v>804</v>
      </c>
      <c r="G1991" s="11">
        <v>46238</v>
      </c>
      <c r="H1991" s="12">
        <v>36.799999999999997</v>
      </c>
      <c r="I1991" s="12">
        <v>32.75</v>
      </c>
      <c r="J1991" s="9" t="s">
        <v>3</v>
      </c>
      <c r="K1991" s="8">
        <v>0</v>
      </c>
    </row>
    <row r="1992" spans="1:11">
      <c r="A1992" s="2" t="s">
        <v>2740</v>
      </c>
      <c r="B1992" s="2" t="s">
        <v>2741</v>
      </c>
      <c r="C1992" s="9">
        <v>10066074</v>
      </c>
      <c r="D1992" s="2" t="s">
        <v>3195</v>
      </c>
      <c r="E1992" s="10">
        <v>12</v>
      </c>
      <c r="F1992" s="9" t="s">
        <v>811</v>
      </c>
      <c r="G1992" s="11">
        <v>46238</v>
      </c>
      <c r="H1992" s="12">
        <v>63.39</v>
      </c>
      <c r="I1992" s="12">
        <v>56.45</v>
      </c>
      <c r="J1992" s="9" t="s">
        <v>3</v>
      </c>
      <c r="K1992" s="8">
        <v>0</v>
      </c>
    </row>
    <row r="1993" spans="1:11">
      <c r="A1993" s="2" t="s">
        <v>2740</v>
      </c>
      <c r="B1993" s="2" t="s">
        <v>2761</v>
      </c>
      <c r="C1993" s="9">
        <v>10066075</v>
      </c>
      <c r="D1993" s="2" t="s">
        <v>3196</v>
      </c>
      <c r="E1993" s="10">
        <v>1</v>
      </c>
      <c r="F1993" s="9" t="s">
        <v>3197</v>
      </c>
      <c r="G1993" s="11">
        <v>46238</v>
      </c>
      <c r="H1993" s="12">
        <v>74.02</v>
      </c>
      <c r="I1993" s="12">
        <v>65.87</v>
      </c>
      <c r="J1993" s="9" t="s">
        <v>3</v>
      </c>
      <c r="K1993" s="8">
        <v>0</v>
      </c>
    </row>
    <row r="1994" spans="1:11">
      <c r="A1994" s="2" t="s">
        <v>2740</v>
      </c>
      <c r="B1994" s="2" t="s">
        <v>2741</v>
      </c>
      <c r="C1994" s="9">
        <v>10066076</v>
      </c>
      <c r="D1994" s="2" t="s">
        <v>3198</v>
      </c>
      <c r="E1994" s="10">
        <v>6</v>
      </c>
      <c r="F1994" s="9" t="s">
        <v>3199</v>
      </c>
      <c r="G1994" s="11">
        <v>46238</v>
      </c>
      <c r="H1994" s="12">
        <v>39.76</v>
      </c>
      <c r="I1994" s="12">
        <v>35.369999999999997</v>
      </c>
      <c r="J1994" s="9" t="s">
        <v>3</v>
      </c>
      <c r="K1994" s="8">
        <v>0</v>
      </c>
    </row>
    <row r="1995" spans="1:11">
      <c r="A1995" s="2" t="s">
        <v>2740</v>
      </c>
      <c r="B1995" s="2" t="s">
        <v>2741</v>
      </c>
      <c r="C1995" s="9">
        <v>10066077</v>
      </c>
      <c r="D1995" s="2" t="s">
        <v>3200</v>
      </c>
      <c r="E1995" s="10">
        <v>12</v>
      </c>
      <c r="F1995" s="9" t="s">
        <v>813</v>
      </c>
      <c r="G1995" s="11">
        <v>46238</v>
      </c>
      <c r="H1995" s="12">
        <v>60.77</v>
      </c>
      <c r="I1995" s="12">
        <v>54.09</v>
      </c>
      <c r="J1995" s="9" t="s">
        <v>3</v>
      </c>
      <c r="K1995" s="8">
        <v>0</v>
      </c>
    </row>
    <row r="1996" spans="1:11">
      <c r="A1996" s="2" t="s">
        <v>708</v>
      </c>
      <c r="B1996" s="2" t="s">
        <v>3110</v>
      </c>
      <c r="C1996" s="9">
        <v>10066087</v>
      </c>
      <c r="D1996" s="2" t="s">
        <v>3201</v>
      </c>
      <c r="E1996" s="10">
        <v>6</v>
      </c>
      <c r="F1996" s="9" t="s">
        <v>693</v>
      </c>
      <c r="G1996" s="11">
        <v>46238</v>
      </c>
      <c r="H1996" s="12">
        <v>45.48</v>
      </c>
      <c r="I1996" s="12">
        <v>40.479999999999997</v>
      </c>
      <c r="J1996" s="9" t="s">
        <v>3</v>
      </c>
      <c r="K1996" s="8">
        <v>0</v>
      </c>
    </row>
    <row r="1997" spans="1:11">
      <c r="A1997" s="2" t="s">
        <v>708</v>
      </c>
      <c r="B1997" s="2" t="s">
        <v>3110</v>
      </c>
      <c r="C1997" s="9">
        <v>10066089</v>
      </c>
      <c r="D1997" s="2" t="s">
        <v>3202</v>
      </c>
      <c r="E1997" s="10">
        <v>6</v>
      </c>
      <c r="F1997" s="9" t="s">
        <v>693</v>
      </c>
      <c r="G1997" s="11">
        <v>46238</v>
      </c>
      <c r="H1997" s="12">
        <v>45.48</v>
      </c>
      <c r="I1997" s="12">
        <v>40.479999999999997</v>
      </c>
      <c r="J1997" s="9" t="s">
        <v>3</v>
      </c>
      <c r="K1997" s="8">
        <v>0</v>
      </c>
    </row>
    <row r="1998" spans="1:11">
      <c r="A1998" s="2" t="s">
        <v>708</v>
      </c>
      <c r="B1998" s="2" t="s">
        <v>3110</v>
      </c>
      <c r="C1998" s="9">
        <v>10066090</v>
      </c>
      <c r="D1998" s="2" t="s">
        <v>3203</v>
      </c>
      <c r="E1998" s="10">
        <v>6</v>
      </c>
      <c r="F1998" s="9" t="s">
        <v>693</v>
      </c>
      <c r="G1998" s="11">
        <v>46238</v>
      </c>
      <c r="H1998" s="12">
        <v>45.48</v>
      </c>
      <c r="I1998" s="12">
        <v>40.479999999999997</v>
      </c>
      <c r="J1998" s="9" t="s">
        <v>3</v>
      </c>
      <c r="K1998" s="8">
        <v>0</v>
      </c>
    </row>
    <row r="1999" spans="1:11">
      <c r="A1999" s="2" t="s">
        <v>1174</v>
      </c>
      <c r="B1999" s="2" t="s">
        <v>2385</v>
      </c>
      <c r="C1999" s="9">
        <v>10066112</v>
      </c>
      <c r="D1999" s="2" t="s">
        <v>3204</v>
      </c>
      <c r="E1999" s="10">
        <v>6</v>
      </c>
      <c r="F1999" s="9" t="s">
        <v>3205</v>
      </c>
      <c r="G1999" s="11">
        <v>46238</v>
      </c>
      <c r="H1999" s="12">
        <v>35.4</v>
      </c>
      <c r="I1999" s="12">
        <v>31.5</v>
      </c>
      <c r="J1999" s="9" t="s">
        <v>3</v>
      </c>
      <c r="K1999" s="8">
        <v>0</v>
      </c>
    </row>
    <row r="2000" spans="1:11">
      <c r="A2000" s="2" t="s">
        <v>1174</v>
      </c>
      <c r="B2000" s="2" t="s">
        <v>2385</v>
      </c>
      <c r="C2000" s="9">
        <v>10066113</v>
      </c>
      <c r="D2000" s="2" t="s">
        <v>3206</v>
      </c>
      <c r="E2000" s="10">
        <v>6</v>
      </c>
      <c r="F2000" s="9" t="s">
        <v>3205</v>
      </c>
      <c r="G2000" s="11">
        <v>46238</v>
      </c>
      <c r="H2000" s="12">
        <v>35.4</v>
      </c>
      <c r="I2000" s="12">
        <v>31.5</v>
      </c>
      <c r="J2000" s="9" t="s">
        <v>3</v>
      </c>
      <c r="K2000" s="8">
        <v>0</v>
      </c>
    </row>
    <row r="2001" spans="1:11">
      <c r="A2001" s="2" t="s">
        <v>1174</v>
      </c>
      <c r="B2001" s="2" t="s">
        <v>2385</v>
      </c>
      <c r="C2001" s="9">
        <v>10066114</v>
      </c>
      <c r="D2001" s="2" t="s">
        <v>3207</v>
      </c>
      <c r="E2001" s="10">
        <v>6</v>
      </c>
      <c r="F2001" s="9" t="s">
        <v>3205</v>
      </c>
      <c r="G2001" s="11">
        <v>46238</v>
      </c>
      <c r="H2001" s="12">
        <v>35.4</v>
      </c>
      <c r="I2001" s="12">
        <v>31.5</v>
      </c>
      <c r="J2001" s="9" t="s">
        <v>3</v>
      </c>
      <c r="K2001" s="8">
        <v>0</v>
      </c>
    </row>
    <row r="2002" spans="1:11">
      <c r="A2002" s="2" t="s">
        <v>2740</v>
      </c>
      <c r="B2002" s="2" t="s">
        <v>2741</v>
      </c>
      <c r="C2002" s="9">
        <v>10066138</v>
      </c>
      <c r="D2002" s="2" t="s">
        <v>3208</v>
      </c>
      <c r="E2002" s="10">
        <v>12</v>
      </c>
      <c r="F2002" s="9" t="s">
        <v>3209</v>
      </c>
      <c r="G2002" s="11">
        <v>46238</v>
      </c>
      <c r="H2002" s="12">
        <v>66.260000000000005</v>
      </c>
      <c r="I2002" s="12">
        <v>58.94</v>
      </c>
      <c r="J2002" s="9" t="s">
        <v>3</v>
      </c>
      <c r="K2002" s="8">
        <v>0</v>
      </c>
    </row>
    <row r="2003" spans="1:11">
      <c r="A2003" s="2" t="s">
        <v>2740</v>
      </c>
      <c r="B2003" s="2" t="s">
        <v>2761</v>
      </c>
      <c r="C2003" s="9">
        <v>10066139</v>
      </c>
      <c r="D2003" s="2" t="s">
        <v>3210</v>
      </c>
      <c r="E2003" s="10">
        <v>6</v>
      </c>
      <c r="F2003" s="9" t="s">
        <v>3211</v>
      </c>
      <c r="G2003" s="11">
        <v>46238</v>
      </c>
      <c r="H2003" s="12">
        <v>100.73</v>
      </c>
      <c r="I2003" s="12">
        <v>89.69</v>
      </c>
      <c r="J2003" s="9" t="s">
        <v>3</v>
      </c>
      <c r="K2003" s="8">
        <v>0</v>
      </c>
    </row>
    <row r="2004" spans="1:11">
      <c r="A2004" s="2" t="s">
        <v>2740</v>
      </c>
      <c r="B2004" s="2" t="s">
        <v>2761</v>
      </c>
      <c r="C2004" s="9">
        <v>10066140</v>
      </c>
      <c r="D2004" s="2" t="s">
        <v>3212</v>
      </c>
      <c r="E2004" s="10">
        <v>6</v>
      </c>
      <c r="F2004" s="9" t="s">
        <v>3213</v>
      </c>
      <c r="G2004" s="11">
        <v>46238</v>
      </c>
      <c r="H2004" s="12">
        <v>69.34</v>
      </c>
      <c r="I2004" s="12">
        <v>61.7</v>
      </c>
      <c r="J2004" s="9" t="s">
        <v>3</v>
      </c>
      <c r="K2004" s="8">
        <v>0</v>
      </c>
    </row>
    <row r="2005" spans="1:11">
      <c r="A2005" s="2" t="s">
        <v>1255</v>
      </c>
      <c r="B2005" s="2" t="s">
        <v>3214</v>
      </c>
      <c r="C2005" s="9">
        <v>10066215</v>
      </c>
      <c r="D2005" s="2" t="s">
        <v>3215</v>
      </c>
      <c r="E2005" s="10">
        <v>24</v>
      </c>
      <c r="F2005" s="9" t="s">
        <v>3216</v>
      </c>
      <c r="G2005" s="11">
        <v>46238</v>
      </c>
      <c r="H2005" s="12">
        <v>26.64</v>
      </c>
      <c r="I2005" s="12">
        <v>26.64</v>
      </c>
      <c r="J2005" s="9" t="s">
        <v>3</v>
      </c>
      <c r="K2005" s="8">
        <v>0</v>
      </c>
    </row>
    <row r="2006" spans="1:11">
      <c r="A2006" s="2" t="s">
        <v>1255</v>
      </c>
      <c r="B2006" s="2" t="s">
        <v>3214</v>
      </c>
      <c r="C2006" s="9">
        <v>10066216</v>
      </c>
      <c r="D2006" s="2" t="s">
        <v>3217</v>
      </c>
      <c r="E2006" s="10">
        <v>24</v>
      </c>
      <c r="F2006" s="9" t="s">
        <v>3216</v>
      </c>
      <c r="G2006" s="11">
        <v>46238</v>
      </c>
      <c r="H2006" s="12">
        <v>26.64</v>
      </c>
      <c r="I2006" s="12">
        <v>26.64</v>
      </c>
      <c r="J2006" s="9" t="s">
        <v>3</v>
      </c>
      <c r="K2006" s="8">
        <v>0</v>
      </c>
    </row>
    <row r="2007" spans="1:11">
      <c r="A2007" s="2" t="s">
        <v>1255</v>
      </c>
      <c r="B2007" s="2" t="s">
        <v>3214</v>
      </c>
      <c r="C2007" s="9">
        <v>10066217</v>
      </c>
      <c r="D2007" s="2" t="s">
        <v>3218</v>
      </c>
      <c r="E2007" s="10">
        <v>24</v>
      </c>
      <c r="F2007" s="9" t="s">
        <v>3216</v>
      </c>
      <c r="G2007" s="11">
        <v>46238</v>
      </c>
      <c r="H2007" s="12">
        <v>26.64</v>
      </c>
      <c r="I2007" s="12">
        <v>26.64</v>
      </c>
      <c r="J2007" s="9" t="s">
        <v>3</v>
      </c>
      <c r="K2007" s="8">
        <v>0</v>
      </c>
    </row>
    <row r="2008" spans="1:11">
      <c r="A2008" s="2" t="s">
        <v>1255</v>
      </c>
      <c r="B2008" s="2" t="s">
        <v>3214</v>
      </c>
      <c r="C2008" s="9">
        <v>10066218</v>
      </c>
      <c r="D2008" s="2" t="s">
        <v>3219</v>
      </c>
      <c r="E2008" s="10">
        <v>24</v>
      </c>
      <c r="F2008" s="9" t="s">
        <v>3216</v>
      </c>
      <c r="G2008" s="11">
        <v>46238</v>
      </c>
      <c r="H2008" s="12">
        <v>26.64</v>
      </c>
      <c r="I2008" s="12">
        <v>26.64</v>
      </c>
      <c r="J2008" s="9" t="s">
        <v>3</v>
      </c>
      <c r="K2008" s="8">
        <v>0</v>
      </c>
    </row>
    <row r="2009" spans="1:11">
      <c r="A2009" s="2" t="s">
        <v>1255</v>
      </c>
      <c r="B2009" s="2" t="s">
        <v>3214</v>
      </c>
      <c r="C2009" s="9">
        <v>10066219</v>
      </c>
      <c r="D2009" s="2" t="s">
        <v>3220</v>
      </c>
      <c r="E2009" s="10">
        <v>9</v>
      </c>
      <c r="F2009" s="9" t="s">
        <v>2946</v>
      </c>
      <c r="G2009" s="11">
        <v>46238</v>
      </c>
      <c r="H2009" s="12">
        <v>46.35</v>
      </c>
      <c r="I2009" s="12">
        <v>46.35</v>
      </c>
      <c r="J2009" s="9" t="s">
        <v>3</v>
      </c>
      <c r="K2009" s="8">
        <v>0</v>
      </c>
    </row>
    <row r="2010" spans="1:11">
      <c r="A2010" s="2" t="s">
        <v>1255</v>
      </c>
      <c r="B2010" s="2" t="s">
        <v>3214</v>
      </c>
      <c r="C2010" s="9">
        <v>10066220</v>
      </c>
      <c r="D2010" s="2" t="s">
        <v>3221</v>
      </c>
      <c r="E2010" s="10">
        <v>9</v>
      </c>
      <c r="F2010" s="9" t="s">
        <v>2946</v>
      </c>
      <c r="G2010" s="11">
        <v>46238</v>
      </c>
      <c r="H2010" s="12">
        <v>46.35</v>
      </c>
      <c r="I2010" s="12">
        <v>46.35</v>
      </c>
      <c r="J2010" s="9" t="s">
        <v>3</v>
      </c>
      <c r="K2010" s="8">
        <v>0</v>
      </c>
    </row>
    <row r="2011" spans="1:11">
      <c r="A2011" s="2" t="s">
        <v>1255</v>
      </c>
      <c r="B2011" s="2" t="s">
        <v>3214</v>
      </c>
      <c r="C2011" s="9">
        <v>10066221</v>
      </c>
      <c r="D2011" s="2" t="s">
        <v>3222</v>
      </c>
      <c r="E2011" s="10">
        <v>9</v>
      </c>
      <c r="F2011" s="9" t="s">
        <v>2946</v>
      </c>
      <c r="G2011" s="11">
        <v>46238</v>
      </c>
      <c r="H2011" s="12">
        <v>46.35</v>
      </c>
      <c r="I2011" s="12">
        <v>46.35</v>
      </c>
      <c r="J2011" s="9" t="s">
        <v>3</v>
      </c>
      <c r="K2011" s="8">
        <v>0</v>
      </c>
    </row>
    <row r="2012" spans="1:11">
      <c r="A2012" s="2" t="s">
        <v>1255</v>
      </c>
      <c r="B2012" s="2" t="s">
        <v>3214</v>
      </c>
      <c r="C2012" s="9">
        <v>10066222</v>
      </c>
      <c r="D2012" s="2" t="s">
        <v>3223</v>
      </c>
      <c r="E2012" s="10">
        <v>9</v>
      </c>
      <c r="F2012" s="9" t="s">
        <v>2946</v>
      </c>
      <c r="G2012" s="11">
        <v>46238</v>
      </c>
      <c r="H2012" s="12">
        <v>46.35</v>
      </c>
      <c r="I2012" s="12">
        <v>46.35</v>
      </c>
      <c r="J2012" s="9" t="s">
        <v>3</v>
      </c>
      <c r="K2012" s="8">
        <v>0</v>
      </c>
    </row>
    <row r="2013" spans="1:11">
      <c r="A2013" s="2" t="s">
        <v>1255</v>
      </c>
      <c r="B2013" s="2" t="s">
        <v>3214</v>
      </c>
      <c r="C2013" s="9">
        <v>10066404</v>
      </c>
      <c r="D2013" s="2" t="s">
        <v>3224</v>
      </c>
      <c r="E2013" s="10">
        <v>12</v>
      </c>
      <c r="F2013" s="9" t="s">
        <v>1323</v>
      </c>
      <c r="G2013" s="11">
        <v>46238</v>
      </c>
      <c r="H2013" s="12">
        <v>40.200000000000003</v>
      </c>
      <c r="I2013" s="12">
        <v>40.200000000000003</v>
      </c>
      <c r="J2013" s="9" t="s">
        <v>3</v>
      </c>
      <c r="K2013" s="8">
        <v>0</v>
      </c>
    </row>
    <row r="2014" spans="1:11">
      <c r="A2014" s="2" t="s">
        <v>1255</v>
      </c>
      <c r="B2014" s="2" t="s">
        <v>3214</v>
      </c>
      <c r="C2014" s="9">
        <v>10066406</v>
      </c>
      <c r="D2014" s="2" t="s">
        <v>3225</v>
      </c>
      <c r="E2014" s="10">
        <v>12</v>
      </c>
      <c r="F2014" s="9" t="s">
        <v>1323</v>
      </c>
      <c r="G2014" s="11">
        <v>46238</v>
      </c>
      <c r="H2014" s="12">
        <v>40.200000000000003</v>
      </c>
      <c r="I2014" s="12">
        <v>40.200000000000003</v>
      </c>
      <c r="J2014" s="9" t="s">
        <v>3</v>
      </c>
      <c r="K2014" s="8">
        <v>0</v>
      </c>
    </row>
    <row r="2015" spans="1:11">
      <c r="A2015" s="2" t="s">
        <v>1255</v>
      </c>
      <c r="B2015" s="2" t="s">
        <v>3214</v>
      </c>
      <c r="C2015" s="9">
        <v>10067002</v>
      </c>
      <c r="D2015" s="2" t="s">
        <v>3226</v>
      </c>
      <c r="E2015" s="10">
        <v>12</v>
      </c>
      <c r="F2015" s="9" t="s">
        <v>1323</v>
      </c>
      <c r="G2015" s="11">
        <v>46238</v>
      </c>
      <c r="H2015" s="12">
        <v>40.200000000000003</v>
      </c>
      <c r="I2015" s="12">
        <v>40.200000000000003</v>
      </c>
      <c r="J2015" s="9" t="s">
        <v>3</v>
      </c>
      <c r="K2015" s="8">
        <v>0</v>
      </c>
    </row>
    <row r="2016" spans="1:11">
      <c r="A2016" s="2" t="s">
        <v>1255</v>
      </c>
      <c r="B2016" s="2" t="s">
        <v>3214</v>
      </c>
      <c r="C2016" s="9">
        <v>10067004</v>
      </c>
      <c r="D2016" s="2" t="s">
        <v>3227</v>
      </c>
      <c r="E2016" s="10">
        <v>12</v>
      </c>
      <c r="F2016" s="9" t="s">
        <v>1323</v>
      </c>
      <c r="G2016" s="11">
        <v>46238</v>
      </c>
      <c r="H2016" s="12">
        <v>40.200000000000003</v>
      </c>
      <c r="I2016" s="12">
        <v>40.200000000000003</v>
      </c>
      <c r="J2016" s="9" t="s">
        <v>3</v>
      </c>
      <c r="K2016" s="8">
        <v>0</v>
      </c>
    </row>
    <row r="2017" spans="1:11">
      <c r="A2017" s="2" t="s">
        <v>1255</v>
      </c>
      <c r="B2017" s="2" t="s">
        <v>3214</v>
      </c>
      <c r="C2017" s="9">
        <v>10067005</v>
      </c>
      <c r="D2017" s="2" t="s">
        <v>3228</v>
      </c>
      <c r="E2017" s="10">
        <v>12</v>
      </c>
      <c r="F2017" s="9" t="s">
        <v>1323</v>
      </c>
      <c r="G2017" s="11">
        <v>46238</v>
      </c>
      <c r="H2017" s="12">
        <v>40.200000000000003</v>
      </c>
      <c r="I2017" s="12">
        <v>40.200000000000003</v>
      </c>
      <c r="J2017" s="9" t="s">
        <v>3</v>
      </c>
      <c r="K2017" s="8">
        <v>0</v>
      </c>
    </row>
    <row r="2018" spans="1:11">
      <c r="A2018" s="2" t="s">
        <v>1255</v>
      </c>
      <c r="B2018" s="2" t="s">
        <v>3214</v>
      </c>
      <c r="C2018" s="9">
        <v>10067006</v>
      </c>
      <c r="D2018" s="2" t="s">
        <v>3229</v>
      </c>
      <c r="E2018" s="10">
        <v>12</v>
      </c>
      <c r="F2018" s="9" t="s">
        <v>1323</v>
      </c>
      <c r="G2018" s="11">
        <v>46238</v>
      </c>
      <c r="H2018" s="12">
        <v>40.200000000000003</v>
      </c>
      <c r="I2018" s="12">
        <v>40.200000000000003</v>
      </c>
      <c r="J2018" s="9" t="s">
        <v>3</v>
      </c>
      <c r="K2018" s="8">
        <v>0</v>
      </c>
    </row>
    <row r="2019" spans="1:11">
      <c r="A2019" s="2" t="s">
        <v>1255</v>
      </c>
      <c r="B2019" s="2" t="s">
        <v>3214</v>
      </c>
      <c r="C2019" s="9">
        <v>10067016</v>
      </c>
      <c r="D2019" s="2" t="s">
        <v>3230</v>
      </c>
      <c r="E2019" s="10">
        <v>12</v>
      </c>
      <c r="F2019" s="9" t="s">
        <v>1323</v>
      </c>
      <c r="G2019" s="11">
        <v>46238</v>
      </c>
      <c r="H2019" s="12">
        <v>40.200000000000003</v>
      </c>
      <c r="I2019" s="12">
        <v>40.200000000000003</v>
      </c>
      <c r="J2019" s="9" t="s">
        <v>3</v>
      </c>
      <c r="K2019" s="8">
        <v>0</v>
      </c>
    </row>
    <row r="2020" spans="1:11">
      <c r="A2020" s="2" t="s">
        <v>1255</v>
      </c>
      <c r="B2020" s="2" t="s">
        <v>3214</v>
      </c>
      <c r="C2020" s="9">
        <v>10067022</v>
      </c>
      <c r="D2020" s="2" t="s">
        <v>3231</v>
      </c>
      <c r="E2020" s="10">
        <v>12</v>
      </c>
      <c r="F2020" s="9" t="s">
        <v>1323</v>
      </c>
      <c r="G2020" s="11">
        <v>46238</v>
      </c>
      <c r="H2020" s="12">
        <v>40.200000000000003</v>
      </c>
      <c r="I2020" s="12">
        <v>40.200000000000003</v>
      </c>
      <c r="J2020" s="9" t="s">
        <v>3</v>
      </c>
      <c r="K2020" s="8">
        <v>0</v>
      </c>
    </row>
    <row r="2021" spans="1:11">
      <c r="A2021" s="2" t="s">
        <v>1255</v>
      </c>
      <c r="B2021" s="2" t="s">
        <v>3214</v>
      </c>
      <c r="C2021" s="9">
        <v>10067023</v>
      </c>
      <c r="D2021" s="2" t="s">
        <v>3232</v>
      </c>
      <c r="E2021" s="10">
        <v>12</v>
      </c>
      <c r="F2021" s="9" t="s">
        <v>1323</v>
      </c>
      <c r="G2021" s="11">
        <v>46238</v>
      </c>
      <c r="H2021" s="12">
        <v>40.200000000000003</v>
      </c>
      <c r="I2021" s="12">
        <v>40.200000000000003</v>
      </c>
      <c r="J2021" s="9" t="s">
        <v>3</v>
      </c>
      <c r="K2021" s="8">
        <v>0</v>
      </c>
    </row>
    <row r="2022" spans="1:11">
      <c r="A2022" s="2" t="s">
        <v>1255</v>
      </c>
      <c r="B2022" s="2" t="s">
        <v>3214</v>
      </c>
      <c r="C2022" s="9">
        <v>10067024</v>
      </c>
      <c r="D2022" s="2" t="s">
        <v>3233</v>
      </c>
      <c r="E2022" s="10">
        <v>12</v>
      </c>
      <c r="F2022" s="9" t="s">
        <v>1323</v>
      </c>
      <c r="G2022" s="11">
        <v>46238</v>
      </c>
      <c r="H2022" s="12">
        <v>40.200000000000003</v>
      </c>
      <c r="I2022" s="12">
        <v>40.200000000000003</v>
      </c>
      <c r="J2022" s="9" t="s">
        <v>3</v>
      </c>
      <c r="K2022" s="8">
        <v>0</v>
      </c>
    </row>
    <row r="2023" spans="1:11">
      <c r="A2023" s="2" t="s">
        <v>1255</v>
      </c>
      <c r="B2023" s="2" t="s">
        <v>3214</v>
      </c>
      <c r="C2023" s="9">
        <v>10067026</v>
      </c>
      <c r="D2023" s="2" t="s">
        <v>3234</v>
      </c>
      <c r="E2023" s="10">
        <v>12</v>
      </c>
      <c r="F2023" s="9" t="s">
        <v>1323</v>
      </c>
      <c r="G2023" s="11">
        <v>46238</v>
      </c>
      <c r="H2023" s="12">
        <v>40.200000000000003</v>
      </c>
      <c r="I2023" s="12">
        <v>40.200000000000003</v>
      </c>
      <c r="J2023" s="9" t="s">
        <v>3</v>
      </c>
      <c r="K2023" s="8">
        <v>0</v>
      </c>
    </row>
    <row r="2024" spans="1:11">
      <c r="A2024" s="2" t="s">
        <v>1255</v>
      </c>
      <c r="B2024" s="2" t="s">
        <v>3214</v>
      </c>
      <c r="C2024" s="9">
        <v>10067027</v>
      </c>
      <c r="D2024" s="2" t="s">
        <v>3235</v>
      </c>
      <c r="E2024" s="10">
        <v>12</v>
      </c>
      <c r="F2024" s="9" t="s">
        <v>1323</v>
      </c>
      <c r="G2024" s="11">
        <v>46238</v>
      </c>
      <c r="H2024" s="12">
        <v>40.200000000000003</v>
      </c>
      <c r="I2024" s="12">
        <v>40.200000000000003</v>
      </c>
      <c r="J2024" s="9" t="s">
        <v>3</v>
      </c>
      <c r="K2024" s="8">
        <v>0</v>
      </c>
    </row>
    <row r="2025" spans="1:11">
      <c r="A2025" s="2" t="s">
        <v>1255</v>
      </c>
      <c r="B2025" s="2" t="s">
        <v>3214</v>
      </c>
      <c r="C2025" s="9">
        <v>10067028</v>
      </c>
      <c r="D2025" s="2" t="s">
        <v>3236</v>
      </c>
      <c r="E2025" s="10">
        <v>12</v>
      </c>
      <c r="F2025" s="9" t="s">
        <v>1323</v>
      </c>
      <c r="G2025" s="11">
        <v>46238</v>
      </c>
      <c r="H2025" s="12">
        <v>40.200000000000003</v>
      </c>
      <c r="I2025" s="12">
        <v>40.200000000000003</v>
      </c>
      <c r="J2025" s="9" t="s">
        <v>3</v>
      </c>
      <c r="K2025" s="8">
        <v>0</v>
      </c>
    </row>
    <row r="2026" spans="1:11">
      <c r="A2026" s="2" t="s">
        <v>1255</v>
      </c>
      <c r="B2026" s="2" t="s">
        <v>3214</v>
      </c>
      <c r="C2026" s="9">
        <v>10067029</v>
      </c>
      <c r="D2026" s="2" t="s">
        <v>3237</v>
      </c>
      <c r="E2026" s="10">
        <v>12</v>
      </c>
      <c r="F2026" s="9" t="s">
        <v>1323</v>
      </c>
      <c r="G2026" s="11">
        <v>46238</v>
      </c>
      <c r="H2026" s="12">
        <v>40.200000000000003</v>
      </c>
      <c r="I2026" s="12">
        <v>40.200000000000003</v>
      </c>
      <c r="J2026" s="9" t="s">
        <v>3</v>
      </c>
      <c r="K2026" s="8">
        <v>0</v>
      </c>
    </row>
    <row r="2027" spans="1:11">
      <c r="A2027" s="2" t="s">
        <v>1255</v>
      </c>
      <c r="B2027" s="2" t="s">
        <v>3214</v>
      </c>
      <c r="C2027" s="9">
        <v>10067030</v>
      </c>
      <c r="D2027" s="2" t="s">
        <v>3238</v>
      </c>
      <c r="E2027" s="10">
        <v>12</v>
      </c>
      <c r="F2027" s="9" t="s">
        <v>1323</v>
      </c>
      <c r="G2027" s="11">
        <v>46238</v>
      </c>
      <c r="H2027" s="12">
        <v>40.200000000000003</v>
      </c>
      <c r="I2027" s="12">
        <v>40.200000000000003</v>
      </c>
      <c r="J2027" s="9" t="s">
        <v>3</v>
      </c>
      <c r="K2027" s="8">
        <v>0</v>
      </c>
    </row>
    <row r="2028" spans="1:11">
      <c r="A2028" s="2" t="s">
        <v>1255</v>
      </c>
      <c r="B2028" s="2" t="s">
        <v>3214</v>
      </c>
      <c r="C2028" s="9">
        <v>10067032</v>
      </c>
      <c r="D2028" s="2" t="s">
        <v>3239</v>
      </c>
      <c r="E2028" s="10">
        <v>360</v>
      </c>
      <c r="F2028" s="9" t="s">
        <v>1323</v>
      </c>
      <c r="G2028" s="11">
        <v>46238</v>
      </c>
      <c r="H2028" s="12">
        <v>1206</v>
      </c>
      <c r="I2028" s="12">
        <v>1206</v>
      </c>
      <c r="J2028" s="9" t="s">
        <v>3</v>
      </c>
      <c r="K2028" s="8">
        <v>0</v>
      </c>
    </row>
    <row r="2029" spans="1:11">
      <c r="A2029" s="2" t="s">
        <v>1255</v>
      </c>
      <c r="B2029" s="2" t="s">
        <v>3214</v>
      </c>
      <c r="C2029" s="9">
        <v>10067039</v>
      </c>
      <c r="D2029" s="2" t="s">
        <v>3240</v>
      </c>
      <c r="E2029" s="10">
        <v>12</v>
      </c>
      <c r="F2029" s="9" t="s">
        <v>693</v>
      </c>
      <c r="G2029" s="11">
        <v>46238</v>
      </c>
      <c r="H2029" s="12">
        <v>40.200000000000003</v>
      </c>
      <c r="I2029" s="12">
        <v>40.200000000000003</v>
      </c>
      <c r="J2029" s="9" t="s">
        <v>3</v>
      </c>
      <c r="K2029" s="8">
        <v>0</v>
      </c>
    </row>
    <row r="2030" spans="1:11">
      <c r="A2030" s="2" t="s">
        <v>1255</v>
      </c>
      <c r="B2030" s="2" t="s">
        <v>3214</v>
      </c>
      <c r="C2030" s="9">
        <v>10067041</v>
      </c>
      <c r="D2030" s="2" t="s">
        <v>3241</v>
      </c>
      <c r="E2030" s="10">
        <v>12</v>
      </c>
      <c r="F2030" s="9" t="s">
        <v>693</v>
      </c>
      <c r="G2030" s="11">
        <v>46238</v>
      </c>
      <c r="H2030" s="12">
        <v>40.200000000000003</v>
      </c>
      <c r="I2030" s="12">
        <v>40.200000000000003</v>
      </c>
      <c r="J2030" s="9" t="s">
        <v>3</v>
      </c>
      <c r="K2030" s="8">
        <v>0</v>
      </c>
    </row>
    <row r="2031" spans="1:11">
      <c r="A2031" s="2" t="s">
        <v>1255</v>
      </c>
      <c r="B2031" s="2" t="s">
        <v>3214</v>
      </c>
      <c r="C2031" s="9">
        <v>10067042</v>
      </c>
      <c r="D2031" s="2" t="s">
        <v>3242</v>
      </c>
      <c r="E2031" s="10">
        <v>12</v>
      </c>
      <c r="F2031" s="9" t="s">
        <v>693</v>
      </c>
      <c r="G2031" s="11">
        <v>46238</v>
      </c>
      <c r="H2031" s="12">
        <v>40.200000000000003</v>
      </c>
      <c r="I2031" s="12">
        <v>40.200000000000003</v>
      </c>
      <c r="J2031" s="9" t="s">
        <v>3</v>
      </c>
      <c r="K2031" s="8">
        <v>0</v>
      </c>
    </row>
    <row r="2032" spans="1:11">
      <c r="A2032" s="2" t="s">
        <v>1255</v>
      </c>
      <c r="B2032" s="2" t="s">
        <v>3214</v>
      </c>
      <c r="C2032" s="9">
        <v>10067043</v>
      </c>
      <c r="D2032" s="2" t="s">
        <v>3243</v>
      </c>
      <c r="E2032" s="10">
        <v>12</v>
      </c>
      <c r="F2032" s="9" t="s">
        <v>1323</v>
      </c>
      <c r="G2032" s="11">
        <v>46238</v>
      </c>
      <c r="H2032" s="12">
        <v>40.200000000000003</v>
      </c>
      <c r="I2032" s="12">
        <v>40.200000000000003</v>
      </c>
      <c r="J2032" s="9" t="s">
        <v>3</v>
      </c>
      <c r="K2032" s="8">
        <v>0</v>
      </c>
    </row>
    <row r="2033" spans="1:11">
      <c r="A2033" s="2" t="s">
        <v>949</v>
      </c>
      <c r="B2033" s="2" t="s">
        <v>1003</v>
      </c>
      <c r="C2033" s="9">
        <v>10067616</v>
      </c>
      <c r="D2033" s="2" t="s">
        <v>3244</v>
      </c>
      <c r="E2033" s="10">
        <v>12</v>
      </c>
      <c r="F2033" s="9" t="s">
        <v>955</v>
      </c>
      <c r="G2033" s="11">
        <v>46238</v>
      </c>
      <c r="H2033" s="12">
        <v>107.13</v>
      </c>
      <c r="I2033" s="12">
        <v>95.35</v>
      </c>
      <c r="J2033" s="9" t="s">
        <v>3</v>
      </c>
      <c r="K2033" s="8">
        <v>0</v>
      </c>
    </row>
    <row r="2034" spans="1:11">
      <c r="A2034" s="2" t="s">
        <v>891</v>
      </c>
      <c r="B2034" s="2" t="s">
        <v>3245</v>
      </c>
      <c r="C2034" s="9">
        <v>10067700</v>
      </c>
      <c r="D2034" s="2" t="s">
        <v>3246</v>
      </c>
      <c r="E2034" s="10">
        <v>4</v>
      </c>
      <c r="F2034" s="9" t="s">
        <v>3247</v>
      </c>
      <c r="G2034" s="11">
        <v>46238</v>
      </c>
      <c r="H2034" s="12">
        <v>124.42</v>
      </c>
      <c r="I2034" s="12">
        <v>110.73</v>
      </c>
      <c r="J2034" s="9" t="s">
        <v>3</v>
      </c>
      <c r="K2034" s="8">
        <v>0</v>
      </c>
    </row>
    <row r="2035" spans="1:11">
      <c r="A2035" s="2" t="s">
        <v>891</v>
      </c>
      <c r="B2035" s="2" t="s">
        <v>3248</v>
      </c>
      <c r="C2035" s="9">
        <v>10067702</v>
      </c>
      <c r="D2035" s="2" t="s">
        <v>3249</v>
      </c>
      <c r="E2035" s="10">
        <v>4</v>
      </c>
      <c r="F2035" s="9" t="s">
        <v>3247</v>
      </c>
      <c r="G2035" s="11">
        <v>46238</v>
      </c>
      <c r="H2035" s="12">
        <v>175.91</v>
      </c>
      <c r="I2035" s="12">
        <v>156.57</v>
      </c>
      <c r="J2035" s="9" t="s">
        <v>3</v>
      </c>
      <c r="K2035" s="8">
        <v>0</v>
      </c>
    </row>
    <row r="2036" spans="1:11">
      <c r="A2036" s="2" t="s">
        <v>891</v>
      </c>
      <c r="B2036" s="2" t="s">
        <v>3248</v>
      </c>
      <c r="C2036" s="9">
        <v>10067703</v>
      </c>
      <c r="D2036" s="2" t="s">
        <v>3250</v>
      </c>
      <c r="E2036" s="10">
        <v>2</v>
      </c>
      <c r="F2036" s="9" t="s">
        <v>3247</v>
      </c>
      <c r="G2036" s="11">
        <v>46238</v>
      </c>
      <c r="H2036" s="12">
        <v>124.4</v>
      </c>
      <c r="I2036" s="12">
        <v>110.73</v>
      </c>
      <c r="J2036" s="9" t="s">
        <v>3</v>
      </c>
      <c r="K2036" s="8">
        <v>0</v>
      </c>
    </row>
    <row r="2037" spans="1:11">
      <c r="A2037" s="2" t="s">
        <v>891</v>
      </c>
      <c r="B2037" s="2" t="s">
        <v>3248</v>
      </c>
      <c r="C2037" s="9">
        <v>10067704</v>
      </c>
      <c r="D2037" s="2" t="s">
        <v>3251</v>
      </c>
      <c r="E2037" s="10">
        <v>2</v>
      </c>
      <c r="F2037" s="9" t="s">
        <v>3247</v>
      </c>
      <c r="G2037" s="11">
        <v>46238</v>
      </c>
      <c r="H2037" s="12">
        <v>114.07</v>
      </c>
      <c r="I2037" s="12">
        <v>101.53</v>
      </c>
      <c r="J2037" s="9" t="s">
        <v>3</v>
      </c>
      <c r="K2037" s="8">
        <v>0</v>
      </c>
    </row>
    <row r="2038" spans="1:11">
      <c r="A2038" s="2" t="s">
        <v>891</v>
      </c>
      <c r="B2038" s="2" t="s">
        <v>3248</v>
      </c>
      <c r="C2038" s="9">
        <v>10067705</v>
      </c>
      <c r="D2038" s="2" t="s">
        <v>3252</v>
      </c>
      <c r="E2038" s="10">
        <v>2</v>
      </c>
      <c r="F2038" s="9" t="s">
        <v>3247</v>
      </c>
      <c r="G2038" s="11">
        <v>46238</v>
      </c>
      <c r="H2038" s="12">
        <v>132.56</v>
      </c>
      <c r="I2038" s="12">
        <v>123.08</v>
      </c>
      <c r="J2038" s="9" t="s">
        <v>3</v>
      </c>
      <c r="K2038" s="8">
        <v>0</v>
      </c>
    </row>
    <row r="2039" spans="1:11">
      <c r="A2039" s="2" t="s">
        <v>891</v>
      </c>
      <c r="B2039" s="2" t="s">
        <v>3248</v>
      </c>
      <c r="C2039" s="9">
        <v>10067706</v>
      </c>
      <c r="D2039" s="2" t="s">
        <v>3253</v>
      </c>
      <c r="E2039" s="10">
        <v>2</v>
      </c>
      <c r="F2039" s="9" t="s">
        <v>3247</v>
      </c>
      <c r="G2039" s="11">
        <v>46238</v>
      </c>
      <c r="H2039" s="12">
        <v>41.76</v>
      </c>
      <c r="I2039" s="12">
        <v>40.22</v>
      </c>
      <c r="J2039" s="9" t="s">
        <v>3</v>
      </c>
      <c r="K2039" s="8">
        <v>1</v>
      </c>
    </row>
    <row r="2040" spans="1:11">
      <c r="A2040" s="2" t="s">
        <v>891</v>
      </c>
      <c r="B2040" s="2" t="s">
        <v>3248</v>
      </c>
      <c r="C2040" s="9">
        <v>10067707</v>
      </c>
      <c r="D2040" s="2" t="s">
        <v>3254</v>
      </c>
      <c r="E2040" s="10">
        <v>5</v>
      </c>
      <c r="F2040" s="9" t="s">
        <v>3247</v>
      </c>
      <c r="G2040" s="11">
        <v>46238</v>
      </c>
      <c r="H2040" s="12">
        <v>124.39</v>
      </c>
      <c r="I2040" s="12">
        <v>110.7</v>
      </c>
      <c r="J2040" s="9" t="s">
        <v>3</v>
      </c>
      <c r="K2040" s="8">
        <v>0</v>
      </c>
    </row>
    <row r="2041" spans="1:11">
      <c r="A2041" s="2" t="s">
        <v>891</v>
      </c>
      <c r="B2041" s="2" t="s">
        <v>3248</v>
      </c>
      <c r="C2041" s="9">
        <v>10067708</v>
      </c>
      <c r="D2041" s="2" t="s">
        <v>3255</v>
      </c>
      <c r="E2041" s="10">
        <v>2</v>
      </c>
      <c r="F2041" s="9" t="s">
        <v>3247</v>
      </c>
      <c r="G2041" s="11">
        <v>46238</v>
      </c>
      <c r="H2041" s="12">
        <v>41.76</v>
      </c>
      <c r="I2041" s="12">
        <v>40.22</v>
      </c>
      <c r="J2041" s="9" t="s">
        <v>3</v>
      </c>
      <c r="K2041" s="8">
        <v>1</v>
      </c>
    </row>
    <row r="2042" spans="1:11">
      <c r="A2042" s="2" t="s">
        <v>891</v>
      </c>
      <c r="B2042" s="2" t="s">
        <v>3248</v>
      </c>
      <c r="C2042" s="9">
        <v>10067709</v>
      </c>
      <c r="D2042" s="2" t="s">
        <v>3256</v>
      </c>
      <c r="E2042" s="10">
        <v>5</v>
      </c>
      <c r="F2042" s="9" t="s">
        <v>3247</v>
      </c>
      <c r="G2042" s="11">
        <v>46238</v>
      </c>
      <c r="H2042" s="12">
        <v>124.39</v>
      </c>
      <c r="I2042" s="12">
        <v>110.7</v>
      </c>
      <c r="J2042" s="9" t="s">
        <v>3</v>
      </c>
      <c r="K2042" s="8">
        <v>0</v>
      </c>
    </row>
    <row r="2043" spans="1:11">
      <c r="A2043" s="2" t="s">
        <v>891</v>
      </c>
      <c r="B2043" s="2" t="s">
        <v>3248</v>
      </c>
      <c r="C2043" s="9">
        <v>10067710</v>
      </c>
      <c r="D2043" s="2" t="s">
        <v>3257</v>
      </c>
      <c r="E2043" s="10">
        <v>2</v>
      </c>
      <c r="F2043" s="9" t="s">
        <v>3247</v>
      </c>
      <c r="G2043" s="11">
        <v>46238</v>
      </c>
      <c r="H2043" s="12">
        <v>41.76</v>
      </c>
      <c r="I2043" s="12">
        <v>40.22</v>
      </c>
      <c r="J2043" s="9" t="s">
        <v>3</v>
      </c>
      <c r="K2043" s="8">
        <v>1</v>
      </c>
    </row>
    <row r="2044" spans="1:11">
      <c r="A2044" s="2" t="s">
        <v>891</v>
      </c>
      <c r="B2044" s="2" t="s">
        <v>3248</v>
      </c>
      <c r="C2044" s="9">
        <v>10067711</v>
      </c>
      <c r="D2044" s="2" t="s">
        <v>3258</v>
      </c>
      <c r="E2044" s="10">
        <v>5</v>
      </c>
      <c r="F2044" s="9" t="s">
        <v>3247</v>
      </c>
      <c r="G2044" s="11">
        <v>46238</v>
      </c>
      <c r="H2044" s="12">
        <v>124.39</v>
      </c>
      <c r="I2044" s="12">
        <v>110.7</v>
      </c>
      <c r="J2044" s="9" t="s">
        <v>3</v>
      </c>
      <c r="K2044" s="8">
        <v>0</v>
      </c>
    </row>
    <row r="2045" spans="1:11">
      <c r="A2045" s="2" t="s">
        <v>891</v>
      </c>
      <c r="B2045" s="2" t="s">
        <v>3248</v>
      </c>
      <c r="C2045" s="9">
        <v>10067712</v>
      </c>
      <c r="D2045" s="2" t="s">
        <v>3259</v>
      </c>
      <c r="E2045" s="10">
        <v>2</v>
      </c>
      <c r="F2045" s="9" t="s">
        <v>3247</v>
      </c>
      <c r="G2045" s="11">
        <v>46238</v>
      </c>
      <c r="H2045" s="12">
        <v>48.41</v>
      </c>
      <c r="I2045" s="12">
        <v>46.62</v>
      </c>
      <c r="J2045" s="9" t="s">
        <v>3</v>
      </c>
      <c r="K2045" s="8">
        <v>1</v>
      </c>
    </row>
    <row r="2046" spans="1:11">
      <c r="A2046" s="2" t="s">
        <v>891</v>
      </c>
      <c r="B2046" s="2" t="s">
        <v>3248</v>
      </c>
      <c r="C2046" s="9">
        <v>10067713</v>
      </c>
      <c r="D2046" s="2" t="s">
        <v>3260</v>
      </c>
      <c r="E2046" s="10">
        <v>5</v>
      </c>
      <c r="F2046" s="9" t="s">
        <v>3247</v>
      </c>
      <c r="G2046" s="11">
        <v>46238</v>
      </c>
      <c r="H2046" s="12">
        <v>124.39</v>
      </c>
      <c r="I2046" s="12">
        <v>110.7</v>
      </c>
      <c r="J2046" s="9" t="s">
        <v>3</v>
      </c>
      <c r="K2046" s="8">
        <v>0</v>
      </c>
    </row>
    <row r="2047" spans="1:11">
      <c r="A2047" s="2" t="s">
        <v>891</v>
      </c>
      <c r="B2047" s="2" t="s">
        <v>3248</v>
      </c>
      <c r="C2047" s="9">
        <v>10067714</v>
      </c>
      <c r="D2047" s="2" t="s">
        <v>3261</v>
      </c>
      <c r="E2047" s="10">
        <v>2</v>
      </c>
      <c r="F2047" s="9" t="s">
        <v>3247</v>
      </c>
      <c r="G2047" s="11">
        <v>46238</v>
      </c>
      <c r="H2047" s="12">
        <v>124.38</v>
      </c>
      <c r="I2047" s="12">
        <v>110.71</v>
      </c>
      <c r="J2047" s="9" t="s">
        <v>3</v>
      </c>
      <c r="K2047" s="8">
        <v>0</v>
      </c>
    </row>
    <row r="2048" spans="1:11">
      <c r="A2048" s="2" t="s">
        <v>891</v>
      </c>
      <c r="B2048" s="2" t="s">
        <v>3248</v>
      </c>
      <c r="C2048" s="9">
        <v>10067715</v>
      </c>
      <c r="D2048" s="2" t="s">
        <v>3262</v>
      </c>
      <c r="E2048" s="10">
        <v>12</v>
      </c>
      <c r="F2048" s="9" t="s">
        <v>3247</v>
      </c>
      <c r="G2048" s="11">
        <v>46238</v>
      </c>
      <c r="H2048" s="12">
        <v>171.16</v>
      </c>
      <c r="I2048" s="12">
        <v>152.29</v>
      </c>
      <c r="J2048" s="9" t="s">
        <v>3</v>
      </c>
      <c r="K2048" s="8">
        <v>0</v>
      </c>
    </row>
    <row r="2049" spans="1:11">
      <c r="A2049" s="2" t="s">
        <v>891</v>
      </c>
      <c r="B2049" s="2" t="s">
        <v>3248</v>
      </c>
      <c r="C2049" s="9">
        <v>10067716</v>
      </c>
      <c r="D2049" s="2" t="s">
        <v>3263</v>
      </c>
      <c r="E2049" s="10">
        <v>5</v>
      </c>
      <c r="F2049" s="9" t="s">
        <v>3247</v>
      </c>
      <c r="G2049" s="11">
        <v>46238</v>
      </c>
      <c r="H2049" s="12">
        <v>119.74</v>
      </c>
      <c r="I2049" s="12">
        <v>106.58</v>
      </c>
      <c r="J2049" s="9" t="s">
        <v>3</v>
      </c>
      <c r="K2049" s="8">
        <v>0</v>
      </c>
    </row>
    <row r="2050" spans="1:11">
      <c r="A2050" s="2" t="s">
        <v>891</v>
      </c>
      <c r="B2050" s="2" t="s">
        <v>3248</v>
      </c>
      <c r="C2050" s="9">
        <v>10067717</v>
      </c>
      <c r="D2050" s="2" t="s">
        <v>3264</v>
      </c>
      <c r="E2050" s="10">
        <v>2</v>
      </c>
      <c r="F2050" s="9" t="s">
        <v>3247</v>
      </c>
      <c r="G2050" s="11">
        <v>46238</v>
      </c>
      <c r="H2050" s="12">
        <v>40.65</v>
      </c>
      <c r="I2050" s="12">
        <v>39.15</v>
      </c>
      <c r="J2050" s="9" t="s">
        <v>3</v>
      </c>
      <c r="K2050" s="8">
        <v>1</v>
      </c>
    </row>
    <row r="2051" spans="1:11">
      <c r="A2051" s="2" t="s">
        <v>687</v>
      </c>
      <c r="B2051" s="2" t="s">
        <v>3265</v>
      </c>
      <c r="C2051" s="9">
        <v>10070025</v>
      </c>
      <c r="D2051" s="2" t="s">
        <v>3266</v>
      </c>
      <c r="E2051" s="10">
        <v>12</v>
      </c>
      <c r="F2051" s="9" t="s">
        <v>3267</v>
      </c>
      <c r="G2051" s="11">
        <v>46238</v>
      </c>
      <c r="H2051" s="12">
        <v>74</v>
      </c>
      <c r="I2051" s="12">
        <v>65.86</v>
      </c>
      <c r="J2051" s="9" t="s">
        <v>3</v>
      </c>
      <c r="K2051" s="8">
        <v>0</v>
      </c>
    </row>
    <row r="2052" spans="1:11">
      <c r="A2052" s="2" t="s">
        <v>687</v>
      </c>
      <c r="B2052" s="2" t="s">
        <v>3265</v>
      </c>
      <c r="C2052" s="9">
        <v>10070027</v>
      </c>
      <c r="D2052" s="2" t="s">
        <v>3268</v>
      </c>
      <c r="E2052" s="10">
        <v>10</v>
      </c>
      <c r="F2052" s="9" t="s">
        <v>1732</v>
      </c>
      <c r="G2052" s="11">
        <v>46238</v>
      </c>
      <c r="H2052" s="12">
        <v>70.760000000000005</v>
      </c>
      <c r="I2052" s="12">
        <v>62.98</v>
      </c>
      <c r="J2052" s="9" t="s">
        <v>3</v>
      </c>
      <c r="K2052" s="8">
        <v>0</v>
      </c>
    </row>
    <row r="2053" spans="1:11">
      <c r="A2053" s="2" t="s">
        <v>687</v>
      </c>
      <c r="B2053" s="2" t="s">
        <v>3265</v>
      </c>
      <c r="C2053" s="9">
        <v>10070069</v>
      </c>
      <c r="D2053" s="2" t="s">
        <v>3269</v>
      </c>
      <c r="E2053" s="10">
        <v>12</v>
      </c>
      <c r="F2053" s="9" t="s">
        <v>3270</v>
      </c>
      <c r="G2053" s="11">
        <v>46238</v>
      </c>
      <c r="H2053" s="12">
        <v>48.22</v>
      </c>
      <c r="I2053" s="12">
        <v>42.92</v>
      </c>
      <c r="J2053" s="9" t="s">
        <v>3</v>
      </c>
      <c r="K2053" s="8">
        <v>0</v>
      </c>
    </row>
    <row r="2054" spans="1:11">
      <c r="A2054" s="2" t="s">
        <v>687</v>
      </c>
      <c r="B2054" s="2" t="s">
        <v>3265</v>
      </c>
      <c r="C2054" s="9">
        <v>10070070</v>
      </c>
      <c r="D2054" s="2" t="s">
        <v>3271</v>
      </c>
      <c r="E2054" s="10">
        <v>12</v>
      </c>
      <c r="F2054" s="9" t="s">
        <v>3270</v>
      </c>
      <c r="G2054" s="11">
        <v>46238</v>
      </c>
      <c r="H2054" s="12">
        <v>48.22</v>
      </c>
      <c r="I2054" s="12">
        <v>42.92</v>
      </c>
      <c r="J2054" s="9" t="s">
        <v>3</v>
      </c>
      <c r="K2054" s="8">
        <v>0</v>
      </c>
    </row>
    <row r="2055" spans="1:11">
      <c r="A2055" s="2" t="s">
        <v>663</v>
      </c>
      <c r="B2055" s="2" t="s">
        <v>3272</v>
      </c>
      <c r="C2055" s="9">
        <v>10070085</v>
      </c>
      <c r="D2055" s="2" t="s">
        <v>3273</v>
      </c>
      <c r="E2055" s="10">
        <v>12</v>
      </c>
      <c r="F2055" s="9" t="s">
        <v>697</v>
      </c>
      <c r="G2055" s="11">
        <v>46238</v>
      </c>
      <c r="H2055" s="12">
        <v>45.35</v>
      </c>
      <c r="I2055" s="12">
        <v>40.36</v>
      </c>
      <c r="J2055" s="9" t="s">
        <v>3</v>
      </c>
      <c r="K2055" s="8">
        <v>0</v>
      </c>
    </row>
    <row r="2056" spans="1:11">
      <c r="A2056" s="2" t="s">
        <v>663</v>
      </c>
      <c r="B2056" s="2" t="s">
        <v>3272</v>
      </c>
      <c r="C2056" s="9">
        <v>10070086</v>
      </c>
      <c r="D2056" s="2" t="s">
        <v>3274</v>
      </c>
      <c r="E2056" s="10">
        <v>12</v>
      </c>
      <c r="F2056" s="9" t="s">
        <v>697</v>
      </c>
      <c r="G2056" s="11">
        <v>46238</v>
      </c>
      <c r="H2056" s="12">
        <v>45.35</v>
      </c>
      <c r="I2056" s="12">
        <v>40.36</v>
      </c>
      <c r="J2056" s="9" t="s">
        <v>3</v>
      </c>
      <c r="K2056" s="8">
        <v>0</v>
      </c>
    </row>
    <row r="2057" spans="1:11">
      <c r="A2057" s="2" t="s">
        <v>663</v>
      </c>
      <c r="B2057" s="2" t="s">
        <v>3272</v>
      </c>
      <c r="C2057" s="9">
        <v>10070087</v>
      </c>
      <c r="D2057" s="2" t="s">
        <v>3275</v>
      </c>
      <c r="E2057" s="10">
        <v>12</v>
      </c>
      <c r="F2057" s="9" t="s">
        <v>697</v>
      </c>
      <c r="G2057" s="11">
        <v>46238</v>
      </c>
      <c r="H2057" s="12">
        <v>45.35</v>
      </c>
      <c r="I2057" s="12">
        <v>40.36</v>
      </c>
      <c r="J2057" s="9" t="s">
        <v>3</v>
      </c>
      <c r="K2057" s="8">
        <v>0</v>
      </c>
    </row>
    <row r="2058" spans="1:11">
      <c r="A2058" s="2" t="s">
        <v>663</v>
      </c>
      <c r="B2058" s="2" t="s">
        <v>3272</v>
      </c>
      <c r="C2058" s="9">
        <v>10070088</v>
      </c>
      <c r="D2058" s="2" t="s">
        <v>3276</v>
      </c>
      <c r="E2058" s="10">
        <v>6</v>
      </c>
      <c r="F2058" s="9" t="s">
        <v>3277</v>
      </c>
      <c r="G2058" s="11">
        <v>46238</v>
      </c>
      <c r="H2058" s="12">
        <v>22.9</v>
      </c>
      <c r="I2058" s="12">
        <v>20.38</v>
      </c>
      <c r="J2058" s="9" t="s">
        <v>3</v>
      </c>
      <c r="K2058" s="8">
        <v>0</v>
      </c>
    </row>
    <row r="2059" spans="1:11">
      <c r="A2059" s="2" t="s">
        <v>663</v>
      </c>
      <c r="B2059" s="2" t="s">
        <v>3272</v>
      </c>
      <c r="C2059" s="9">
        <v>10070089</v>
      </c>
      <c r="D2059" s="2" t="s">
        <v>3278</v>
      </c>
      <c r="E2059" s="10">
        <v>6</v>
      </c>
      <c r="F2059" s="9" t="s">
        <v>3277</v>
      </c>
      <c r="G2059" s="11">
        <v>46238</v>
      </c>
      <c r="H2059" s="12">
        <v>22.9</v>
      </c>
      <c r="I2059" s="12">
        <v>20.38</v>
      </c>
      <c r="J2059" s="9" t="s">
        <v>3</v>
      </c>
      <c r="K2059" s="8">
        <v>0</v>
      </c>
    </row>
    <row r="2060" spans="1:11">
      <c r="A2060" s="2" t="s">
        <v>663</v>
      </c>
      <c r="B2060" s="2" t="s">
        <v>3272</v>
      </c>
      <c r="C2060" s="9">
        <v>10070090</v>
      </c>
      <c r="D2060" s="2" t="s">
        <v>3279</v>
      </c>
      <c r="E2060" s="10">
        <v>6</v>
      </c>
      <c r="F2060" s="9" t="s">
        <v>3277</v>
      </c>
      <c r="G2060" s="11">
        <v>46238</v>
      </c>
      <c r="H2060" s="12">
        <v>22.9</v>
      </c>
      <c r="I2060" s="12">
        <v>20.38</v>
      </c>
      <c r="J2060" s="9" t="s">
        <v>3</v>
      </c>
      <c r="K2060" s="8">
        <v>0</v>
      </c>
    </row>
    <row r="2061" spans="1:11">
      <c r="A2061" s="2" t="s">
        <v>687</v>
      </c>
      <c r="B2061" s="2" t="s">
        <v>3265</v>
      </c>
      <c r="C2061" s="9">
        <v>10070147</v>
      </c>
      <c r="D2061" s="2" t="s">
        <v>3280</v>
      </c>
      <c r="E2061" s="10">
        <v>12</v>
      </c>
      <c r="F2061" s="9" t="s">
        <v>985</v>
      </c>
      <c r="G2061" s="11">
        <v>46238</v>
      </c>
      <c r="H2061" s="12">
        <v>90.98</v>
      </c>
      <c r="I2061" s="12">
        <v>80.97</v>
      </c>
      <c r="J2061" s="9" t="s">
        <v>3</v>
      </c>
      <c r="K2061" s="8">
        <v>0</v>
      </c>
    </row>
    <row r="2062" spans="1:11">
      <c r="A2062" s="2" t="s">
        <v>607</v>
      </c>
      <c r="B2062" s="2" t="s">
        <v>3281</v>
      </c>
      <c r="C2062" s="9">
        <v>10070148</v>
      </c>
      <c r="D2062" s="2" t="s">
        <v>3282</v>
      </c>
      <c r="E2062" s="10">
        <v>8</v>
      </c>
      <c r="F2062" s="9" t="s">
        <v>776</v>
      </c>
      <c r="G2062" s="11">
        <v>46238</v>
      </c>
      <c r="H2062" s="12">
        <v>41.04</v>
      </c>
      <c r="I2062" s="12">
        <v>35.68</v>
      </c>
      <c r="J2062" s="9" t="s">
        <v>3</v>
      </c>
      <c r="K2062" s="8">
        <v>0</v>
      </c>
    </row>
    <row r="2063" spans="1:11">
      <c r="A2063" s="2" t="s">
        <v>687</v>
      </c>
      <c r="B2063" s="2" t="s">
        <v>3265</v>
      </c>
      <c r="C2063" s="9">
        <v>10070155</v>
      </c>
      <c r="D2063" s="2" t="s">
        <v>3283</v>
      </c>
      <c r="E2063" s="10">
        <v>12</v>
      </c>
      <c r="F2063" s="9" t="s">
        <v>1263</v>
      </c>
      <c r="G2063" s="11">
        <v>46238</v>
      </c>
      <c r="H2063" s="12">
        <v>70.75</v>
      </c>
      <c r="I2063" s="12">
        <v>62.92</v>
      </c>
      <c r="J2063" s="9" t="s">
        <v>3</v>
      </c>
      <c r="K2063" s="8">
        <v>0</v>
      </c>
    </row>
    <row r="2064" spans="1:11">
      <c r="A2064" s="2" t="s">
        <v>687</v>
      </c>
      <c r="B2064" s="2" t="s">
        <v>3265</v>
      </c>
      <c r="C2064" s="9">
        <v>10070156</v>
      </c>
      <c r="D2064" s="2" t="s">
        <v>3284</v>
      </c>
      <c r="E2064" s="10">
        <v>10</v>
      </c>
      <c r="F2064" s="9" t="s">
        <v>1114</v>
      </c>
      <c r="G2064" s="11">
        <v>46238</v>
      </c>
      <c r="H2064" s="12">
        <v>61.91</v>
      </c>
      <c r="I2064" s="12">
        <v>55.1</v>
      </c>
      <c r="J2064" s="9" t="s">
        <v>3</v>
      </c>
      <c r="K2064" s="8">
        <v>0</v>
      </c>
    </row>
    <row r="2065" spans="1:11">
      <c r="A2065" s="2" t="s">
        <v>687</v>
      </c>
      <c r="B2065" s="2" t="s">
        <v>3285</v>
      </c>
      <c r="C2065" s="9">
        <v>10070159</v>
      </c>
      <c r="D2065" s="2" t="s">
        <v>3286</v>
      </c>
      <c r="E2065" s="10">
        <v>10</v>
      </c>
      <c r="F2065" s="9" t="s">
        <v>1217</v>
      </c>
      <c r="G2065" s="11">
        <v>46238</v>
      </c>
      <c r="H2065" s="12">
        <v>82.8</v>
      </c>
      <c r="I2065" s="12">
        <v>72</v>
      </c>
      <c r="J2065" s="9" t="s">
        <v>3</v>
      </c>
      <c r="K2065" s="8">
        <v>0</v>
      </c>
    </row>
    <row r="2066" spans="1:11">
      <c r="A2066" s="2" t="s">
        <v>687</v>
      </c>
      <c r="B2066" s="2" t="s">
        <v>3285</v>
      </c>
      <c r="C2066" s="9">
        <v>10070164</v>
      </c>
      <c r="D2066" s="2" t="s">
        <v>3287</v>
      </c>
      <c r="E2066" s="10">
        <v>10</v>
      </c>
      <c r="F2066" s="9" t="s">
        <v>1217</v>
      </c>
      <c r="G2066" s="11">
        <v>46238</v>
      </c>
      <c r="H2066" s="12">
        <v>82.8</v>
      </c>
      <c r="I2066" s="12">
        <v>72</v>
      </c>
      <c r="J2066" s="9" t="s">
        <v>3</v>
      </c>
      <c r="K2066" s="8">
        <v>0</v>
      </c>
    </row>
    <row r="2067" spans="1:11">
      <c r="A2067" s="2" t="s">
        <v>687</v>
      </c>
      <c r="B2067" s="2" t="s">
        <v>3288</v>
      </c>
      <c r="C2067" s="9">
        <v>10070179</v>
      </c>
      <c r="D2067" s="2" t="s">
        <v>3289</v>
      </c>
      <c r="E2067" s="10">
        <v>24</v>
      </c>
      <c r="F2067" s="9" t="s">
        <v>1698</v>
      </c>
      <c r="G2067" s="11">
        <v>46238</v>
      </c>
      <c r="H2067" s="12">
        <v>47.28</v>
      </c>
      <c r="I2067" s="12">
        <v>42</v>
      </c>
      <c r="J2067" s="9" t="s">
        <v>3</v>
      </c>
      <c r="K2067" s="8">
        <v>0</v>
      </c>
    </row>
    <row r="2068" spans="1:11">
      <c r="A2068" s="2" t="s">
        <v>607</v>
      </c>
      <c r="B2068" s="2" t="s">
        <v>3281</v>
      </c>
      <c r="C2068" s="9">
        <v>10070181</v>
      </c>
      <c r="D2068" s="2" t="s">
        <v>3290</v>
      </c>
      <c r="E2068" s="10">
        <v>12</v>
      </c>
      <c r="F2068" s="9" t="s">
        <v>770</v>
      </c>
      <c r="G2068" s="11">
        <v>46238</v>
      </c>
      <c r="H2068" s="12">
        <v>64.319999999999993</v>
      </c>
      <c r="I2068" s="12">
        <v>57.26</v>
      </c>
      <c r="J2068" s="9" t="s">
        <v>3</v>
      </c>
      <c r="K2068" s="8">
        <v>0</v>
      </c>
    </row>
    <row r="2069" spans="1:11">
      <c r="A2069" s="2" t="s">
        <v>607</v>
      </c>
      <c r="B2069" s="2" t="s">
        <v>3281</v>
      </c>
      <c r="C2069" s="9">
        <v>10070182</v>
      </c>
      <c r="D2069" s="2" t="s">
        <v>3291</v>
      </c>
      <c r="E2069" s="10">
        <v>12</v>
      </c>
      <c r="F2069" s="9" t="s">
        <v>770</v>
      </c>
      <c r="G2069" s="11">
        <v>46238</v>
      </c>
      <c r="H2069" s="12">
        <v>50.83</v>
      </c>
      <c r="I2069" s="12">
        <v>45.28</v>
      </c>
      <c r="J2069" s="9" t="s">
        <v>3</v>
      </c>
      <c r="K2069" s="8">
        <v>0</v>
      </c>
    </row>
    <row r="2070" spans="1:11">
      <c r="A2070" s="2" t="s">
        <v>607</v>
      </c>
      <c r="B2070" s="2" t="s">
        <v>3281</v>
      </c>
      <c r="C2070" s="9">
        <v>10070183</v>
      </c>
      <c r="D2070" s="2" t="s">
        <v>3292</v>
      </c>
      <c r="E2070" s="10">
        <v>12</v>
      </c>
      <c r="F2070" s="9" t="s">
        <v>770</v>
      </c>
      <c r="G2070" s="11">
        <v>46238</v>
      </c>
      <c r="H2070" s="12">
        <v>64.319999999999993</v>
      </c>
      <c r="I2070" s="12">
        <v>57.26</v>
      </c>
      <c r="J2070" s="9" t="s">
        <v>3</v>
      </c>
      <c r="K2070" s="8">
        <v>0</v>
      </c>
    </row>
    <row r="2071" spans="1:11">
      <c r="A2071" s="2" t="s">
        <v>607</v>
      </c>
      <c r="B2071" s="2" t="s">
        <v>3281</v>
      </c>
      <c r="C2071" s="9">
        <v>10070185</v>
      </c>
      <c r="D2071" s="2" t="s">
        <v>3293</v>
      </c>
      <c r="E2071" s="10">
        <v>8</v>
      </c>
      <c r="F2071" s="9" t="s">
        <v>776</v>
      </c>
      <c r="G2071" s="11">
        <v>46238</v>
      </c>
      <c r="H2071" s="12">
        <v>47.93</v>
      </c>
      <c r="I2071" s="12">
        <v>41.7</v>
      </c>
      <c r="J2071" s="9" t="s">
        <v>3</v>
      </c>
      <c r="K2071" s="8">
        <v>0</v>
      </c>
    </row>
    <row r="2072" spans="1:11">
      <c r="A2072" s="2" t="s">
        <v>607</v>
      </c>
      <c r="B2072" s="2" t="s">
        <v>3281</v>
      </c>
      <c r="C2072" s="9">
        <v>10070186</v>
      </c>
      <c r="D2072" s="2" t="s">
        <v>3294</v>
      </c>
      <c r="E2072" s="10">
        <v>8</v>
      </c>
      <c r="F2072" s="9" t="s">
        <v>776</v>
      </c>
      <c r="G2072" s="11">
        <v>46238</v>
      </c>
      <c r="H2072" s="12">
        <v>47.93</v>
      </c>
      <c r="I2072" s="12">
        <v>41.7</v>
      </c>
      <c r="J2072" s="9" t="s">
        <v>3</v>
      </c>
      <c r="K2072" s="8">
        <v>0</v>
      </c>
    </row>
    <row r="2073" spans="1:11">
      <c r="A2073" s="2" t="s">
        <v>721</v>
      </c>
      <c r="B2073" s="2" t="s">
        <v>3281</v>
      </c>
      <c r="C2073" s="9">
        <v>10070189</v>
      </c>
      <c r="D2073" s="2" t="s">
        <v>3295</v>
      </c>
      <c r="E2073" s="10">
        <v>8</v>
      </c>
      <c r="F2073" s="9" t="s">
        <v>776</v>
      </c>
      <c r="G2073" s="11">
        <v>46238</v>
      </c>
      <c r="H2073" s="12">
        <v>41.04</v>
      </c>
      <c r="I2073" s="12">
        <v>35.68</v>
      </c>
      <c r="J2073" s="9" t="s">
        <v>3</v>
      </c>
      <c r="K2073" s="8">
        <v>0</v>
      </c>
    </row>
    <row r="2074" spans="1:11">
      <c r="A2074" s="2" t="s">
        <v>607</v>
      </c>
      <c r="B2074" s="2" t="s">
        <v>3281</v>
      </c>
      <c r="C2074" s="9">
        <v>10070190</v>
      </c>
      <c r="D2074" s="2" t="s">
        <v>3296</v>
      </c>
      <c r="E2074" s="10">
        <v>12</v>
      </c>
      <c r="F2074" s="9" t="s">
        <v>770</v>
      </c>
      <c r="G2074" s="11">
        <v>46238</v>
      </c>
      <c r="H2074" s="12">
        <v>66.59</v>
      </c>
      <c r="I2074" s="12">
        <v>59.28</v>
      </c>
      <c r="J2074" s="9" t="s">
        <v>3</v>
      </c>
      <c r="K2074" s="8">
        <v>0</v>
      </c>
    </row>
    <row r="2075" spans="1:11">
      <c r="A2075" s="2" t="s">
        <v>607</v>
      </c>
      <c r="B2075" s="2" t="s">
        <v>3281</v>
      </c>
      <c r="C2075" s="9">
        <v>10070191</v>
      </c>
      <c r="D2075" s="2" t="s">
        <v>3297</v>
      </c>
      <c r="E2075" s="10">
        <v>12</v>
      </c>
      <c r="F2075" s="9" t="s">
        <v>770</v>
      </c>
      <c r="G2075" s="11">
        <v>46238</v>
      </c>
      <c r="H2075" s="12">
        <v>66.59</v>
      </c>
      <c r="I2075" s="12">
        <v>59.28</v>
      </c>
      <c r="J2075" s="9" t="s">
        <v>3</v>
      </c>
      <c r="K2075" s="8">
        <v>0</v>
      </c>
    </row>
    <row r="2076" spans="1:11">
      <c r="A2076" s="2" t="s">
        <v>607</v>
      </c>
      <c r="B2076" s="2" t="s">
        <v>3281</v>
      </c>
      <c r="C2076" s="9">
        <v>10070192</v>
      </c>
      <c r="D2076" s="2" t="s">
        <v>3298</v>
      </c>
      <c r="E2076" s="10">
        <v>12</v>
      </c>
      <c r="F2076" s="9" t="s">
        <v>770</v>
      </c>
      <c r="G2076" s="11">
        <v>46238</v>
      </c>
      <c r="H2076" s="12">
        <v>63.34</v>
      </c>
      <c r="I2076" s="12">
        <v>55.11</v>
      </c>
      <c r="J2076" s="9" t="s">
        <v>3</v>
      </c>
      <c r="K2076" s="8">
        <v>0</v>
      </c>
    </row>
    <row r="2077" spans="1:11">
      <c r="A2077" s="2" t="s">
        <v>687</v>
      </c>
      <c r="B2077" s="2" t="s">
        <v>3285</v>
      </c>
      <c r="C2077" s="9">
        <v>10070193</v>
      </c>
      <c r="D2077" s="2" t="s">
        <v>3299</v>
      </c>
      <c r="E2077" s="10">
        <v>10</v>
      </c>
      <c r="F2077" s="9" t="s">
        <v>1849</v>
      </c>
      <c r="G2077" s="11">
        <v>46238</v>
      </c>
      <c r="H2077" s="12">
        <v>82.8</v>
      </c>
      <c r="I2077" s="12">
        <v>72</v>
      </c>
      <c r="J2077" s="9" t="s">
        <v>3</v>
      </c>
      <c r="K2077" s="8">
        <v>0</v>
      </c>
    </row>
    <row r="2078" spans="1:11">
      <c r="A2078" s="2" t="s">
        <v>1120</v>
      </c>
      <c r="B2078" s="2" t="s">
        <v>3300</v>
      </c>
      <c r="C2078" s="9">
        <v>10070209</v>
      </c>
      <c r="D2078" s="2" t="s">
        <v>3301</v>
      </c>
      <c r="E2078" s="10">
        <v>24</v>
      </c>
      <c r="F2078" s="9" t="s">
        <v>3302</v>
      </c>
      <c r="G2078" s="11">
        <v>46238</v>
      </c>
      <c r="H2078" s="12">
        <v>51.88</v>
      </c>
      <c r="I2078" s="12">
        <v>46.23</v>
      </c>
      <c r="J2078" s="9" t="s">
        <v>3</v>
      </c>
      <c r="K2078" s="8">
        <v>0</v>
      </c>
    </row>
    <row r="2079" spans="1:11">
      <c r="A2079" s="2" t="s">
        <v>1120</v>
      </c>
      <c r="B2079" s="2" t="s">
        <v>3300</v>
      </c>
      <c r="C2079" s="9">
        <v>10070210</v>
      </c>
      <c r="D2079" s="2" t="s">
        <v>3303</v>
      </c>
      <c r="E2079" s="10">
        <v>12</v>
      </c>
      <c r="F2079" s="9" t="s">
        <v>882</v>
      </c>
      <c r="G2079" s="11">
        <v>46238</v>
      </c>
      <c r="H2079" s="12">
        <v>56.76</v>
      </c>
      <c r="I2079" s="12">
        <v>50.47</v>
      </c>
      <c r="J2079" s="9" t="s">
        <v>3</v>
      </c>
      <c r="K2079" s="8">
        <v>0</v>
      </c>
    </row>
    <row r="2080" spans="1:11">
      <c r="A2080" s="2" t="s">
        <v>1120</v>
      </c>
      <c r="B2080" s="2" t="s">
        <v>3300</v>
      </c>
      <c r="C2080" s="9">
        <v>10070211</v>
      </c>
      <c r="D2080" s="2" t="s">
        <v>3304</v>
      </c>
      <c r="E2080" s="10">
        <v>12</v>
      </c>
      <c r="F2080" s="9" t="s">
        <v>882</v>
      </c>
      <c r="G2080" s="11">
        <v>46238</v>
      </c>
      <c r="H2080" s="12">
        <v>55.6</v>
      </c>
      <c r="I2080" s="12">
        <v>49.44</v>
      </c>
      <c r="J2080" s="9" t="s">
        <v>3</v>
      </c>
      <c r="K2080" s="8">
        <v>0</v>
      </c>
    </row>
    <row r="2081" spans="1:11">
      <c r="A2081" s="2" t="s">
        <v>1120</v>
      </c>
      <c r="B2081" s="2" t="s">
        <v>3300</v>
      </c>
      <c r="C2081" s="9">
        <v>10070212</v>
      </c>
      <c r="D2081" s="2" t="s">
        <v>3305</v>
      </c>
      <c r="E2081" s="10">
        <v>12</v>
      </c>
      <c r="F2081" s="9" t="s">
        <v>882</v>
      </c>
      <c r="G2081" s="11">
        <v>46238</v>
      </c>
      <c r="H2081" s="12">
        <v>55.6</v>
      </c>
      <c r="I2081" s="12">
        <v>49.44</v>
      </c>
      <c r="J2081" s="9" t="s">
        <v>3</v>
      </c>
      <c r="K2081" s="8">
        <v>0</v>
      </c>
    </row>
    <row r="2082" spans="1:11">
      <c r="A2082" s="2" t="s">
        <v>1120</v>
      </c>
      <c r="B2082" s="2" t="s">
        <v>3300</v>
      </c>
      <c r="C2082" s="9">
        <v>10070213</v>
      </c>
      <c r="D2082" s="2" t="s">
        <v>3306</v>
      </c>
      <c r="E2082" s="10">
        <v>12</v>
      </c>
      <c r="F2082" s="9" t="s">
        <v>882</v>
      </c>
      <c r="G2082" s="11">
        <v>46238</v>
      </c>
      <c r="H2082" s="12">
        <v>57.27</v>
      </c>
      <c r="I2082" s="12">
        <v>50.98</v>
      </c>
      <c r="J2082" s="9" t="s">
        <v>3</v>
      </c>
      <c r="K2082" s="8">
        <v>0</v>
      </c>
    </row>
    <row r="2083" spans="1:11">
      <c r="A2083" s="2" t="s">
        <v>1120</v>
      </c>
      <c r="B2083" s="2" t="s">
        <v>3300</v>
      </c>
      <c r="C2083" s="9">
        <v>10070215</v>
      </c>
      <c r="D2083" s="2" t="s">
        <v>3307</v>
      </c>
      <c r="E2083" s="10">
        <v>12</v>
      </c>
      <c r="F2083" s="9" t="s">
        <v>711</v>
      </c>
      <c r="G2083" s="11">
        <v>46238</v>
      </c>
      <c r="H2083" s="12">
        <v>36.86</v>
      </c>
      <c r="I2083" s="12">
        <v>32.75</v>
      </c>
      <c r="J2083" s="9" t="s">
        <v>3</v>
      </c>
      <c r="K2083" s="8">
        <v>0</v>
      </c>
    </row>
    <row r="2084" spans="1:11">
      <c r="A2084" s="2" t="s">
        <v>1120</v>
      </c>
      <c r="B2084" s="2" t="s">
        <v>3308</v>
      </c>
      <c r="C2084" s="9">
        <v>10070410</v>
      </c>
      <c r="D2084" s="2" t="s">
        <v>3309</v>
      </c>
      <c r="E2084" s="10">
        <v>12</v>
      </c>
      <c r="F2084" s="9" t="s">
        <v>3310</v>
      </c>
      <c r="G2084" s="11">
        <v>46238</v>
      </c>
      <c r="H2084" s="12">
        <v>76.680000000000007</v>
      </c>
      <c r="I2084" s="12">
        <v>68.28</v>
      </c>
      <c r="J2084" s="9" t="s">
        <v>3</v>
      </c>
      <c r="K2084" s="8">
        <v>0</v>
      </c>
    </row>
    <row r="2085" spans="1:11">
      <c r="A2085" s="2" t="s">
        <v>1120</v>
      </c>
      <c r="B2085" s="2" t="s">
        <v>3308</v>
      </c>
      <c r="C2085" s="9">
        <v>10070411</v>
      </c>
      <c r="D2085" s="2" t="s">
        <v>3311</v>
      </c>
      <c r="E2085" s="10">
        <v>12</v>
      </c>
      <c r="F2085" s="9" t="s">
        <v>3310</v>
      </c>
      <c r="G2085" s="11">
        <v>46238</v>
      </c>
      <c r="H2085" s="12">
        <v>76.8</v>
      </c>
      <c r="I2085" s="12">
        <v>68.400000000000006</v>
      </c>
      <c r="J2085" s="9" t="s">
        <v>3</v>
      </c>
      <c r="K2085" s="8">
        <v>0</v>
      </c>
    </row>
    <row r="2086" spans="1:11">
      <c r="A2086" s="2" t="s">
        <v>1120</v>
      </c>
      <c r="B2086" s="2" t="s">
        <v>3308</v>
      </c>
      <c r="C2086" s="9">
        <v>10070414</v>
      </c>
      <c r="D2086" s="2" t="s">
        <v>3312</v>
      </c>
      <c r="E2086" s="10">
        <v>4</v>
      </c>
      <c r="F2086" s="9" t="s">
        <v>1576</v>
      </c>
      <c r="G2086" s="11">
        <v>46238</v>
      </c>
      <c r="H2086" s="12">
        <v>75.48</v>
      </c>
      <c r="I2086" s="12">
        <v>67.16</v>
      </c>
      <c r="J2086" s="9" t="s">
        <v>3</v>
      </c>
      <c r="K2086" s="8">
        <v>0</v>
      </c>
    </row>
    <row r="2087" spans="1:11">
      <c r="A2087" s="2" t="s">
        <v>1120</v>
      </c>
      <c r="B2087" s="2" t="s">
        <v>3308</v>
      </c>
      <c r="C2087" s="9">
        <v>10070415</v>
      </c>
      <c r="D2087" s="2" t="s">
        <v>3313</v>
      </c>
      <c r="E2087" s="10">
        <v>80</v>
      </c>
      <c r="F2087" s="9" t="s">
        <v>3314</v>
      </c>
      <c r="G2087" s="11">
        <v>46238</v>
      </c>
      <c r="H2087" s="12">
        <v>74.400000000000006</v>
      </c>
      <c r="I2087" s="12">
        <v>66.400000000000006</v>
      </c>
      <c r="J2087" s="9" t="s">
        <v>3</v>
      </c>
      <c r="K2087" s="8">
        <v>0</v>
      </c>
    </row>
    <row r="2088" spans="1:11">
      <c r="A2088" s="2" t="s">
        <v>1120</v>
      </c>
      <c r="B2088" s="2" t="s">
        <v>3315</v>
      </c>
      <c r="C2088" s="9">
        <v>10070418</v>
      </c>
      <c r="D2088" s="2" t="s">
        <v>3316</v>
      </c>
      <c r="E2088" s="10">
        <v>6</v>
      </c>
      <c r="F2088" s="9" t="s">
        <v>2293</v>
      </c>
      <c r="G2088" s="11">
        <v>46238</v>
      </c>
      <c r="H2088" s="12">
        <v>62.34</v>
      </c>
      <c r="I2088" s="12">
        <v>55.47</v>
      </c>
      <c r="J2088" s="9" t="s">
        <v>3</v>
      </c>
      <c r="K2088" s="8">
        <v>0</v>
      </c>
    </row>
    <row r="2089" spans="1:11">
      <c r="A2089" s="2" t="s">
        <v>1120</v>
      </c>
      <c r="B2089" s="2" t="s">
        <v>3308</v>
      </c>
      <c r="C2089" s="9">
        <v>10070419</v>
      </c>
      <c r="D2089" s="2" t="s">
        <v>3317</v>
      </c>
      <c r="E2089" s="10">
        <v>80</v>
      </c>
      <c r="F2089" s="9" t="s">
        <v>3314</v>
      </c>
      <c r="G2089" s="11">
        <v>46238</v>
      </c>
      <c r="H2089" s="12">
        <v>74.400000000000006</v>
      </c>
      <c r="I2089" s="12">
        <v>66.400000000000006</v>
      </c>
      <c r="J2089" s="9" t="s">
        <v>3</v>
      </c>
      <c r="K2089" s="8">
        <v>0</v>
      </c>
    </row>
    <row r="2090" spans="1:11">
      <c r="A2090" s="2" t="s">
        <v>1120</v>
      </c>
      <c r="B2090" s="2" t="s">
        <v>3308</v>
      </c>
      <c r="C2090" s="9">
        <v>10070466</v>
      </c>
      <c r="D2090" s="2" t="s">
        <v>3318</v>
      </c>
      <c r="E2090" s="10">
        <v>6</v>
      </c>
      <c r="F2090" s="9" t="s">
        <v>3319</v>
      </c>
      <c r="G2090" s="11">
        <v>46238</v>
      </c>
      <c r="H2090" s="12">
        <v>89.22</v>
      </c>
      <c r="I2090" s="12">
        <v>79.38</v>
      </c>
      <c r="J2090" s="9" t="s">
        <v>3</v>
      </c>
      <c r="K2090" s="8">
        <v>0</v>
      </c>
    </row>
    <row r="2091" spans="1:11">
      <c r="A2091" s="2" t="s">
        <v>1120</v>
      </c>
      <c r="B2091" s="2" t="s">
        <v>3320</v>
      </c>
      <c r="C2091" s="9">
        <v>10070468</v>
      </c>
      <c r="D2091" s="2" t="s">
        <v>3321</v>
      </c>
      <c r="E2091" s="10">
        <v>6</v>
      </c>
      <c r="F2091" s="9" t="s">
        <v>3319</v>
      </c>
      <c r="G2091" s="11">
        <v>46238</v>
      </c>
      <c r="H2091" s="12">
        <v>89.22</v>
      </c>
      <c r="I2091" s="12">
        <v>79.38</v>
      </c>
      <c r="J2091" s="9" t="s">
        <v>3</v>
      </c>
      <c r="K2091" s="8">
        <v>0</v>
      </c>
    </row>
    <row r="2092" spans="1:11">
      <c r="A2092" s="2" t="s">
        <v>1120</v>
      </c>
      <c r="B2092" s="2" t="s">
        <v>3322</v>
      </c>
      <c r="C2092" s="9">
        <v>10070506</v>
      </c>
      <c r="D2092" s="2" t="s">
        <v>3323</v>
      </c>
      <c r="E2092" s="10">
        <v>6</v>
      </c>
      <c r="F2092" s="9" t="s">
        <v>811</v>
      </c>
      <c r="G2092" s="11">
        <v>46238</v>
      </c>
      <c r="H2092" s="12">
        <v>23.4</v>
      </c>
      <c r="I2092" s="12">
        <v>20.82</v>
      </c>
      <c r="J2092" s="9" t="s">
        <v>3</v>
      </c>
      <c r="K2092" s="8">
        <v>0</v>
      </c>
    </row>
    <row r="2093" spans="1:11">
      <c r="A2093" s="2" t="s">
        <v>1120</v>
      </c>
      <c r="B2093" s="2" t="s">
        <v>3322</v>
      </c>
      <c r="C2093" s="9">
        <v>10070507</v>
      </c>
      <c r="D2093" s="2" t="s">
        <v>3324</v>
      </c>
      <c r="E2093" s="10">
        <v>6</v>
      </c>
      <c r="F2093" s="9" t="s">
        <v>811</v>
      </c>
      <c r="G2093" s="11">
        <v>46238</v>
      </c>
      <c r="H2093" s="12">
        <v>23.4</v>
      </c>
      <c r="I2093" s="12">
        <v>20.82</v>
      </c>
      <c r="J2093" s="9" t="s">
        <v>3</v>
      </c>
      <c r="K2093" s="8">
        <v>0</v>
      </c>
    </row>
    <row r="2094" spans="1:11">
      <c r="A2094" s="2" t="s">
        <v>1120</v>
      </c>
      <c r="B2094" s="2" t="s">
        <v>3322</v>
      </c>
      <c r="C2094" s="9">
        <v>10070508</v>
      </c>
      <c r="D2094" s="2" t="s">
        <v>3325</v>
      </c>
      <c r="E2094" s="10">
        <v>6</v>
      </c>
      <c r="F2094" s="9" t="s">
        <v>3326</v>
      </c>
      <c r="G2094" s="11">
        <v>46238</v>
      </c>
      <c r="H2094" s="12">
        <v>36.72</v>
      </c>
      <c r="I2094" s="12">
        <v>32.700000000000003</v>
      </c>
      <c r="J2094" s="9" t="s">
        <v>3</v>
      </c>
      <c r="K2094" s="8">
        <v>0</v>
      </c>
    </row>
    <row r="2095" spans="1:11">
      <c r="A2095" s="2" t="s">
        <v>891</v>
      </c>
      <c r="B2095" s="2" t="s">
        <v>3327</v>
      </c>
      <c r="C2095" s="9">
        <v>10073310</v>
      </c>
      <c r="D2095" s="2" t="s">
        <v>3328</v>
      </c>
      <c r="E2095" s="10">
        <v>8</v>
      </c>
      <c r="F2095" s="9" t="s">
        <v>3329</v>
      </c>
      <c r="G2095" s="11">
        <v>46238</v>
      </c>
      <c r="H2095" s="12">
        <v>112.08</v>
      </c>
      <c r="I2095" s="12">
        <v>99.76</v>
      </c>
      <c r="J2095" s="9" t="s">
        <v>3</v>
      </c>
      <c r="K2095" s="8">
        <v>0</v>
      </c>
    </row>
    <row r="2096" spans="1:11">
      <c r="A2096" s="2" t="s">
        <v>891</v>
      </c>
      <c r="B2096" s="2" t="s">
        <v>3327</v>
      </c>
      <c r="C2096" s="9">
        <v>10073311</v>
      </c>
      <c r="D2096" s="2" t="s">
        <v>3330</v>
      </c>
      <c r="E2096" s="10">
        <v>8</v>
      </c>
      <c r="F2096" s="9" t="s">
        <v>3331</v>
      </c>
      <c r="G2096" s="11">
        <v>46238</v>
      </c>
      <c r="H2096" s="12">
        <v>200.08</v>
      </c>
      <c r="I2096" s="12">
        <v>178.08</v>
      </c>
      <c r="J2096" s="9" t="s">
        <v>3</v>
      </c>
      <c r="K2096" s="8">
        <v>0</v>
      </c>
    </row>
    <row r="2097" spans="1:11">
      <c r="A2097" s="2" t="s">
        <v>891</v>
      </c>
      <c r="B2097" s="2" t="s">
        <v>3327</v>
      </c>
      <c r="C2097" s="9">
        <v>10073312</v>
      </c>
      <c r="D2097" s="2" t="s">
        <v>3332</v>
      </c>
      <c r="E2097" s="10">
        <v>4</v>
      </c>
      <c r="F2097" s="9" t="s">
        <v>3333</v>
      </c>
      <c r="G2097" s="11">
        <v>46238</v>
      </c>
      <c r="H2097" s="12">
        <v>159.16</v>
      </c>
      <c r="I2097" s="12">
        <v>141.63999999999999</v>
      </c>
      <c r="J2097" s="9" t="s">
        <v>3</v>
      </c>
      <c r="K2097" s="8">
        <v>0</v>
      </c>
    </row>
    <row r="2098" spans="1:11">
      <c r="A2098" s="2" t="s">
        <v>891</v>
      </c>
      <c r="B2098" s="2" t="s">
        <v>3327</v>
      </c>
      <c r="C2098" s="9">
        <v>10073313</v>
      </c>
      <c r="D2098" s="2" t="s">
        <v>3334</v>
      </c>
      <c r="E2098" s="10">
        <v>4</v>
      </c>
      <c r="F2098" s="9" t="s">
        <v>3335</v>
      </c>
      <c r="G2098" s="11">
        <v>46238</v>
      </c>
      <c r="H2098" s="12">
        <v>164.48</v>
      </c>
      <c r="I2098" s="12">
        <v>146.4</v>
      </c>
      <c r="J2098" s="9" t="s">
        <v>3</v>
      </c>
      <c r="K2098" s="8">
        <v>0</v>
      </c>
    </row>
    <row r="2099" spans="1:11">
      <c r="A2099" s="2" t="s">
        <v>891</v>
      </c>
      <c r="B2099" s="2" t="s">
        <v>3327</v>
      </c>
      <c r="C2099" s="9">
        <v>10073315</v>
      </c>
      <c r="D2099" s="2" t="s">
        <v>3336</v>
      </c>
      <c r="E2099" s="10">
        <v>2</v>
      </c>
      <c r="F2099" s="9" t="s">
        <v>3247</v>
      </c>
      <c r="G2099" s="11">
        <v>46238</v>
      </c>
      <c r="H2099" s="12">
        <v>194.08</v>
      </c>
      <c r="I2099" s="12">
        <v>172.74</v>
      </c>
      <c r="J2099" s="9" t="s">
        <v>3</v>
      </c>
      <c r="K2099" s="8">
        <v>0</v>
      </c>
    </row>
    <row r="2100" spans="1:11">
      <c r="A2100" s="2" t="s">
        <v>891</v>
      </c>
      <c r="B2100" s="2" t="s">
        <v>3327</v>
      </c>
      <c r="C2100" s="9">
        <v>10073316</v>
      </c>
      <c r="D2100" s="2" t="s">
        <v>3337</v>
      </c>
      <c r="E2100" s="10">
        <v>4</v>
      </c>
      <c r="F2100" s="9" t="s">
        <v>3338</v>
      </c>
      <c r="G2100" s="11">
        <v>46238</v>
      </c>
      <c r="H2100" s="12">
        <v>201.32</v>
      </c>
      <c r="I2100" s="12">
        <v>179.16</v>
      </c>
      <c r="J2100" s="9" t="s">
        <v>3</v>
      </c>
      <c r="K2100" s="8">
        <v>0</v>
      </c>
    </row>
    <row r="2101" spans="1:11">
      <c r="A2101" s="2" t="s">
        <v>891</v>
      </c>
      <c r="B2101" s="2" t="s">
        <v>3327</v>
      </c>
      <c r="C2101" s="9">
        <v>10073317</v>
      </c>
      <c r="D2101" s="2" t="s">
        <v>3339</v>
      </c>
      <c r="E2101" s="10">
        <v>4</v>
      </c>
      <c r="F2101" s="9" t="s">
        <v>3340</v>
      </c>
      <c r="G2101" s="11">
        <v>46238</v>
      </c>
      <c r="H2101" s="12">
        <v>154.19999999999999</v>
      </c>
      <c r="I2101" s="12">
        <v>137.24</v>
      </c>
      <c r="J2101" s="9" t="s">
        <v>3</v>
      </c>
      <c r="K2101" s="8">
        <v>0</v>
      </c>
    </row>
    <row r="2102" spans="1:11">
      <c r="A2102" s="2" t="s">
        <v>891</v>
      </c>
      <c r="B2102" s="2" t="s">
        <v>3327</v>
      </c>
      <c r="C2102" s="9">
        <v>10073318</v>
      </c>
      <c r="D2102" s="2" t="s">
        <v>3341</v>
      </c>
      <c r="E2102" s="10">
        <v>4</v>
      </c>
      <c r="F2102" s="9" t="s">
        <v>3342</v>
      </c>
      <c r="G2102" s="11">
        <v>46238</v>
      </c>
      <c r="H2102" s="12">
        <v>323.83999999999997</v>
      </c>
      <c r="I2102" s="12">
        <v>288.2</v>
      </c>
      <c r="J2102" s="9" t="s">
        <v>3</v>
      </c>
      <c r="K2102" s="8">
        <v>0</v>
      </c>
    </row>
    <row r="2103" spans="1:11">
      <c r="A2103" s="2" t="s">
        <v>891</v>
      </c>
      <c r="B2103" s="2" t="s">
        <v>3327</v>
      </c>
      <c r="C2103" s="9">
        <v>10073319</v>
      </c>
      <c r="D2103" s="2" t="s">
        <v>3343</v>
      </c>
      <c r="E2103" s="10">
        <v>2</v>
      </c>
      <c r="F2103" s="9" t="s">
        <v>3342</v>
      </c>
      <c r="G2103" s="11">
        <v>46238</v>
      </c>
      <c r="H2103" s="12">
        <v>151.41999999999999</v>
      </c>
      <c r="I2103" s="12">
        <v>134.76</v>
      </c>
      <c r="J2103" s="9" t="s">
        <v>3</v>
      </c>
      <c r="K2103" s="8">
        <v>0</v>
      </c>
    </row>
    <row r="2104" spans="1:11">
      <c r="A2104" s="2" t="s">
        <v>891</v>
      </c>
      <c r="B2104" s="2" t="s">
        <v>3327</v>
      </c>
      <c r="C2104" s="9">
        <v>10073320</v>
      </c>
      <c r="D2104" s="2" t="s">
        <v>3344</v>
      </c>
      <c r="E2104" s="10">
        <v>2</v>
      </c>
      <c r="F2104" s="9" t="s">
        <v>3342</v>
      </c>
      <c r="G2104" s="11">
        <v>46238</v>
      </c>
      <c r="H2104" s="12">
        <v>148.9</v>
      </c>
      <c r="I2104" s="12">
        <v>132.52000000000001</v>
      </c>
      <c r="J2104" s="9" t="s">
        <v>3</v>
      </c>
      <c r="K2104" s="8">
        <v>0</v>
      </c>
    </row>
    <row r="2105" spans="1:11">
      <c r="A2105" s="2" t="s">
        <v>891</v>
      </c>
      <c r="B2105" s="2" t="s">
        <v>3327</v>
      </c>
      <c r="C2105" s="9">
        <v>10073321</v>
      </c>
      <c r="D2105" s="2" t="s">
        <v>3345</v>
      </c>
      <c r="E2105" s="10">
        <v>4</v>
      </c>
      <c r="F2105" s="9" t="s">
        <v>3346</v>
      </c>
      <c r="G2105" s="11">
        <v>46238</v>
      </c>
      <c r="H2105" s="12">
        <v>121.6</v>
      </c>
      <c r="I2105" s="12">
        <v>108.24</v>
      </c>
      <c r="J2105" s="9" t="s">
        <v>3</v>
      </c>
      <c r="K2105" s="8">
        <v>0</v>
      </c>
    </row>
    <row r="2106" spans="1:11">
      <c r="A2106" s="2" t="s">
        <v>891</v>
      </c>
      <c r="B2106" s="2" t="s">
        <v>3327</v>
      </c>
      <c r="C2106" s="9">
        <v>10073322</v>
      </c>
      <c r="D2106" s="2" t="s">
        <v>3347</v>
      </c>
      <c r="E2106" s="10">
        <v>4</v>
      </c>
      <c r="F2106" s="9" t="s">
        <v>3340</v>
      </c>
      <c r="G2106" s="11">
        <v>46238</v>
      </c>
      <c r="H2106" s="12">
        <v>181.12</v>
      </c>
      <c r="I2106" s="12">
        <v>161.19999999999999</v>
      </c>
      <c r="J2106" s="9" t="s">
        <v>3</v>
      </c>
      <c r="K2106" s="8">
        <v>0</v>
      </c>
    </row>
    <row r="2107" spans="1:11">
      <c r="A2107" s="2" t="s">
        <v>891</v>
      </c>
      <c r="B2107" s="2" t="s">
        <v>3327</v>
      </c>
      <c r="C2107" s="9">
        <v>10073323</v>
      </c>
      <c r="D2107" s="2" t="s">
        <v>3348</v>
      </c>
      <c r="E2107" s="10">
        <v>8</v>
      </c>
      <c r="F2107" s="9" t="s">
        <v>3349</v>
      </c>
      <c r="G2107" s="11">
        <v>46238</v>
      </c>
      <c r="H2107" s="12">
        <v>357.76</v>
      </c>
      <c r="I2107" s="12">
        <v>318.39999999999998</v>
      </c>
      <c r="J2107" s="9" t="s">
        <v>3</v>
      </c>
      <c r="K2107" s="8">
        <v>0</v>
      </c>
    </row>
    <row r="2108" spans="1:11">
      <c r="A2108" s="2" t="s">
        <v>891</v>
      </c>
      <c r="B2108" s="2" t="s">
        <v>3327</v>
      </c>
      <c r="C2108" s="9">
        <v>10073324</v>
      </c>
      <c r="D2108" s="2" t="s">
        <v>3350</v>
      </c>
      <c r="E2108" s="10">
        <v>48</v>
      </c>
      <c r="F2108" s="9" t="s">
        <v>3351</v>
      </c>
      <c r="G2108" s="11">
        <v>46238</v>
      </c>
      <c r="H2108" s="12">
        <v>139.19999999999999</v>
      </c>
      <c r="I2108" s="12">
        <v>123.84</v>
      </c>
      <c r="J2108" s="9" t="s">
        <v>3</v>
      </c>
      <c r="K2108" s="8">
        <v>0</v>
      </c>
    </row>
    <row r="2109" spans="1:11">
      <c r="A2109" s="2" t="s">
        <v>891</v>
      </c>
      <c r="B2109" s="2" t="s">
        <v>3327</v>
      </c>
      <c r="C2109" s="9">
        <v>10073325</v>
      </c>
      <c r="D2109" s="2" t="s">
        <v>3352</v>
      </c>
      <c r="E2109" s="10">
        <v>8</v>
      </c>
      <c r="F2109" s="9" t="s">
        <v>3331</v>
      </c>
      <c r="G2109" s="11">
        <v>46238</v>
      </c>
      <c r="H2109" s="12">
        <v>150.96</v>
      </c>
      <c r="I2109" s="12">
        <v>134.32</v>
      </c>
      <c r="J2109" s="9" t="s">
        <v>3</v>
      </c>
      <c r="K2109" s="8">
        <v>0</v>
      </c>
    </row>
    <row r="2110" spans="1:11">
      <c r="A2110" s="2" t="s">
        <v>891</v>
      </c>
      <c r="B2110" s="2" t="s">
        <v>3327</v>
      </c>
      <c r="C2110" s="9">
        <v>10073326</v>
      </c>
      <c r="D2110" s="2" t="s">
        <v>3353</v>
      </c>
      <c r="E2110" s="10">
        <v>8</v>
      </c>
      <c r="F2110" s="9" t="s">
        <v>3354</v>
      </c>
      <c r="G2110" s="11">
        <v>46238</v>
      </c>
      <c r="H2110" s="12">
        <v>149.68</v>
      </c>
      <c r="I2110" s="12">
        <v>133.19999999999999</v>
      </c>
      <c r="J2110" s="9" t="s">
        <v>3</v>
      </c>
      <c r="K2110" s="8">
        <v>0</v>
      </c>
    </row>
    <row r="2111" spans="1:11">
      <c r="A2111" s="2" t="s">
        <v>891</v>
      </c>
      <c r="B2111" s="2" t="s">
        <v>3327</v>
      </c>
      <c r="C2111" s="9">
        <v>10073329</v>
      </c>
      <c r="D2111" s="2" t="s">
        <v>3355</v>
      </c>
      <c r="E2111" s="10">
        <v>2</v>
      </c>
      <c r="F2111" s="9" t="s">
        <v>3356</v>
      </c>
      <c r="G2111" s="11">
        <v>46238</v>
      </c>
      <c r="H2111" s="12">
        <v>188.16</v>
      </c>
      <c r="I2111" s="12">
        <v>167.46</v>
      </c>
      <c r="J2111" s="9" t="s">
        <v>3</v>
      </c>
      <c r="K2111" s="8">
        <v>0</v>
      </c>
    </row>
    <row r="2112" spans="1:11">
      <c r="A2112" s="2" t="s">
        <v>891</v>
      </c>
      <c r="B2112" s="2" t="s">
        <v>3327</v>
      </c>
      <c r="C2112" s="9">
        <v>10073330</v>
      </c>
      <c r="D2112" s="2" t="s">
        <v>3357</v>
      </c>
      <c r="E2112" s="10">
        <v>48</v>
      </c>
      <c r="F2112" s="9" t="s">
        <v>3358</v>
      </c>
      <c r="G2112" s="11">
        <v>46238</v>
      </c>
      <c r="H2112" s="12">
        <v>135.36000000000001</v>
      </c>
      <c r="I2112" s="12">
        <v>120.48</v>
      </c>
      <c r="J2112" s="9" t="s">
        <v>3</v>
      </c>
      <c r="K2112" s="8">
        <v>0</v>
      </c>
    </row>
    <row r="2113" spans="1:11">
      <c r="A2113" s="2" t="s">
        <v>891</v>
      </c>
      <c r="B2113" s="2" t="s">
        <v>3327</v>
      </c>
      <c r="C2113" s="9">
        <v>10073331</v>
      </c>
      <c r="D2113" s="2" t="s">
        <v>3359</v>
      </c>
      <c r="E2113" s="10">
        <v>48</v>
      </c>
      <c r="F2113" s="9" t="s">
        <v>3360</v>
      </c>
      <c r="G2113" s="11">
        <v>46238</v>
      </c>
      <c r="H2113" s="12">
        <v>134.4</v>
      </c>
      <c r="I2113" s="12">
        <v>120</v>
      </c>
      <c r="J2113" s="9" t="s">
        <v>3</v>
      </c>
      <c r="K2113" s="8">
        <v>0</v>
      </c>
    </row>
    <row r="2114" spans="1:11">
      <c r="A2114" s="2" t="s">
        <v>891</v>
      </c>
      <c r="B2114" s="2" t="s">
        <v>3327</v>
      </c>
      <c r="C2114" s="9">
        <v>10073332</v>
      </c>
      <c r="D2114" s="2" t="s">
        <v>3361</v>
      </c>
      <c r="E2114" s="10">
        <v>48</v>
      </c>
      <c r="F2114" s="9" t="s">
        <v>3362</v>
      </c>
      <c r="G2114" s="11">
        <v>46238</v>
      </c>
      <c r="H2114" s="12">
        <v>115.68</v>
      </c>
      <c r="I2114" s="12">
        <v>103.2</v>
      </c>
      <c r="J2114" s="9" t="s">
        <v>3</v>
      </c>
      <c r="K2114" s="8">
        <v>0</v>
      </c>
    </row>
    <row r="2115" spans="1:11">
      <c r="A2115" s="2" t="s">
        <v>891</v>
      </c>
      <c r="B2115" s="2" t="s">
        <v>3327</v>
      </c>
      <c r="C2115" s="9">
        <v>10073333</v>
      </c>
      <c r="D2115" s="2" t="s">
        <v>3363</v>
      </c>
      <c r="E2115" s="10">
        <v>48</v>
      </c>
      <c r="F2115" s="9" t="s">
        <v>3362</v>
      </c>
      <c r="G2115" s="11">
        <v>46238</v>
      </c>
      <c r="H2115" s="12">
        <v>116.64</v>
      </c>
      <c r="I2115" s="12">
        <v>103.68</v>
      </c>
      <c r="J2115" s="9" t="s">
        <v>3</v>
      </c>
      <c r="K2115" s="8">
        <v>0</v>
      </c>
    </row>
    <row r="2116" spans="1:11">
      <c r="A2116" s="2" t="s">
        <v>891</v>
      </c>
      <c r="B2116" s="2" t="s">
        <v>3327</v>
      </c>
      <c r="C2116" s="9">
        <v>10073334</v>
      </c>
      <c r="D2116" s="2" t="s">
        <v>3364</v>
      </c>
      <c r="E2116" s="10">
        <v>48</v>
      </c>
      <c r="F2116" s="9" t="s">
        <v>3365</v>
      </c>
      <c r="G2116" s="11">
        <v>46238</v>
      </c>
      <c r="H2116" s="12">
        <v>126.24</v>
      </c>
      <c r="I2116" s="12">
        <v>112.32</v>
      </c>
      <c r="J2116" s="9" t="s">
        <v>3</v>
      </c>
      <c r="K2116" s="8">
        <v>0</v>
      </c>
    </row>
    <row r="2117" spans="1:11">
      <c r="A2117" s="2" t="s">
        <v>891</v>
      </c>
      <c r="B2117" s="2" t="s">
        <v>3327</v>
      </c>
      <c r="C2117" s="9">
        <v>10073336</v>
      </c>
      <c r="D2117" s="2" t="s">
        <v>3366</v>
      </c>
      <c r="E2117" s="10">
        <v>8</v>
      </c>
      <c r="F2117" s="9" t="s">
        <v>3247</v>
      </c>
      <c r="G2117" s="11">
        <v>46238</v>
      </c>
      <c r="H2117" s="12">
        <v>245.12</v>
      </c>
      <c r="I2117" s="12">
        <v>218.16</v>
      </c>
      <c r="J2117" s="9" t="s">
        <v>3</v>
      </c>
      <c r="K2117" s="8">
        <v>0</v>
      </c>
    </row>
    <row r="2118" spans="1:11">
      <c r="A2118" s="2" t="s">
        <v>891</v>
      </c>
      <c r="B2118" s="2" t="s">
        <v>3327</v>
      </c>
      <c r="C2118" s="9">
        <v>10073339</v>
      </c>
      <c r="D2118" s="2" t="s">
        <v>3367</v>
      </c>
      <c r="E2118" s="10">
        <v>4</v>
      </c>
      <c r="F2118" s="9" t="s">
        <v>3338</v>
      </c>
      <c r="G2118" s="11">
        <v>46238</v>
      </c>
      <c r="H2118" s="12">
        <v>246.04</v>
      </c>
      <c r="I2118" s="12">
        <v>218.96</v>
      </c>
      <c r="J2118" s="9" t="s">
        <v>3</v>
      </c>
      <c r="K2118" s="8">
        <v>0</v>
      </c>
    </row>
    <row r="2119" spans="1:11">
      <c r="A2119" s="2" t="s">
        <v>891</v>
      </c>
      <c r="B2119" s="2" t="s">
        <v>3327</v>
      </c>
      <c r="C2119" s="9">
        <v>10073341</v>
      </c>
      <c r="D2119" s="2" t="s">
        <v>3368</v>
      </c>
      <c r="E2119" s="10">
        <v>8</v>
      </c>
      <c r="F2119" s="9" t="s">
        <v>3331</v>
      </c>
      <c r="G2119" s="11">
        <v>46238</v>
      </c>
      <c r="H2119" s="12">
        <v>118.24</v>
      </c>
      <c r="I2119" s="12">
        <v>105.2</v>
      </c>
      <c r="J2119" s="9" t="s">
        <v>3</v>
      </c>
      <c r="K2119" s="8">
        <v>0</v>
      </c>
    </row>
    <row r="2120" spans="1:11">
      <c r="A2120" s="2" t="s">
        <v>891</v>
      </c>
      <c r="B2120" s="2" t="s">
        <v>3327</v>
      </c>
      <c r="C2120" s="9">
        <v>10073342</v>
      </c>
      <c r="D2120" s="2" t="s">
        <v>3369</v>
      </c>
      <c r="E2120" s="10">
        <v>2</v>
      </c>
      <c r="F2120" s="9" t="s">
        <v>733</v>
      </c>
      <c r="G2120" s="11">
        <v>46238</v>
      </c>
      <c r="H2120" s="12">
        <v>162.97999999999999</v>
      </c>
      <c r="I2120" s="12">
        <v>145.06</v>
      </c>
      <c r="J2120" s="9" t="s">
        <v>3</v>
      </c>
      <c r="K2120" s="8">
        <v>0</v>
      </c>
    </row>
    <row r="2121" spans="1:11">
      <c r="A2121" s="2" t="s">
        <v>891</v>
      </c>
      <c r="B2121" s="2" t="s">
        <v>3327</v>
      </c>
      <c r="C2121" s="9">
        <v>10073343</v>
      </c>
      <c r="D2121" s="2" t="s">
        <v>3370</v>
      </c>
      <c r="E2121" s="10">
        <v>2</v>
      </c>
      <c r="F2121" s="9" t="s">
        <v>733</v>
      </c>
      <c r="G2121" s="11">
        <v>46238</v>
      </c>
      <c r="H2121" s="12">
        <v>191.84</v>
      </c>
      <c r="I2121" s="12">
        <v>170.74</v>
      </c>
      <c r="J2121" s="9" t="s">
        <v>3</v>
      </c>
      <c r="K2121" s="8">
        <v>0</v>
      </c>
    </row>
    <row r="2122" spans="1:11">
      <c r="A2122" s="2" t="s">
        <v>891</v>
      </c>
      <c r="B2122" s="2" t="s">
        <v>3327</v>
      </c>
      <c r="C2122" s="9">
        <v>10073345</v>
      </c>
      <c r="D2122" s="2" t="s">
        <v>3371</v>
      </c>
      <c r="E2122" s="10">
        <v>4</v>
      </c>
      <c r="F2122" s="9" t="s">
        <v>3342</v>
      </c>
      <c r="G2122" s="11">
        <v>46238</v>
      </c>
      <c r="H2122" s="12">
        <v>333.44</v>
      </c>
      <c r="I2122" s="12">
        <v>296.76</v>
      </c>
      <c r="J2122" s="9" t="s">
        <v>3</v>
      </c>
      <c r="K2122" s="8">
        <v>0</v>
      </c>
    </row>
    <row r="2123" spans="1:11">
      <c r="A2123" s="2" t="s">
        <v>891</v>
      </c>
      <c r="B2123" s="2" t="s">
        <v>3327</v>
      </c>
      <c r="C2123" s="9">
        <v>10073346</v>
      </c>
      <c r="D2123" s="2" t="s">
        <v>3372</v>
      </c>
      <c r="E2123" s="10">
        <v>4</v>
      </c>
      <c r="F2123" s="9" t="s">
        <v>3247</v>
      </c>
      <c r="G2123" s="11">
        <v>46238</v>
      </c>
      <c r="H2123" s="12">
        <v>169.12</v>
      </c>
      <c r="I2123" s="12">
        <v>150.52000000000001</v>
      </c>
      <c r="J2123" s="9" t="s">
        <v>3</v>
      </c>
      <c r="K2123" s="8">
        <v>0</v>
      </c>
    </row>
    <row r="2124" spans="1:11">
      <c r="A2124" s="2" t="s">
        <v>891</v>
      </c>
      <c r="B2124" s="2" t="s">
        <v>3327</v>
      </c>
      <c r="C2124" s="9">
        <v>10073348</v>
      </c>
      <c r="D2124" s="2" t="s">
        <v>3373</v>
      </c>
      <c r="E2124" s="10">
        <v>4</v>
      </c>
      <c r="F2124" s="9" t="s">
        <v>3247</v>
      </c>
      <c r="G2124" s="11">
        <v>46238</v>
      </c>
      <c r="H2124" s="12">
        <v>242.2</v>
      </c>
      <c r="I2124" s="12">
        <v>219.88</v>
      </c>
      <c r="J2124" s="9" t="s">
        <v>3</v>
      </c>
      <c r="K2124" s="8">
        <v>0</v>
      </c>
    </row>
    <row r="2125" spans="1:11">
      <c r="A2125" s="2" t="s">
        <v>891</v>
      </c>
      <c r="B2125" s="2" t="s">
        <v>3327</v>
      </c>
      <c r="C2125" s="9">
        <v>10073351</v>
      </c>
      <c r="D2125" s="2" t="s">
        <v>3374</v>
      </c>
      <c r="E2125" s="10">
        <v>2</v>
      </c>
      <c r="F2125" s="9" t="s">
        <v>3247</v>
      </c>
      <c r="G2125" s="11">
        <v>46238</v>
      </c>
      <c r="H2125" s="12">
        <v>111.02</v>
      </c>
      <c r="I2125" s="12">
        <v>98.8</v>
      </c>
      <c r="J2125" s="9" t="s">
        <v>3</v>
      </c>
      <c r="K2125" s="8">
        <v>0</v>
      </c>
    </row>
    <row r="2126" spans="1:11">
      <c r="A2126" s="2" t="s">
        <v>891</v>
      </c>
      <c r="B2126" s="2" t="s">
        <v>3327</v>
      </c>
      <c r="C2126" s="9">
        <v>10073352</v>
      </c>
      <c r="D2126" s="2" t="s">
        <v>3375</v>
      </c>
      <c r="E2126" s="10">
        <v>48</v>
      </c>
      <c r="F2126" s="9" t="s">
        <v>1405</v>
      </c>
      <c r="G2126" s="11">
        <v>46238</v>
      </c>
      <c r="H2126" s="12">
        <v>118.56</v>
      </c>
      <c r="I2126" s="12">
        <v>105.6</v>
      </c>
      <c r="J2126" s="9" t="s">
        <v>3</v>
      </c>
      <c r="K2126" s="8">
        <v>0</v>
      </c>
    </row>
    <row r="2127" spans="1:11">
      <c r="A2127" s="2" t="s">
        <v>891</v>
      </c>
      <c r="B2127" s="2" t="s">
        <v>3327</v>
      </c>
      <c r="C2127" s="9">
        <v>10073353</v>
      </c>
      <c r="D2127" s="2" t="s">
        <v>3376</v>
      </c>
      <c r="E2127" s="10">
        <v>4</v>
      </c>
      <c r="F2127" s="9" t="s">
        <v>3377</v>
      </c>
      <c r="G2127" s="11">
        <v>46238</v>
      </c>
      <c r="H2127" s="12">
        <v>276.16000000000003</v>
      </c>
      <c r="I2127" s="12">
        <v>245.8</v>
      </c>
      <c r="J2127" s="9" t="s">
        <v>3</v>
      </c>
      <c r="K2127" s="8">
        <v>0</v>
      </c>
    </row>
    <row r="2128" spans="1:11">
      <c r="A2128" s="2" t="s">
        <v>891</v>
      </c>
      <c r="B2128" s="2" t="s">
        <v>3327</v>
      </c>
      <c r="C2128" s="9">
        <v>10073354</v>
      </c>
      <c r="D2128" s="2" t="s">
        <v>3378</v>
      </c>
      <c r="E2128" s="10">
        <v>2</v>
      </c>
      <c r="F2128" s="9" t="s">
        <v>3379</v>
      </c>
      <c r="G2128" s="11">
        <v>46238</v>
      </c>
      <c r="H2128" s="12">
        <v>76.92</v>
      </c>
      <c r="I2128" s="12">
        <v>68.459999999999994</v>
      </c>
      <c r="J2128" s="9" t="s">
        <v>3</v>
      </c>
      <c r="K2128" s="8">
        <v>0</v>
      </c>
    </row>
    <row r="2129" spans="1:11">
      <c r="A2129" s="2" t="s">
        <v>891</v>
      </c>
      <c r="B2129" s="2" t="s">
        <v>3327</v>
      </c>
      <c r="C2129" s="9">
        <v>10073355</v>
      </c>
      <c r="D2129" s="2" t="s">
        <v>3380</v>
      </c>
      <c r="E2129" s="10">
        <v>4</v>
      </c>
      <c r="F2129" s="9" t="s">
        <v>3358</v>
      </c>
      <c r="G2129" s="11">
        <v>46238</v>
      </c>
      <c r="H2129" s="12">
        <v>151.32</v>
      </c>
      <c r="I2129" s="12">
        <v>134.68</v>
      </c>
      <c r="J2129" s="9" t="s">
        <v>3</v>
      </c>
      <c r="K2129" s="8">
        <v>0</v>
      </c>
    </row>
    <row r="2130" spans="1:11">
      <c r="A2130" s="2" t="s">
        <v>891</v>
      </c>
      <c r="B2130" s="2" t="s">
        <v>3327</v>
      </c>
      <c r="C2130" s="9">
        <v>10073356</v>
      </c>
      <c r="D2130" s="2" t="s">
        <v>3381</v>
      </c>
      <c r="E2130" s="10">
        <v>2</v>
      </c>
      <c r="F2130" s="9" t="s">
        <v>3382</v>
      </c>
      <c r="G2130" s="11">
        <v>46238</v>
      </c>
      <c r="H2130" s="12">
        <v>158.54</v>
      </c>
      <c r="I2130" s="12">
        <v>141.1</v>
      </c>
      <c r="J2130" s="9" t="s">
        <v>3</v>
      </c>
      <c r="K2130" s="8">
        <v>0</v>
      </c>
    </row>
    <row r="2131" spans="1:11">
      <c r="A2131" s="2" t="s">
        <v>891</v>
      </c>
      <c r="B2131" s="2" t="s">
        <v>3327</v>
      </c>
      <c r="C2131" s="9">
        <v>10073359</v>
      </c>
      <c r="D2131" s="2" t="s">
        <v>3383</v>
      </c>
      <c r="E2131" s="10">
        <v>7</v>
      </c>
      <c r="F2131" s="9" t="s">
        <v>3346</v>
      </c>
      <c r="G2131" s="11">
        <v>46238</v>
      </c>
      <c r="H2131" s="12">
        <v>173.18</v>
      </c>
      <c r="I2131" s="12">
        <v>154.13999999999999</v>
      </c>
      <c r="J2131" s="9" t="s">
        <v>3</v>
      </c>
      <c r="K2131" s="8">
        <v>0</v>
      </c>
    </row>
    <row r="2132" spans="1:11">
      <c r="A2132" s="2" t="s">
        <v>891</v>
      </c>
      <c r="B2132" s="2" t="s">
        <v>3327</v>
      </c>
      <c r="C2132" s="9">
        <v>10073363</v>
      </c>
      <c r="D2132" s="2" t="s">
        <v>3384</v>
      </c>
      <c r="E2132" s="10">
        <v>4</v>
      </c>
      <c r="F2132" s="9" t="s">
        <v>3385</v>
      </c>
      <c r="G2132" s="11">
        <v>46238</v>
      </c>
      <c r="H2132" s="12">
        <v>159.36000000000001</v>
      </c>
      <c r="I2132" s="12">
        <v>141.84</v>
      </c>
      <c r="J2132" s="9" t="s">
        <v>3</v>
      </c>
      <c r="K2132" s="8">
        <v>0</v>
      </c>
    </row>
    <row r="2133" spans="1:11">
      <c r="A2133" s="2" t="s">
        <v>891</v>
      </c>
      <c r="B2133" s="2" t="s">
        <v>3327</v>
      </c>
      <c r="C2133" s="9">
        <v>10073364</v>
      </c>
      <c r="D2133" s="2" t="s">
        <v>3386</v>
      </c>
      <c r="E2133" s="10">
        <v>48</v>
      </c>
      <c r="F2133" s="9" t="s">
        <v>3385</v>
      </c>
      <c r="G2133" s="11">
        <v>46238</v>
      </c>
      <c r="H2133" s="12">
        <v>200.64</v>
      </c>
      <c r="I2133" s="12">
        <v>178.56</v>
      </c>
      <c r="J2133" s="9" t="s">
        <v>3</v>
      </c>
      <c r="K2133" s="8">
        <v>0</v>
      </c>
    </row>
    <row r="2134" spans="1:11">
      <c r="A2134" s="2" t="s">
        <v>891</v>
      </c>
      <c r="B2134" s="2" t="s">
        <v>3327</v>
      </c>
      <c r="C2134" s="9">
        <v>10073365</v>
      </c>
      <c r="D2134" s="2" t="s">
        <v>3387</v>
      </c>
      <c r="E2134" s="10">
        <v>48</v>
      </c>
      <c r="F2134" s="9" t="s">
        <v>3385</v>
      </c>
      <c r="G2134" s="11">
        <v>46238</v>
      </c>
      <c r="H2134" s="12">
        <v>187.68</v>
      </c>
      <c r="I2134" s="12">
        <v>167.04</v>
      </c>
      <c r="J2134" s="9" t="s">
        <v>3</v>
      </c>
      <c r="K2134" s="8">
        <v>0</v>
      </c>
    </row>
    <row r="2135" spans="1:11">
      <c r="A2135" s="2" t="s">
        <v>891</v>
      </c>
      <c r="B2135" s="2" t="s">
        <v>3327</v>
      </c>
      <c r="C2135" s="9">
        <v>10073366</v>
      </c>
      <c r="D2135" s="2" t="s">
        <v>3388</v>
      </c>
      <c r="E2135" s="10">
        <v>4</v>
      </c>
      <c r="F2135" s="9" t="s">
        <v>3389</v>
      </c>
      <c r="G2135" s="11">
        <v>46238</v>
      </c>
      <c r="H2135" s="12">
        <v>132.47999999999999</v>
      </c>
      <c r="I2135" s="12">
        <v>117.92</v>
      </c>
      <c r="J2135" s="9" t="s">
        <v>3</v>
      </c>
      <c r="K2135" s="8">
        <v>0</v>
      </c>
    </row>
    <row r="2136" spans="1:11">
      <c r="A2136" s="2" t="s">
        <v>891</v>
      </c>
      <c r="B2136" s="2" t="s">
        <v>3327</v>
      </c>
      <c r="C2136" s="9">
        <v>10073367</v>
      </c>
      <c r="D2136" s="2" t="s">
        <v>3390</v>
      </c>
      <c r="E2136" s="10">
        <v>2</v>
      </c>
      <c r="F2136" s="9" t="s">
        <v>3391</v>
      </c>
      <c r="G2136" s="11">
        <v>46238</v>
      </c>
      <c r="H2136" s="12">
        <v>76.36</v>
      </c>
      <c r="I2136" s="12">
        <v>67.959999999999994</v>
      </c>
      <c r="J2136" s="9" t="s">
        <v>3</v>
      </c>
      <c r="K2136" s="8">
        <v>0</v>
      </c>
    </row>
    <row r="2137" spans="1:11">
      <c r="A2137" s="2" t="s">
        <v>891</v>
      </c>
      <c r="B2137" s="2" t="s">
        <v>3327</v>
      </c>
      <c r="C2137" s="9">
        <v>10073368</v>
      </c>
      <c r="D2137" s="2" t="s">
        <v>3392</v>
      </c>
      <c r="E2137" s="10">
        <v>2</v>
      </c>
      <c r="F2137" s="9" t="s">
        <v>2090</v>
      </c>
      <c r="G2137" s="11">
        <v>46238</v>
      </c>
      <c r="H2137" s="12">
        <v>77.28</v>
      </c>
      <c r="I2137" s="12">
        <v>68.78</v>
      </c>
      <c r="J2137" s="9" t="s">
        <v>3</v>
      </c>
      <c r="K2137" s="8">
        <v>0</v>
      </c>
    </row>
    <row r="2138" spans="1:11">
      <c r="A2138" s="2" t="s">
        <v>891</v>
      </c>
      <c r="B2138" s="2" t="s">
        <v>3327</v>
      </c>
      <c r="C2138" s="9">
        <v>10073369</v>
      </c>
      <c r="D2138" s="2" t="s">
        <v>3393</v>
      </c>
      <c r="E2138" s="10">
        <v>4</v>
      </c>
      <c r="F2138" s="9" t="s">
        <v>3394</v>
      </c>
      <c r="G2138" s="11">
        <v>46238</v>
      </c>
      <c r="H2138" s="12">
        <v>185.68</v>
      </c>
      <c r="I2138" s="12">
        <v>165.24</v>
      </c>
      <c r="J2138" s="9" t="s">
        <v>3</v>
      </c>
      <c r="K2138" s="8">
        <v>0</v>
      </c>
    </row>
    <row r="2139" spans="1:11">
      <c r="A2139" s="2" t="s">
        <v>891</v>
      </c>
      <c r="B2139" s="2" t="s">
        <v>3327</v>
      </c>
      <c r="C2139" s="9">
        <v>10073370</v>
      </c>
      <c r="D2139" s="2" t="s">
        <v>3395</v>
      </c>
      <c r="E2139" s="10">
        <v>2</v>
      </c>
      <c r="F2139" s="9" t="s">
        <v>3396</v>
      </c>
      <c r="G2139" s="11">
        <v>46238</v>
      </c>
      <c r="H2139" s="12">
        <v>149.96</v>
      </c>
      <c r="I2139" s="12">
        <v>133.46</v>
      </c>
      <c r="J2139" s="9" t="s">
        <v>3</v>
      </c>
      <c r="K2139" s="8">
        <v>0</v>
      </c>
    </row>
    <row r="2140" spans="1:11">
      <c r="A2140" s="2" t="s">
        <v>891</v>
      </c>
      <c r="B2140" s="2" t="s">
        <v>3327</v>
      </c>
      <c r="C2140" s="9">
        <v>10073371</v>
      </c>
      <c r="D2140" s="2" t="s">
        <v>3397</v>
      </c>
      <c r="E2140" s="10">
        <v>2</v>
      </c>
      <c r="F2140" s="9" t="s">
        <v>3396</v>
      </c>
      <c r="G2140" s="11">
        <v>46238</v>
      </c>
      <c r="H2140" s="12">
        <v>152.72</v>
      </c>
      <c r="I2140" s="12">
        <v>135.91999999999999</v>
      </c>
      <c r="J2140" s="9" t="s">
        <v>3</v>
      </c>
      <c r="K2140" s="8">
        <v>0</v>
      </c>
    </row>
    <row r="2141" spans="1:11">
      <c r="A2141" s="2" t="s">
        <v>891</v>
      </c>
      <c r="B2141" s="2" t="s">
        <v>3327</v>
      </c>
      <c r="C2141" s="9">
        <v>10073372</v>
      </c>
      <c r="D2141" s="2" t="s">
        <v>3398</v>
      </c>
      <c r="E2141" s="10">
        <v>40</v>
      </c>
      <c r="F2141" s="9" t="s">
        <v>3399</v>
      </c>
      <c r="G2141" s="11">
        <v>46238</v>
      </c>
      <c r="H2141" s="12">
        <v>76.400000000000006</v>
      </c>
      <c r="I2141" s="12">
        <v>68</v>
      </c>
      <c r="J2141" s="9" t="s">
        <v>3</v>
      </c>
      <c r="K2141" s="8">
        <v>0</v>
      </c>
    </row>
    <row r="2142" spans="1:11">
      <c r="A2142" s="2" t="s">
        <v>891</v>
      </c>
      <c r="B2142" s="2" t="s">
        <v>3327</v>
      </c>
      <c r="C2142" s="9">
        <v>10073373</v>
      </c>
      <c r="D2142" s="2" t="s">
        <v>3400</v>
      </c>
      <c r="E2142" s="10">
        <v>48</v>
      </c>
      <c r="F2142" s="9" t="s">
        <v>3247</v>
      </c>
      <c r="G2142" s="11">
        <v>46238</v>
      </c>
      <c r="H2142" s="12">
        <v>153.12</v>
      </c>
      <c r="I2142" s="12">
        <v>136.32</v>
      </c>
      <c r="J2142" s="9" t="s">
        <v>3</v>
      </c>
      <c r="K2142" s="8">
        <v>0</v>
      </c>
    </row>
    <row r="2143" spans="1:11">
      <c r="A2143" s="2" t="s">
        <v>891</v>
      </c>
      <c r="B2143" s="2" t="s">
        <v>3327</v>
      </c>
      <c r="C2143" s="9">
        <v>10073374</v>
      </c>
      <c r="D2143" s="2" t="s">
        <v>3401</v>
      </c>
      <c r="E2143" s="10">
        <v>8</v>
      </c>
      <c r="F2143" s="9" t="s">
        <v>3331</v>
      </c>
      <c r="G2143" s="11">
        <v>46238</v>
      </c>
      <c r="H2143" s="12">
        <v>162.4</v>
      </c>
      <c r="I2143" s="12">
        <v>144.56</v>
      </c>
      <c r="J2143" s="9" t="s">
        <v>3</v>
      </c>
      <c r="K2143" s="8">
        <v>0</v>
      </c>
    </row>
    <row r="2144" spans="1:11">
      <c r="A2144" s="2" t="s">
        <v>891</v>
      </c>
      <c r="B2144" s="2" t="s">
        <v>3327</v>
      </c>
      <c r="C2144" s="9">
        <v>10073376</v>
      </c>
      <c r="D2144" s="2" t="s">
        <v>3402</v>
      </c>
      <c r="E2144" s="10">
        <v>4</v>
      </c>
      <c r="F2144" s="9" t="s">
        <v>3346</v>
      </c>
      <c r="G2144" s="11">
        <v>46238</v>
      </c>
      <c r="H2144" s="12">
        <v>135.6</v>
      </c>
      <c r="I2144" s="12">
        <v>120.68</v>
      </c>
      <c r="J2144" s="9" t="s">
        <v>3</v>
      </c>
      <c r="K2144" s="8">
        <v>0</v>
      </c>
    </row>
    <row r="2145" spans="1:11">
      <c r="A2145" s="2" t="s">
        <v>891</v>
      </c>
      <c r="B2145" s="2" t="s">
        <v>3327</v>
      </c>
      <c r="C2145" s="9">
        <v>10073377</v>
      </c>
      <c r="D2145" s="2" t="s">
        <v>3403</v>
      </c>
      <c r="E2145" s="10">
        <v>2</v>
      </c>
      <c r="F2145" s="9" t="s">
        <v>3404</v>
      </c>
      <c r="G2145" s="11">
        <v>46238</v>
      </c>
      <c r="H2145" s="12">
        <v>92.24</v>
      </c>
      <c r="I2145" s="12">
        <v>82.1</v>
      </c>
      <c r="J2145" s="9" t="s">
        <v>3</v>
      </c>
      <c r="K2145" s="8">
        <v>0</v>
      </c>
    </row>
    <row r="2146" spans="1:11">
      <c r="A2146" s="2" t="s">
        <v>891</v>
      </c>
      <c r="B2146" s="2" t="s">
        <v>3327</v>
      </c>
      <c r="C2146" s="9">
        <v>10073379</v>
      </c>
      <c r="D2146" s="2" t="s">
        <v>3405</v>
      </c>
      <c r="E2146" s="10">
        <v>4</v>
      </c>
      <c r="F2146" s="9" t="s">
        <v>3342</v>
      </c>
      <c r="G2146" s="11">
        <v>46238</v>
      </c>
      <c r="H2146" s="12">
        <v>265.39999999999998</v>
      </c>
      <c r="I2146" s="12">
        <v>236.2</v>
      </c>
      <c r="J2146" s="9" t="s">
        <v>3</v>
      </c>
      <c r="K2146" s="8">
        <v>0</v>
      </c>
    </row>
    <row r="2147" spans="1:11">
      <c r="A2147" s="2" t="s">
        <v>891</v>
      </c>
      <c r="B2147" s="2" t="s">
        <v>3327</v>
      </c>
      <c r="C2147" s="9">
        <v>10073380</v>
      </c>
      <c r="D2147" s="2" t="s">
        <v>3406</v>
      </c>
      <c r="E2147" s="10">
        <v>2</v>
      </c>
      <c r="F2147" s="9" t="s">
        <v>3342</v>
      </c>
      <c r="G2147" s="11">
        <v>46238</v>
      </c>
      <c r="H2147" s="12">
        <v>148.9</v>
      </c>
      <c r="I2147" s="12">
        <v>132.52000000000001</v>
      </c>
      <c r="J2147" s="9" t="s">
        <v>3</v>
      </c>
      <c r="K2147" s="8">
        <v>0</v>
      </c>
    </row>
    <row r="2148" spans="1:11">
      <c r="A2148" s="2" t="s">
        <v>891</v>
      </c>
      <c r="B2148" s="2" t="s">
        <v>3327</v>
      </c>
      <c r="C2148" s="9">
        <v>10073381</v>
      </c>
      <c r="D2148" s="2" t="s">
        <v>3407</v>
      </c>
      <c r="E2148" s="10">
        <v>4</v>
      </c>
      <c r="F2148" s="9" t="s">
        <v>3408</v>
      </c>
      <c r="G2148" s="11">
        <v>46238</v>
      </c>
      <c r="H2148" s="12">
        <v>218.88</v>
      </c>
      <c r="I2148" s="12">
        <v>194.8</v>
      </c>
      <c r="J2148" s="9" t="s">
        <v>3</v>
      </c>
      <c r="K2148" s="8">
        <v>0</v>
      </c>
    </row>
    <row r="2149" spans="1:11">
      <c r="A2149" s="2" t="s">
        <v>891</v>
      </c>
      <c r="B2149" s="2" t="s">
        <v>3327</v>
      </c>
      <c r="C2149" s="9">
        <v>10073382</v>
      </c>
      <c r="D2149" s="2" t="s">
        <v>3409</v>
      </c>
      <c r="E2149" s="10">
        <v>2</v>
      </c>
      <c r="F2149" s="9" t="s">
        <v>3342</v>
      </c>
      <c r="G2149" s="11">
        <v>46238</v>
      </c>
      <c r="H2149" s="12">
        <v>149.22</v>
      </c>
      <c r="I2149" s="12">
        <v>132.80000000000001</v>
      </c>
      <c r="J2149" s="9" t="s">
        <v>3</v>
      </c>
      <c r="K2149" s="8">
        <v>0</v>
      </c>
    </row>
    <row r="2150" spans="1:11">
      <c r="A2150" s="2" t="s">
        <v>891</v>
      </c>
      <c r="B2150" s="2" t="s">
        <v>3327</v>
      </c>
      <c r="C2150" s="9">
        <v>10073383</v>
      </c>
      <c r="D2150" s="2" t="s">
        <v>3410</v>
      </c>
      <c r="E2150" s="10">
        <v>2</v>
      </c>
      <c r="F2150" s="9" t="s">
        <v>3346</v>
      </c>
      <c r="G2150" s="11">
        <v>46238</v>
      </c>
      <c r="H2150" s="12">
        <v>241.88</v>
      </c>
      <c r="I2150" s="12">
        <v>215.28</v>
      </c>
      <c r="J2150" s="9" t="s">
        <v>3</v>
      </c>
      <c r="K2150" s="8">
        <v>0</v>
      </c>
    </row>
    <row r="2151" spans="1:11">
      <c r="A2151" s="2" t="s">
        <v>891</v>
      </c>
      <c r="B2151" s="2" t="s">
        <v>3327</v>
      </c>
      <c r="C2151" s="9">
        <v>10073384</v>
      </c>
      <c r="D2151" s="2" t="s">
        <v>3411</v>
      </c>
      <c r="E2151" s="10">
        <v>4</v>
      </c>
      <c r="F2151" s="9" t="s">
        <v>3331</v>
      </c>
      <c r="G2151" s="11">
        <v>46238</v>
      </c>
      <c r="H2151" s="12">
        <v>323.39</v>
      </c>
      <c r="I2151" s="12">
        <v>311.41000000000003</v>
      </c>
      <c r="J2151" s="9" t="s">
        <v>3</v>
      </c>
      <c r="K2151" s="8">
        <v>0</v>
      </c>
    </row>
    <row r="2152" spans="1:11">
      <c r="A2152" s="2" t="s">
        <v>891</v>
      </c>
      <c r="B2152" s="2" t="s">
        <v>3327</v>
      </c>
      <c r="C2152" s="9">
        <v>10073385</v>
      </c>
      <c r="D2152" s="2" t="s">
        <v>3412</v>
      </c>
      <c r="E2152" s="10">
        <v>4</v>
      </c>
      <c r="F2152" s="9" t="s">
        <v>3413</v>
      </c>
      <c r="G2152" s="11">
        <v>46238</v>
      </c>
      <c r="H2152" s="12">
        <v>176.04</v>
      </c>
      <c r="I2152" s="12">
        <v>156.68</v>
      </c>
      <c r="J2152" s="9" t="s">
        <v>3</v>
      </c>
      <c r="K2152" s="8">
        <v>0</v>
      </c>
    </row>
    <row r="2153" spans="1:11">
      <c r="A2153" s="2" t="s">
        <v>891</v>
      </c>
      <c r="B2153" s="2" t="s">
        <v>3327</v>
      </c>
      <c r="C2153" s="9">
        <v>10073386</v>
      </c>
      <c r="D2153" s="2" t="s">
        <v>3414</v>
      </c>
      <c r="E2153" s="10">
        <v>4</v>
      </c>
      <c r="F2153" s="9" t="s">
        <v>3394</v>
      </c>
      <c r="G2153" s="11">
        <v>46238</v>
      </c>
      <c r="H2153" s="12">
        <v>153.56</v>
      </c>
      <c r="I2153" s="12">
        <v>136.68</v>
      </c>
      <c r="J2153" s="9" t="s">
        <v>3</v>
      </c>
      <c r="K2153" s="8">
        <v>0</v>
      </c>
    </row>
    <row r="2154" spans="1:11">
      <c r="A2154" s="2" t="s">
        <v>891</v>
      </c>
      <c r="B2154" s="2" t="s">
        <v>3327</v>
      </c>
      <c r="C2154" s="9">
        <v>10073387</v>
      </c>
      <c r="D2154" s="2" t="s">
        <v>3415</v>
      </c>
      <c r="E2154" s="10">
        <v>2</v>
      </c>
      <c r="F2154" s="9" t="s">
        <v>924</v>
      </c>
      <c r="G2154" s="11">
        <v>46238</v>
      </c>
      <c r="H2154" s="12">
        <v>141.66</v>
      </c>
      <c r="I2154" s="12">
        <v>126.08</v>
      </c>
      <c r="J2154" s="9" t="s">
        <v>3</v>
      </c>
      <c r="K2154" s="8">
        <v>0</v>
      </c>
    </row>
    <row r="2155" spans="1:11">
      <c r="A2155" s="2" t="s">
        <v>891</v>
      </c>
      <c r="B2155" s="2" t="s">
        <v>3327</v>
      </c>
      <c r="C2155" s="9">
        <v>10073388</v>
      </c>
      <c r="D2155" s="2" t="s">
        <v>3416</v>
      </c>
      <c r="E2155" s="10">
        <v>7</v>
      </c>
      <c r="F2155" s="9" t="s">
        <v>3346</v>
      </c>
      <c r="G2155" s="11">
        <v>46238</v>
      </c>
      <c r="H2155" s="12">
        <v>264.18</v>
      </c>
      <c r="I2155" s="12">
        <v>235.13</v>
      </c>
      <c r="J2155" s="9" t="s">
        <v>3</v>
      </c>
      <c r="K2155" s="8">
        <v>0</v>
      </c>
    </row>
    <row r="2156" spans="1:11">
      <c r="A2156" s="2" t="s">
        <v>891</v>
      </c>
      <c r="B2156" s="2" t="s">
        <v>3327</v>
      </c>
      <c r="C2156" s="9">
        <v>10073390</v>
      </c>
      <c r="D2156" s="2" t="s">
        <v>3417</v>
      </c>
      <c r="E2156" s="10">
        <v>54</v>
      </c>
      <c r="F2156" s="9" t="s">
        <v>3418</v>
      </c>
      <c r="G2156" s="11">
        <v>46238</v>
      </c>
      <c r="H2156" s="12">
        <v>137.16</v>
      </c>
      <c r="I2156" s="12">
        <v>122.04</v>
      </c>
      <c r="J2156" s="9" t="s">
        <v>3</v>
      </c>
      <c r="K2156" s="8">
        <v>0</v>
      </c>
    </row>
    <row r="2157" spans="1:11">
      <c r="A2157" s="2" t="s">
        <v>891</v>
      </c>
      <c r="B2157" s="2" t="s">
        <v>3327</v>
      </c>
      <c r="C2157" s="9">
        <v>10073393</v>
      </c>
      <c r="D2157" s="2" t="s">
        <v>3419</v>
      </c>
      <c r="E2157" s="10">
        <v>2</v>
      </c>
      <c r="F2157" s="9" t="s">
        <v>3342</v>
      </c>
      <c r="G2157" s="11">
        <v>46238</v>
      </c>
      <c r="H2157" s="12">
        <v>152.62</v>
      </c>
      <c r="I2157" s="12">
        <v>135.84</v>
      </c>
      <c r="J2157" s="9" t="s">
        <v>3</v>
      </c>
      <c r="K2157" s="8">
        <v>0</v>
      </c>
    </row>
    <row r="2158" spans="1:11">
      <c r="A2158" s="2" t="s">
        <v>891</v>
      </c>
      <c r="B2158" s="2" t="s">
        <v>3327</v>
      </c>
      <c r="C2158" s="9">
        <v>10073394</v>
      </c>
      <c r="D2158" s="2" t="s">
        <v>3420</v>
      </c>
      <c r="E2158" s="10">
        <v>4</v>
      </c>
      <c r="F2158" s="9" t="s">
        <v>3338</v>
      </c>
      <c r="G2158" s="11">
        <v>46238</v>
      </c>
      <c r="H2158" s="12">
        <v>216.28</v>
      </c>
      <c r="I2158" s="12">
        <v>192.48</v>
      </c>
      <c r="J2158" s="9" t="s">
        <v>3</v>
      </c>
      <c r="K2158" s="8">
        <v>0</v>
      </c>
    </row>
    <row r="2159" spans="1:11">
      <c r="A2159" s="2" t="s">
        <v>891</v>
      </c>
      <c r="B2159" s="2" t="s">
        <v>3327</v>
      </c>
      <c r="C2159" s="9">
        <v>10073395</v>
      </c>
      <c r="D2159" s="2" t="s">
        <v>3421</v>
      </c>
      <c r="E2159" s="10">
        <v>4</v>
      </c>
      <c r="F2159" s="9" t="s">
        <v>3342</v>
      </c>
      <c r="G2159" s="11">
        <v>46238</v>
      </c>
      <c r="H2159" s="12">
        <v>277.08</v>
      </c>
      <c r="I2159" s="12">
        <v>246.6</v>
      </c>
      <c r="J2159" s="9" t="s">
        <v>3</v>
      </c>
      <c r="K2159" s="8">
        <v>0</v>
      </c>
    </row>
    <row r="2160" spans="1:11">
      <c r="A2160" s="2" t="s">
        <v>891</v>
      </c>
      <c r="B2160" s="2" t="s">
        <v>3327</v>
      </c>
      <c r="C2160" s="9">
        <v>10073396</v>
      </c>
      <c r="D2160" s="2" t="s">
        <v>3422</v>
      </c>
      <c r="E2160" s="10">
        <v>2</v>
      </c>
      <c r="F2160" s="9" t="s">
        <v>3342</v>
      </c>
      <c r="G2160" s="11">
        <v>46238</v>
      </c>
      <c r="H2160" s="12">
        <v>138.88</v>
      </c>
      <c r="I2160" s="12">
        <v>123.6</v>
      </c>
      <c r="J2160" s="9" t="s">
        <v>3</v>
      </c>
      <c r="K2160" s="8">
        <v>0</v>
      </c>
    </row>
    <row r="2161" spans="1:11">
      <c r="A2161" s="2" t="s">
        <v>891</v>
      </c>
      <c r="B2161" s="2" t="s">
        <v>3327</v>
      </c>
      <c r="C2161" s="9">
        <v>10073398</v>
      </c>
      <c r="D2161" s="2" t="s">
        <v>3423</v>
      </c>
      <c r="E2161" s="10">
        <v>2</v>
      </c>
      <c r="F2161" s="9" t="s">
        <v>3342</v>
      </c>
      <c r="G2161" s="11">
        <v>46238</v>
      </c>
      <c r="H2161" s="12">
        <v>147.6</v>
      </c>
      <c r="I2161" s="12">
        <v>131.36000000000001</v>
      </c>
      <c r="J2161" s="9" t="s">
        <v>3</v>
      </c>
      <c r="K2161" s="8">
        <v>0</v>
      </c>
    </row>
    <row r="2162" spans="1:11">
      <c r="A2162" s="2" t="s">
        <v>891</v>
      </c>
      <c r="B2162" s="2" t="s">
        <v>3327</v>
      </c>
      <c r="C2162" s="9">
        <v>10073399</v>
      </c>
      <c r="D2162" s="2" t="s">
        <v>3424</v>
      </c>
      <c r="E2162" s="10">
        <v>8</v>
      </c>
      <c r="F2162" s="9" t="s">
        <v>3425</v>
      </c>
      <c r="G2162" s="11">
        <v>46238</v>
      </c>
      <c r="H2162" s="12">
        <v>190.24</v>
      </c>
      <c r="I2162" s="12">
        <v>169.28</v>
      </c>
      <c r="J2162" s="9" t="s">
        <v>3</v>
      </c>
      <c r="K2162" s="8">
        <v>0</v>
      </c>
    </row>
    <row r="2163" spans="1:11">
      <c r="A2163" s="2" t="s">
        <v>891</v>
      </c>
      <c r="B2163" s="2" t="s">
        <v>3327</v>
      </c>
      <c r="C2163" s="9">
        <v>10073400</v>
      </c>
      <c r="D2163" s="2" t="s">
        <v>3426</v>
      </c>
      <c r="E2163" s="10">
        <v>4</v>
      </c>
      <c r="F2163" s="9" t="s">
        <v>3346</v>
      </c>
      <c r="G2163" s="11">
        <v>46238</v>
      </c>
      <c r="H2163" s="12">
        <v>131.63999999999999</v>
      </c>
      <c r="I2163" s="12">
        <v>117.16</v>
      </c>
      <c r="J2163" s="9" t="s">
        <v>3</v>
      </c>
      <c r="K2163" s="8">
        <v>0</v>
      </c>
    </row>
    <row r="2164" spans="1:11">
      <c r="A2164" s="2" t="s">
        <v>891</v>
      </c>
      <c r="B2164" s="2" t="s">
        <v>3327</v>
      </c>
      <c r="C2164" s="9">
        <v>10073401</v>
      </c>
      <c r="D2164" s="2" t="s">
        <v>3427</v>
      </c>
      <c r="E2164" s="10">
        <v>4</v>
      </c>
      <c r="F2164" s="9" t="s">
        <v>3247</v>
      </c>
      <c r="G2164" s="11">
        <v>46238</v>
      </c>
      <c r="H2164" s="12">
        <v>131.63999999999999</v>
      </c>
      <c r="I2164" s="12">
        <v>117.16</v>
      </c>
      <c r="J2164" s="9" t="s">
        <v>3</v>
      </c>
      <c r="K2164" s="8">
        <v>0</v>
      </c>
    </row>
    <row r="2165" spans="1:11">
      <c r="A2165" s="2" t="s">
        <v>891</v>
      </c>
      <c r="B2165" s="2" t="s">
        <v>3327</v>
      </c>
      <c r="C2165" s="9">
        <v>10073402</v>
      </c>
      <c r="D2165" s="2" t="s">
        <v>3428</v>
      </c>
      <c r="E2165" s="10">
        <v>48</v>
      </c>
      <c r="F2165" s="9" t="s">
        <v>3247</v>
      </c>
      <c r="G2165" s="11">
        <v>46238</v>
      </c>
      <c r="H2165" s="12">
        <v>220.8</v>
      </c>
      <c r="I2165" s="12">
        <v>196.32</v>
      </c>
      <c r="J2165" s="9" t="s">
        <v>3</v>
      </c>
      <c r="K2165" s="8">
        <v>0</v>
      </c>
    </row>
    <row r="2166" spans="1:11">
      <c r="A2166" s="2" t="s">
        <v>891</v>
      </c>
      <c r="B2166" s="2" t="s">
        <v>3327</v>
      </c>
      <c r="C2166" s="9">
        <v>10073403</v>
      </c>
      <c r="D2166" s="2" t="s">
        <v>3429</v>
      </c>
      <c r="E2166" s="10">
        <v>48</v>
      </c>
      <c r="F2166" s="9" t="s">
        <v>3247</v>
      </c>
      <c r="G2166" s="11">
        <v>46238</v>
      </c>
      <c r="H2166" s="12">
        <v>345.12</v>
      </c>
      <c r="I2166" s="12">
        <v>307.2</v>
      </c>
      <c r="J2166" s="9" t="s">
        <v>3</v>
      </c>
      <c r="K2166" s="8">
        <v>0</v>
      </c>
    </row>
    <row r="2167" spans="1:11">
      <c r="A2167" s="2" t="s">
        <v>891</v>
      </c>
      <c r="B2167" s="2" t="s">
        <v>3327</v>
      </c>
      <c r="C2167" s="9">
        <v>10073404</v>
      </c>
      <c r="D2167" s="2" t="s">
        <v>3430</v>
      </c>
      <c r="E2167" s="10">
        <v>8</v>
      </c>
      <c r="F2167" s="9" t="s">
        <v>3331</v>
      </c>
      <c r="G2167" s="11">
        <v>46238</v>
      </c>
      <c r="H2167" s="12">
        <v>157.6</v>
      </c>
      <c r="I2167" s="12">
        <v>140.24</v>
      </c>
      <c r="J2167" s="9" t="s">
        <v>3</v>
      </c>
      <c r="K2167" s="8">
        <v>0</v>
      </c>
    </row>
    <row r="2168" spans="1:11">
      <c r="A2168" s="2" t="s">
        <v>891</v>
      </c>
      <c r="B2168" s="2" t="s">
        <v>3327</v>
      </c>
      <c r="C2168" s="9">
        <v>10073405</v>
      </c>
      <c r="D2168" s="2" t="s">
        <v>3431</v>
      </c>
      <c r="E2168" s="10">
        <v>48</v>
      </c>
      <c r="F2168" s="9" t="s">
        <v>3247</v>
      </c>
      <c r="G2168" s="11">
        <v>46238</v>
      </c>
      <c r="H2168" s="12">
        <v>149.28</v>
      </c>
      <c r="I2168" s="12">
        <v>132.96</v>
      </c>
      <c r="J2168" s="9" t="s">
        <v>3</v>
      </c>
      <c r="K2168" s="8">
        <v>0</v>
      </c>
    </row>
    <row r="2169" spans="1:11">
      <c r="A2169" s="2" t="s">
        <v>891</v>
      </c>
      <c r="B2169" s="2" t="s">
        <v>3327</v>
      </c>
      <c r="C2169" s="9">
        <v>10073406</v>
      </c>
      <c r="D2169" s="2" t="s">
        <v>3432</v>
      </c>
      <c r="E2169" s="10">
        <v>48</v>
      </c>
      <c r="F2169" s="9" t="s">
        <v>3247</v>
      </c>
      <c r="G2169" s="11">
        <v>46238</v>
      </c>
      <c r="H2169" s="12">
        <v>134.88</v>
      </c>
      <c r="I2169" s="12">
        <v>120</v>
      </c>
      <c r="J2169" s="9" t="s">
        <v>3</v>
      </c>
      <c r="K2169" s="8">
        <v>0</v>
      </c>
    </row>
    <row r="2170" spans="1:11">
      <c r="A2170" s="2" t="s">
        <v>891</v>
      </c>
      <c r="B2170" s="2" t="s">
        <v>3327</v>
      </c>
      <c r="C2170" s="9">
        <v>10073407</v>
      </c>
      <c r="D2170" s="2" t="s">
        <v>3433</v>
      </c>
      <c r="E2170" s="10">
        <v>3</v>
      </c>
      <c r="F2170" s="9" t="s">
        <v>3247</v>
      </c>
      <c r="G2170" s="11">
        <v>46238</v>
      </c>
      <c r="H2170" s="12">
        <v>202.47</v>
      </c>
      <c r="I2170" s="12">
        <v>180.21</v>
      </c>
      <c r="J2170" s="9" t="s">
        <v>3</v>
      </c>
      <c r="K2170" s="8">
        <v>0</v>
      </c>
    </row>
    <row r="2171" spans="1:11">
      <c r="A2171" s="2" t="s">
        <v>891</v>
      </c>
      <c r="B2171" s="2" t="s">
        <v>3327</v>
      </c>
      <c r="C2171" s="9">
        <v>10073408</v>
      </c>
      <c r="D2171" s="2" t="s">
        <v>3433</v>
      </c>
      <c r="E2171" s="10">
        <v>3</v>
      </c>
      <c r="F2171" s="9" t="s">
        <v>3247</v>
      </c>
      <c r="G2171" s="11">
        <v>46238</v>
      </c>
      <c r="H2171" s="12">
        <v>163.19999999999999</v>
      </c>
      <c r="I2171" s="12">
        <v>145.26</v>
      </c>
      <c r="J2171" s="9" t="s">
        <v>3</v>
      </c>
      <c r="K2171" s="8">
        <v>0</v>
      </c>
    </row>
    <row r="2172" spans="1:11">
      <c r="A2172" s="2" t="s">
        <v>891</v>
      </c>
      <c r="B2172" s="2" t="s">
        <v>3327</v>
      </c>
      <c r="C2172" s="9">
        <v>10073409</v>
      </c>
      <c r="D2172" s="2" t="s">
        <v>3434</v>
      </c>
      <c r="E2172" s="10">
        <v>3</v>
      </c>
      <c r="F2172" s="9" t="s">
        <v>3247</v>
      </c>
      <c r="G2172" s="11">
        <v>46238</v>
      </c>
      <c r="H2172" s="12">
        <v>166.89</v>
      </c>
      <c r="I2172" s="12">
        <v>148.53</v>
      </c>
      <c r="J2172" s="9" t="s">
        <v>3</v>
      </c>
      <c r="K2172" s="8">
        <v>0</v>
      </c>
    </row>
    <row r="2173" spans="1:11">
      <c r="A2173" s="2" t="s">
        <v>891</v>
      </c>
      <c r="B2173" s="2" t="s">
        <v>3327</v>
      </c>
      <c r="C2173" s="9">
        <v>10073410</v>
      </c>
      <c r="D2173" s="2" t="s">
        <v>3435</v>
      </c>
      <c r="E2173" s="10">
        <v>2</v>
      </c>
      <c r="F2173" s="9" t="s">
        <v>3247</v>
      </c>
      <c r="G2173" s="11">
        <v>46238</v>
      </c>
      <c r="H2173" s="12">
        <v>182.94</v>
      </c>
      <c r="I2173" s="12">
        <v>162.82</v>
      </c>
      <c r="J2173" s="9" t="s">
        <v>3</v>
      </c>
      <c r="K2173" s="8">
        <v>0</v>
      </c>
    </row>
    <row r="2174" spans="1:11">
      <c r="A2174" s="2" t="s">
        <v>891</v>
      </c>
      <c r="B2174" s="2" t="s">
        <v>3327</v>
      </c>
      <c r="C2174" s="9">
        <v>10073411</v>
      </c>
      <c r="D2174" s="2" t="s">
        <v>3436</v>
      </c>
      <c r="E2174" s="10">
        <v>8</v>
      </c>
      <c r="F2174" s="9" t="s">
        <v>3247</v>
      </c>
      <c r="G2174" s="11">
        <v>46238</v>
      </c>
      <c r="H2174" s="12">
        <v>150.32</v>
      </c>
      <c r="I2174" s="12">
        <v>133.76</v>
      </c>
      <c r="J2174" s="9" t="s">
        <v>3</v>
      </c>
      <c r="K2174" s="8">
        <v>0</v>
      </c>
    </row>
    <row r="2175" spans="1:11">
      <c r="A2175" s="2" t="s">
        <v>891</v>
      </c>
      <c r="B2175" s="2" t="s">
        <v>3327</v>
      </c>
      <c r="C2175" s="9">
        <v>10073412</v>
      </c>
      <c r="D2175" s="2" t="s">
        <v>3437</v>
      </c>
      <c r="E2175" s="10">
        <v>8</v>
      </c>
      <c r="F2175" s="9" t="s">
        <v>3247</v>
      </c>
      <c r="G2175" s="11">
        <v>46238</v>
      </c>
      <c r="H2175" s="12">
        <v>150.32</v>
      </c>
      <c r="I2175" s="12">
        <v>133.76</v>
      </c>
      <c r="J2175" s="9" t="s">
        <v>3</v>
      </c>
      <c r="K2175" s="8">
        <v>0</v>
      </c>
    </row>
    <row r="2176" spans="1:11">
      <c r="A2176" s="2" t="s">
        <v>891</v>
      </c>
      <c r="B2176" s="2" t="s">
        <v>3327</v>
      </c>
      <c r="C2176" s="9">
        <v>10073413</v>
      </c>
      <c r="D2176" s="2" t="s">
        <v>3438</v>
      </c>
      <c r="E2176" s="10">
        <v>8</v>
      </c>
      <c r="F2176" s="9" t="s">
        <v>3247</v>
      </c>
      <c r="G2176" s="11">
        <v>46238</v>
      </c>
      <c r="H2176" s="12">
        <v>330.24</v>
      </c>
      <c r="I2176" s="12">
        <v>293.92</v>
      </c>
      <c r="J2176" s="9" t="s">
        <v>3</v>
      </c>
      <c r="K2176" s="8">
        <v>0</v>
      </c>
    </row>
    <row r="2177" spans="1:11">
      <c r="A2177" s="2" t="s">
        <v>891</v>
      </c>
      <c r="B2177" s="2" t="s">
        <v>3327</v>
      </c>
      <c r="C2177" s="9">
        <v>10073414</v>
      </c>
      <c r="D2177" s="2" t="s">
        <v>3439</v>
      </c>
      <c r="E2177" s="10">
        <v>4</v>
      </c>
      <c r="F2177" s="9" t="s">
        <v>3247</v>
      </c>
      <c r="G2177" s="11">
        <v>46238</v>
      </c>
      <c r="H2177" s="12">
        <v>224</v>
      </c>
      <c r="I2177" s="12">
        <v>199.36</v>
      </c>
      <c r="J2177" s="9" t="s">
        <v>3</v>
      </c>
      <c r="K2177" s="8">
        <v>0</v>
      </c>
    </row>
    <row r="2178" spans="1:11">
      <c r="A2178" s="2" t="s">
        <v>891</v>
      </c>
      <c r="B2178" s="2" t="s">
        <v>3327</v>
      </c>
      <c r="C2178" s="9">
        <v>10073415</v>
      </c>
      <c r="D2178" s="2" t="s">
        <v>3440</v>
      </c>
      <c r="E2178" s="10">
        <v>4</v>
      </c>
      <c r="F2178" s="9" t="s">
        <v>3247</v>
      </c>
      <c r="G2178" s="11">
        <v>46238</v>
      </c>
      <c r="H2178" s="12">
        <v>208.72</v>
      </c>
      <c r="I2178" s="12">
        <v>185.76</v>
      </c>
      <c r="J2178" s="9" t="s">
        <v>3</v>
      </c>
      <c r="K2178" s="8">
        <v>0</v>
      </c>
    </row>
    <row r="2179" spans="1:11">
      <c r="A2179" s="2" t="s">
        <v>2740</v>
      </c>
      <c r="B2179" s="2" t="s">
        <v>3441</v>
      </c>
      <c r="C2179" s="9">
        <v>10076050</v>
      </c>
      <c r="D2179" s="2" t="s">
        <v>3442</v>
      </c>
      <c r="E2179" s="10">
        <v>12</v>
      </c>
      <c r="F2179" s="9" t="s">
        <v>1392</v>
      </c>
      <c r="G2179" s="11">
        <v>46238</v>
      </c>
      <c r="H2179" s="12">
        <v>57.96</v>
      </c>
      <c r="I2179" s="12">
        <v>51.58</v>
      </c>
      <c r="J2179" s="9" t="s">
        <v>3</v>
      </c>
      <c r="K2179" s="8">
        <v>0</v>
      </c>
    </row>
    <row r="2180" spans="1:11">
      <c r="A2180" s="2" t="s">
        <v>2740</v>
      </c>
      <c r="B2180" s="2" t="s">
        <v>3441</v>
      </c>
      <c r="C2180" s="9">
        <v>10076051</v>
      </c>
      <c r="D2180" s="2" t="s">
        <v>3443</v>
      </c>
      <c r="E2180" s="10">
        <v>12</v>
      </c>
      <c r="F2180" s="9" t="s">
        <v>1392</v>
      </c>
      <c r="G2180" s="11">
        <v>46238</v>
      </c>
      <c r="H2180" s="12">
        <v>57.96</v>
      </c>
      <c r="I2180" s="12">
        <v>51.58</v>
      </c>
      <c r="J2180" s="9" t="s">
        <v>3</v>
      </c>
      <c r="K2180" s="8">
        <v>0</v>
      </c>
    </row>
    <row r="2181" spans="1:11">
      <c r="A2181" s="2" t="s">
        <v>2740</v>
      </c>
      <c r="B2181" s="2" t="s">
        <v>3441</v>
      </c>
      <c r="C2181" s="9">
        <v>10076052</v>
      </c>
      <c r="D2181" s="2" t="s">
        <v>3444</v>
      </c>
      <c r="E2181" s="10">
        <v>12</v>
      </c>
      <c r="F2181" s="9" t="s">
        <v>1392</v>
      </c>
      <c r="G2181" s="11">
        <v>46238</v>
      </c>
      <c r="H2181" s="12">
        <v>57.96</v>
      </c>
      <c r="I2181" s="12">
        <v>51.58</v>
      </c>
      <c r="J2181" s="9" t="s">
        <v>3</v>
      </c>
      <c r="K2181" s="8">
        <v>0</v>
      </c>
    </row>
    <row r="2182" spans="1:11">
      <c r="A2182" s="2" t="s">
        <v>1120</v>
      </c>
      <c r="B2182" s="2" t="s">
        <v>3445</v>
      </c>
      <c r="C2182" s="9">
        <v>10076120</v>
      </c>
      <c r="D2182" s="2" t="s">
        <v>3446</v>
      </c>
      <c r="E2182" s="10">
        <v>4</v>
      </c>
      <c r="F2182" s="9" t="s">
        <v>3447</v>
      </c>
      <c r="G2182" s="11">
        <v>46238</v>
      </c>
      <c r="H2182" s="12">
        <v>65.16</v>
      </c>
      <c r="I2182" s="12">
        <v>58</v>
      </c>
      <c r="J2182" s="9" t="s">
        <v>3</v>
      </c>
      <c r="K2182" s="8">
        <v>0</v>
      </c>
    </row>
    <row r="2183" spans="1:11">
      <c r="A2183" s="2" t="s">
        <v>2740</v>
      </c>
      <c r="B2183" s="2" t="s">
        <v>3441</v>
      </c>
      <c r="C2183" s="9">
        <v>10076287</v>
      </c>
      <c r="D2183" s="2" t="s">
        <v>3448</v>
      </c>
      <c r="E2183" s="10">
        <v>6</v>
      </c>
      <c r="F2183" s="9" t="s">
        <v>770</v>
      </c>
      <c r="G2183" s="11">
        <v>46238</v>
      </c>
      <c r="H2183" s="12">
        <v>129.88</v>
      </c>
      <c r="I2183" s="12">
        <v>115.59</v>
      </c>
      <c r="J2183" s="9" t="s">
        <v>3</v>
      </c>
      <c r="K2183" s="8">
        <v>0</v>
      </c>
    </row>
    <row r="2184" spans="1:11">
      <c r="A2184" s="2" t="s">
        <v>2740</v>
      </c>
      <c r="B2184" s="2" t="s">
        <v>3441</v>
      </c>
      <c r="C2184" s="9">
        <v>10076502</v>
      </c>
      <c r="D2184" s="2" t="s">
        <v>3449</v>
      </c>
      <c r="E2184" s="10">
        <v>12</v>
      </c>
      <c r="F2184" s="9" t="s">
        <v>1797</v>
      </c>
      <c r="G2184" s="11">
        <v>46238</v>
      </c>
      <c r="H2184" s="12">
        <v>82.04</v>
      </c>
      <c r="I2184" s="12">
        <v>73.02</v>
      </c>
      <c r="J2184" s="9" t="s">
        <v>3</v>
      </c>
      <c r="K2184" s="8">
        <v>0</v>
      </c>
    </row>
    <row r="2185" spans="1:11">
      <c r="A2185" s="2" t="s">
        <v>2740</v>
      </c>
      <c r="B2185" s="2" t="s">
        <v>3441</v>
      </c>
      <c r="C2185" s="9">
        <v>10076508</v>
      </c>
      <c r="D2185" s="2" t="s">
        <v>3450</v>
      </c>
      <c r="E2185" s="10">
        <v>12</v>
      </c>
      <c r="F2185" s="9" t="s">
        <v>774</v>
      </c>
      <c r="G2185" s="11">
        <v>46238</v>
      </c>
      <c r="H2185" s="12">
        <v>141.28</v>
      </c>
      <c r="I2185" s="12">
        <v>125.74</v>
      </c>
      <c r="J2185" s="9" t="s">
        <v>3</v>
      </c>
      <c r="K2185" s="8">
        <v>0</v>
      </c>
    </row>
    <row r="2186" spans="1:11">
      <c r="A2186" s="2" t="s">
        <v>2740</v>
      </c>
      <c r="B2186" s="2" t="s">
        <v>3441</v>
      </c>
      <c r="C2186" s="9">
        <v>10076520</v>
      </c>
      <c r="D2186" s="2" t="s">
        <v>3451</v>
      </c>
      <c r="E2186" s="10">
        <v>24</v>
      </c>
      <c r="F2186" s="9" t="s">
        <v>982</v>
      </c>
      <c r="G2186" s="11">
        <v>46238</v>
      </c>
      <c r="H2186" s="12">
        <v>95.22</v>
      </c>
      <c r="I2186" s="12">
        <v>84.75</v>
      </c>
      <c r="J2186" s="9" t="s">
        <v>3</v>
      </c>
      <c r="K2186" s="8">
        <v>0</v>
      </c>
    </row>
    <row r="2187" spans="1:11">
      <c r="A2187" s="2" t="s">
        <v>2740</v>
      </c>
      <c r="B2187" s="2" t="s">
        <v>3441</v>
      </c>
      <c r="C2187" s="9">
        <v>10076532</v>
      </c>
      <c r="D2187" s="2" t="s">
        <v>3452</v>
      </c>
      <c r="E2187" s="10">
        <v>12</v>
      </c>
      <c r="F2187" s="9" t="s">
        <v>1045</v>
      </c>
      <c r="G2187" s="11">
        <v>46238</v>
      </c>
      <c r="H2187" s="12">
        <v>47.62</v>
      </c>
      <c r="I2187" s="12">
        <v>42.38</v>
      </c>
      <c r="J2187" s="9" t="s">
        <v>3</v>
      </c>
      <c r="K2187" s="8">
        <v>0</v>
      </c>
    </row>
    <row r="2188" spans="1:11">
      <c r="A2188" s="2" t="s">
        <v>2740</v>
      </c>
      <c r="B2188" s="2" t="s">
        <v>3441</v>
      </c>
      <c r="C2188" s="9">
        <v>10076543</v>
      </c>
      <c r="D2188" s="2" t="s">
        <v>3453</v>
      </c>
      <c r="E2188" s="10">
        <v>12</v>
      </c>
      <c r="F2188" s="9" t="s">
        <v>982</v>
      </c>
      <c r="G2188" s="11">
        <v>46238</v>
      </c>
      <c r="H2188" s="12">
        <v>47.62</v>
      </c>
      <c r="I2188" s="12">
        <v>42.38</v>
      </c>
      <c r="J2188" s="9" t="s">
        <v>3</v>
      </c>
      <c r="K2188" s="8">
        <v>0</v>
      </c>
    </row>
    <row r="2189" spans="1:11">
      <c r="A2189" s="2" t="s">
        <v>2740</v>
      </c>
      <c r="B2189" s="2" t="s">
        <v>3441</v>
      </c>
      <c r="C2189" s="9">
        <v>10076555</v>
      </c>
      <c r="D2189" s="2" t="s">
        <v>3454</v>
      </c>
      <c r="E2189" s="10">
        <v>12</v>
      </c>
      <c r="F2189" s="9" t="s">
        <v>1045</v>
      </c>
      <c r="G2189" s="11">
        <v>46238</v>
      </c>
      <c r="H2189" s="12">
        <v>39.97</v>
      </c>
      <c r="I2189" s="12">
        <v>35.57</v>
      </c>
      <c r="J2189" s="9" t="s">
        <v>3</v>
      </c>
      <c r="K2189" s="8">
        <v>0</v>
      </c>
    </row>
    <row r="2190" spans="1:11">
      <c r="A2190" s="2" t="s">
        <v>2740</v>
      </c>
      <c r="B2190" s="2" t="s">
        <v>3441</v>
      </c>
      <c r="C2190" s="9">
        <v>10076566</v>
      </c>
      <c r="D2190" s="2" t="s">
        <v>3455</v>
      </c>
      <c r="E2190" s="10">
        <v>12</v>
      </c>
      <c r="F2190" s="9" t="s">
        <v>995</v>
      </c>
      <c r="G2190" s="11">
        <v>46238</v>
      </c>
      <c r="H2190" s="12">
        <v>87.51</v>
      </c>
      <c r="I2190" s="12">
        <v>77.88</v>
      </c>
      <c r="J2190" s="9" t="s">
        <v>3</v>
      </c>
      <c r="K2190" s="8">
        <v>0</v>
      </c>
    </row>
    <row r="2191" spans="1:11">
      <c r="A2191" s="2" t="s">
        <v>2740</v>
      </c>
      <c r="B2191" s="2" t="s">
        <v>3441</v>
      </c>
      <c r="C2191" s="9">
        <v>10076569</v>
      </c>
      <c r="D2191" s="2" t="s">
        <v>3456</v>
      </c>
      <c r="E2191" s="10">
        <v>12</v>
      </c>
      <c r="F2191" s="9" t="s">
        <v>1045</v>
      </c>
      <c r="G2191" s="11">
        <v>46238</v>
      </c>
      <c r="H2191" s="12">
        <v>39.97</v>
      </c>
      <c r="I2191" s="12">
        <v>35.57</v>
      </c>
      <c r="J2191" s="9" t="s">
        <v>3</v>
      </c>
      <c r="K2191" s="8">
        <v>0</v>
      </c>
    </row>
    <row r="2192" spans="1:11">
      <c r="A2192" s="2" t="s">
        <v>2740</v>
      </c>
      <c r="B2192" s="2" t="s">
        <v>3441</v>
      </c>
      <c r="C2192" s="9">
        <v>10076590</v>
      </c>
      <c r="D2192" s="2" t="s">
        <v>3457</v>
      </c>
      <c r="E2192" s="10">
        <v>24</v>
      </c>
      <c r="F2192" s="9" t="s">
        <v>982</v>
      </c>
      <c r="G2192" s="11">
        <v>46238</v>
      </c>
      <c r="H2192" s="12">
        <v>70.319999999999993</v>
      </c>
      <c r="I2192" s="12">
        <v>62.64</v>
      </c>
      <c r="J2192" s="9" t="s">
        <v>3</v>
      </c>
      <c r="K2192" s="8">
        <v>0</v>
      </c>
    </row>
    <row r="2193" spans="1:11">
      <c r="A2193" s="2" t="s">
        <v>2740</v>
      </c>
      <c r="B2193" s="2" t="s">
        <v>3441</v>
      </c>
      <c r="C2193" s="9">
        <v>10076595</v>
      </c>
      <c r="D2193" s="2" t="s">
        <v>3458</v>
      </c>
      <c r="E2193" s="10">
        <v>6</v>
      </c>
      <c r="F2193" s="9" t="s">
        <v>1367</v>
      </c>
      <c r="G2193" s="11">
        <v>46238</v>
      </c>
      <c r="H2193" s="12">
        <v>107.81</v>
      </c>
      <c r="I2193" s="12">
        <v>95.95</v>
      </c>
      <c r="J2193" s="9" t="s">
        <v>3</v>
      </c>
      <c r="K2193" s="8">
        <v>0</v>
      </c>
    </row>
    <row r="2194" spans="1:11">
      <c r="A2194" s="2" t="s">
        <v>2740</v>
      </c>
      <c r="B2194" s="2" t="s">
        <v>3441</v>
      </c>
      <c r="C2194" s="9">
        <v>10076596</v>
      </c>
      <c r="D2194" s="2" t="s">
        <v>3459</v>
      </c>
      <c r="E2194" s="10">
        <v>150</v>
      </c>
      <c r="F2194" s="9" t="s">
        <v>3460</v>
      </c>
      <c r="G2194" s="11">
        <v>46238</v>
      </c>
      <c r="H2194" s="12">
        <v>81</v>
      </c>
      <c r="I2194" s="12">
        <v>72</v>
      </c>
      <c r="J2194" s="9" t="s">
        <v>3</v>
      </c>
      <c r="K2194" s="8">
        <v>0</v>
      </c>
    </row>
    <row r="2195" spans="1:11">
      <c r="A2195" s="2" t="s">
        <v>2740</v>
      </c>
      <c r="B2195" s="2" t="s">
        <v>3441</v>
      </c>
      <c r="C2195" s="9">
        <v>10076606</v>
      </c>
      <c r="D2195" s="2" t="s">
        <v>3461</v>
      </c>
      <c r="E2195" s="10">
        <v>12</v>
      </c>
      <c r="F2195" s="9" t="s">
        <v>909</v>
      </c>
      <c r="G2195" s="11">
        <v>46238</v>
      </c>
      <c r="H2195" s="12">
        <v>41.66</v>
      </c>
      <c r="I2195" s="12">
        <v>37.08</v>
      </c>
      <c r="J2195" s="9" t="s">
        <v>3</v>
      </c>
      <c r="K2195" s="8">
        <v>0</v>
      </c>
    </row>
    <row r="2196" spans="1:11">
      <c r="A2196" s="2" t="s">
        <v>2740</v>
      </c>
      <c r="B2196" s="2" t="s">
        <v>3441</v>
      </c>
      <c r="C2196" s="9">
        <v>10076634</v>
      </c>
      <c r="D2196" s="2" t="s">
        <v>3462</v>
      </c>
      <c r="E2196" s="10">
        <v>12</v>
      </c>
      <c r="F2196" s="9" t="s">
        <v>1944</v>
      </c>
      <c r="G2196" s="11">
        <v>46238</v>
      </c>
      <c r="H2196" s="12">
        <v>175.44</v>
      </c>
      <c r="I2196" s="12">
        <v>156.13999999999999</v>
      </c>
      <c r="J2196" s="9" t="s">
        <v>3</v>
      </c>
      <c r="K2196" s="8">
        <v>0</v>
      </c>
    </row>
    <row r="2197" spans="1:11">
      <c r="A2197" s="2" t="s">
        <v>2740</v>
      </c>
      <c r="B2197" s="2" t="s">
        <v>3441</v>
      </c>
      <c r="C2197" s="9">
        <v>10076646</v>
      </c>
      <c r="D2197" s="2" t="s">
        <v>3463</v>
      </c>
      <c r="E2197" s="10">
        <v>12</v>
      </c>
      <c r="F2197" s="9" t="s">
        <v>1367</v>
      </c>
      <c r="G2197" s="11">
        <v>46238</v>
      </c>
      <c r="H2197" s="12">
        <v>163.63999999999999</v>
      </c>
      <c r="I2197" s="12">
        <v>145.63999999999999</v>
      </c>
      <c r="J2197" s="9" t="s">
        <v>3</v>
      </c>
      <c r="K2197" s="8">
        <v>0</v>
      </c>
    </row>
    <row r="2198" spans="1:11">
      <c r="A2198" s="2" t="s">
        <v>2740</v>
      </c>
      <c r="B2198" s="2" t="s">
        <v>3441</v>
      </c>
      <c r="C2198" s="9">
        <v>10076673</v>
      </c>
      <c r="D2198" s="2" t="s">
        <v>3464</v>
      </c>
      <c r="E2198" s="10">
        <v>12</v>
      </c>
      <c r="F2198" s="9" t="s">
        <v>728</v>
      </c>
      <c r="G2198" s="11">
        <v>46238</v>
      </c>
      <c r="H2198" s="12">
        <v>129.15</v>
      </c>
      <c r="I2198" s="12">
        <v>109.22</v>
      </c>
      <c r="J2198" s="9" t="s">
        <v>3</v>
      </c>
      <c r="K2198" s="8">
        <v>0</v>
      </c>
    </row>
    <row r="2199" spans="1:11">
      <c r="A2199" s="2" t="s">
        <v>2740</v>
      </c>
      <c r="B2199" s="2" t="s">
        <v>3441</v>
      </c>
      <c r="C2199" s="9">
        <v>10076699</v>
      </c>
      <c r="D2199" s="2" t="s">
        <v>3465</v>
      </c>
      <c r="E2199" s="10">
        <v>12</v>
      </c>
      <c r="F2199" s="9" t="s">
        <v>1045</v>
      </c>
      <c r="G2199" s="11">
        <v>46238</v>
      </c>
      <c r="H2199" s="12">
        <v>39.97</v>
      </c>
      <c r="I2199" s="12">
        <v>35.57</v>
      </c>
      <c r="J2199" s="9" t="s">
        <v>3</v>
      </c>
      <c r="K2199" s="8">
        <v>0</v>
      </c>
    </row>
    <row r="2200" spans="1:11">
      <c r="A2200" s="2" t="s">
        <v>2740</v>
      </c>
      <c r="B2200" s="2" t="s">
        <v>3441</v>
      </c>
      <c r="C2200" s="9">
        <v>10076701</v>
      </c>
      <c r="D2200" s="2" t="s">
        <v>3466</v>
      </c>
      <c r="E2200" s="10">
        <v>12</v>
      </c>
      <c r="F2200" s="9" t="s">
        <v>982</v>
      </c>
      <c r="G2200" s="11">
        <v>46238</v>
      </c>
      <c r="H2200" s="12">
        <v>52.57</v>
      </c>
      <c r="I2200" s="12">
        <v>46.79</v>
      </c>
      <c r="J2200" s="9" t="s">
        <v>3</v>
      </c>
      <c r="K2200" s="8">
        <v>0</v>
      </c>
    </row>
    <row r="2201" spans="1:11">
      <c r="A2201" s="2" t="s">
        <v>2740</v>
      </c>
      <c r="B2201" s="2" t="s">
        <v>3441</v>
      </c>
      <c r="C2201" s="9">
        <v>10076703</v>
      </c>
      <c r="D2201" s="2" t="s">
        <v>3467</v>
      </c>
      <c r="E2201" s="10">
        <v>12</v>
      </c>
      <c r="F2201" s="9" t="s">
        <v>982</v>
      </c>
      <c r="G2201" s="11">
        <v>46238</v>
      </c>
      <c r="H2201" s="12">
        <v>52.57</v>
      </c>
      <c r="I2201" s="12">
        <v>46.79</v>
      </c>
      <c r="J2201" s="9" t="s">
        <v>3</v>
      </c>
      <c r="K2201" s="8">
        <v>0</v>
      </c>
    </row>
    <row r="2202" spans="1:11">
      <c r="A2202" s="2" t="s">
        <v>2740</v>
      </c>
      <c r="B2202" s="2" t="s">
        <v>3441</v>
      </c>
      <c r="C2202" s="9">
        <v>10076712</v>
      </c>
      <c r="D2202" s="2" t="s">
        <v>3468</v>
      </c>
      <c r="E2202" s="10">
        <v>12</v>
      </c>
      <c r="F2202" s="9" t="s">
        <v>982</v>
      </c>
      <c r="G2202" s="11">
        <v>46238</v>
      </c>
      <c r="H2202" s="12">
        <v>52.57</v>
      </c>
      <c r="I2202" s="12">
        <v>46.79</v>
      </c>
      <c r="J2202" s="9" t="s">
        <v>3</v>
      </c>
      <c r="K2202" s="8">
        <v>0</v>
      </c>
    </row>
    <row r="2203" spans="1:11">
      <c r="A2203" s="2" t="s">
        <v>2740</v>
      </c>
      <c r="B2203" s="2" t="s">
        <v>3441</v>
      </c>
      <c r="C2203" s="9">
        <v>10076781</v>
      </c>
      <c r="D2203" s="2" t="s">
        <v>3469</v>
      </c>
      <c r="E2203" s="10">
        <v>12</v>
      </c>
      <c r="F2203" s="9" t="s">
        <v>1045</v>
      </c>
      <c r="G2203" s="11">
        <v>46238</v>
      </c>
      <c r="H2203" s="12">
        <v>39.97</v>
      </c>
      <c r="I2203" s="12">
        <v>35.57</v>
      </c>
      <c r="J2203" s="9" t="s">
        <v>3</v>
      </c>
      <c r="K2203" s="8">
        <v>0</v>
      </c>
    </row>
    <row r="2204" spans="1:11">
      <c r="A2204" s="2" t="s">
        <v>2740</v>
      </c>
      <c r="B2204" s="2" t="s">
        <v>3441</v>
      </c>
      <c r="C2204" s="9">
        <v>10076782</v>
      </c>
      <c r="D2204" s="2" t="s">
        <v>3470</v>
      </c>
      <c r="E2204" s="10">
        <v>12</v>
      </c>
      <c r="F2204" s="9" t="s">
        <v>1045</v>
      </c>
      <c r="G2204" s="11">
        <v>46238</v>
      </c>
      <c r="H2204" s="12">
        <v>39.97</v>
      </c>
      <c r="I2204" s="12">
        <v>35.57</v>
      </c>
      <c r="J2204" s="9" t="s">
        <v>3</v>
      </c>
      <c r="K2204" s="8">
        <v>0</v>
      </c>
    </row>
    <row r="2205" spans="1:11">
      <c r="A2205" s="2" t="s">
        <v>2740</v>
      </c>
      <c r="B2205" s="2" t="s">
        <v>3441</v>
      </c>
      <c r="C2205" s="9">
        <v>10076839</v>
      </c>
      <c r="D2205" s="2" t="s">
        <v>3471</v>
      </c>
      <c r="E2205" s="10">
        <v>12</v>
      </c>
      <c r="F2205" s="9" t="s">
        <v>982</v>
      </c>
      <c r="G2205" s="11">
        <v>46238</v>
      </c>
      <c r="H2205" s="12">
        <v>52.57</v>
      </c>
      <c r="I2205" s="12">
        <v>46.79</v>
      </c>
      <c r="J2205" s="9" t="s">
        <v>3</v>
      </c>
      <c r="K2205" s="8">
        <v>0</v>
      </c>
    </row>
    <row r="2206" spans="1:11">
      <c r="A2206" s="2" t="s">
        <v>663</v>
      </c>
      <c r="B2206" s="2" t="s">
        <v>726</v>
      </c>
      <c r="C2206" s="9">
        <v>10076880</v>
      </c>
      <c r="D2206" s="2" t="s">
        <v>3472</v>
      </c>
      <c r="E2206" s="10">
        <v>6</v>
      </c>
      <c r="F2206" s="9" t="s">
        <v>759</v>
      </c>
      <c r="G2206" s="11">
        <v>46238</v>
      </c>
      <c r="H2206" s="12">
        <v>35.01</v>
      </c>
      <c r="I2206" s="12">
        <v>30.46</v>
      </c>
      <c r="J2206" s="9" t="s">
        <v>3</v>
      </c>
      <c r="K2206" s="8">
        <v>0</v>
      </c>
    </row>
    <row r="2207" spans="1:11">
      <c r="A2207" s="2" t="s">
        <v>663</v>
      </c>
      <c r="B2207" s="2" t="s">
        <v>726</v>
      </c>
      <c r="C2207" s="9">
        <v>10076881</v>
      </c>
      <c r="D2207" s="2" t="s">
        <v>3473</v>
      </c>
      <c r="E2207" s="10">
        <v>6</v>
      </c>
      <c r="F2207" s="9" t="s">
        <v>759</v>
      </c>
      <c r="G2207" s="11">
        <v>46238</v>
      </c>
      <c r="H2207" s="12">
        <v>35.01</v>
      </c>
      <c r="I2207" s="12">
        <v>30.46</v>
      </c>
      <c r="J2207" s="9" t="s">
        <v>3</v>
      </c>
      <c r="K2207" s="8">
        <v>0</v>
      </c>
    </row>
    <row r="2208" spans="1:11">
      <c r="A2208" s="2" t="s">
        <v>663</v>
      </c>
      <c r="B2208" s="2" t="s">
        <v>726</v>
      </c>
      <c r="C2208" s="9">
        <v>10076883</v>
      </c>
      <c r="D2208" s="2" t="s">
        <v>3474</v>
      </c>
      <c r="E2208" s="10">
        <v>6</v>
      </c>
      <c r="F2208" s="9" t="s">
        <v>3475</v>
      </c>
      <c r="G2208" s="11">
        <v>46238</v>
      </c>
      <c r="H2208" s="12">
        <v>29.93</v>
      </c>
      <c r="I2208" s="12">
        <v>26.04</v>
      </c>
      <c r="J2208" s="9" t="s">
        <v>3</v>
      </c>
      <c r="K2208" s="8">
        <v>0</v>
      </c>
    </row>
    <row r="2209" spans="1:11">
      <c r="A2209" s="2" t="s">
        <v>663</v>
      </c>
      <c r="B2209" s="2" t="s">
        <v>726</v>
      </c>
      <c r="C2209" s="9">
        <v>10076903</v>
      </c>
      <c r="D2209" s="2" t="s">
        <v>3476</v>
      </c>
      <c r="E2209" s="10">
        <v>6</v>
      </c>
      <c r="F2209" s="9" t="s">
        <v>728</v>
      </c>
      <c r="G2209" s="11">
        <v>46238</v>
      </c>
      <c r="H2209" s="12">
        <v>23.6</v>
      </c>
      <c r="I2209" s="12">
        <v>21</v>
      </c>
      <c r="J2209" s="9" t="s">
        <v>3</v>
      </c>
      <c r="K2209" s="8">
        <v>0</v>
      </c>
    </row>
    <row r="2210" spans="1:11">
      <c r="A2210" s="2" t="s">
        <v>663</v>
      </c>
      <c r="B2210" s="2" t="s">
        <v>726</v>
      </c>
      <c r="C2210" s="9">
        <v>10076905</v>
      </c>
      <c r="D2210" s="2" t="s">
        <v>3477</v>
      </c>
      <c r="E2210" s="10">
        <v>6</v>
      </c>
      <c r="F2210" s="9" t="s">
        <v>728</v>
      </c>
      <c r="G2210" s="11">
        <v>46238</v>
      </c>
      <c r="H2210" s="12">
        <v>26.57</v>
      </c>
      <c r="I2210" s="12">
        <v>23.65</v>
      </c>
      <c r="J2210" s="9" t="s">
        <v>3</v>
      </c>
      <c r="K2210" s="8">
        <v>0</v>
      </c>
    </row>
    <row r="2211" spans="1:11">
      <c r="A2211" s="2" t="s">
        <v>663</v>
      </c>
      <c r="B2211" s="2" t="s">
        <v>726</v>
      </c>
      <c r="C2211" s="9">
        <v>10076907</v>
      </c>
      <c r="D2211" s="2" t="s">
        <v>3478</v>
      </c>
      <c r="E2211" s="10">
        <v>6</v>
      </c>
      <c r="F2211" s="9" t="s">
        <v>3479</v>
      </c>
      <c r="G2211" s="11">
        <v>46238</v>
      </c>
      <c r="H2211" s="12">
        <v>35.01</v>
      </c>
      <c r="I2211" s="12">
        <v>30.46</v>
      </c>
      <c r="J2211" s="9" t="s">
        <v>3</v>
      </c>
      <c r="K2211" s="8">
        <v>0</v>
      </c>
    </row>
    <row r="2212" spans="1:11">
      <c r="A2212" s="2" t="s">
        <v>663</v>
      </c>
      <c r="B2212" s="2" t="s">
        <v>726</v>
      </c>
      <c r="C2212" s="9">
        <v>10076923</v>
      </c>
      <c r="D2212" s="2" t="s">
        <v>3480</v>
      </c>
      <c r="E2212" s="10">
        <v>1</v>
      </c>
      <c r="F2212" s="9" t="s">
        <v>3481</v>
      </c>
      <c r="G2212" s="11">
        <v>46238</v>
      </c>
      <c r="H2212" s="12">
        <v>28.7</v>
      </c>
      <c r="I2212" s="12">
        <v>24.97</v>
      </c>
      <c r="J2212" s="9" t="s">
        <v>3</v>
      </c>
      <c r="K2212" s="8">
        <v>0</v>
      </c>
    </row>
    <row r="2213" spans="1:11">
      <c r="A2213" s="2" t="s">
        <v>663</v>
      </c>
      <c r="B2213" s="2" t="s">
        <v>726</v>
      </c>
      <c r="C2213" s="9">
        <v>10076934</v>
      </c>
      <c r="D2213" s="2" t="s">
        <v>3482</v>
      </c>
      <c r="E2213" s="10">
        <v>6</v>
      </c>
      <c r="F2213" s="9" t="s">
        <v>3483</v>
      </c>
      <c r="G2213" s="11">
        <v>46238</v>
      </c>
      <c r="H2213" s="12">
        <v>43.34</v>
      </c>
      <c r="I2213" s="12">
        <v>37.71</v>
      </c>
      <c r="J2213" s="9" t="s">
        <v>3</v>
      </c>
      <c r="K2213" s="8">
        <v>0</v>
      </c>
    </row>
    <row r="2214" spans="1:11">
      <c r="A2214" s="2" t="s">
        <v>663</v>
      </c>
      <c r="B2214" s="2" t="s">
        <v>3484</v>
      </c>
      <c r="C2214" s="9">
        <v>10076946</v>
      </c>
      <c r="D2214" s="2" t="s">
        <v>3485</v>
      </c>
      <c r="E2214" s="10">
        <v>4</v>
      </c>
      <c r="F2214" s="9" t="s">
        <v>2833</v>
      </c>
      <c r="G2214" s="11">
        <v>46238</v>
      </c>
      <c r="H2214" s="12">
        <v>16.96</v>
      </c>
      <c r="I2214" s="12">
        <v>15.69</v>
      </c>
      <c r="J2214" s="9" t="s">
        <v>3</v>
      </c>
      <c r="K2214" s="8">
        <v>0</v>
      </c>
    </row>
    <row r="2215" spans="1:11">
      <c r="A2215" s="2" t="s">
        <v>663</v>
      </c>
      <c r="B2215" s="2" t="s">
        <v>726</v>
      </c>
      <c r="C2215" s="9">
        <v>10076948</v>
      </c>
      <c r="D2215" s="2" t="s">
        <v>3486</v>
      </c>
      <c r="E2215" s="10">
        <v>6</v>
      </c>
      <c r="F2215" s="9" t="s">
        <v>3487</v>
      </c>
      <c r="G2215" s="11">
        <v>46238</v>
      </c>
      <c r="H2215" s="12">
        <v>37.549999999999997</v>
      </c>
      <c r="I2215" s="12">
        <v>32.67</v>
      </c>
      <c r="J2215" s="9" t="s">
        <v>3</v>
      </c>
      <c r="K2215" s="8">
        <v>0</v>
      </c>
    </row>
    <row r="2216" spans="1:11">
      <c r="A2216" s="2" t="s">
        <v>2740</v>
      </c>
      <c r="B2216" s="2" t="s">
        <v>3441</v>
      </c>
      <c r="C2216" s="9">
        <v>10076954</v>
      </c>
      <c r="D2216" s="2" t="s">
        <v>3488</v>
      </c>
      <c r="E2216" s="10">
        <v>12</v>
      </c>
      <c r="F2216" s="9" t="s">
        <v>982</v>
      </c>
      <c r="G2216" s="11">
        <v>46238</v>
      </c>
      <c r="H2216" s="12">
        <v>80.3</v>
      </c>
      <c r="I2216" s="12">
        <v>71.47</v>
      </c>
      <c r="J2216" s="9" t="s">
        <v>3</v>
      </c>
      <c r="K2216" s="8">
        <v>0</v>
      </c>
    </row>
    <row r="2217" spans="1:11">
      <c r="A2217" s="2" t="s">
        <v>2740</v>
      </c>
      <c r="B2217" s="2" t="s">
        <v>3441</v>
      </c>
      <c r="C2217" s="9">
        <v>10076955</v>
      </c>
      <c r="D2217" s="2" t="s">
        <v>3489</v>
      </c>
      <c r="E2217" s="10">
        <v>12</v>
      </c>
      <c r="F2217" s="9" t="s">
        <v>982</v>
      </c>
      <c r="G2217" s="11">
        <v>46238</v>
      </c>
      <c r="H2217" s="12">
        <v>80.3</v>
      </c>
      <c r="I2217" s="12">
        <v>71.47</v>
      </c>
      <c r="J2217" s="9" t="s">
        <v>3</v>
      </c>
      <c r="K2217" s="8">
        <v>0</v>
      </c>
    </row>
    <row r="2218" spans="1:11">
      <c r="A2218" s="2" t="s">
        <v>663</v>
      </c>
      <c r="B2218" s="2" t="s">
        <v>726</v>
      </c>
      <c r="C2218" s="9">
        <v>10076956</v>
      </c>
      <c r="D2218" s="2" t="s">
        <v>3490</v>
      </c>
      <c r="E2218" s="10">
        <v>6</v>
      </c>
      <c r="F2218" s="9" t="s">
        <v>3491</v>
      </c>
      <c r="G2218" s="11">
        <v>46238</v>
      </c>
      <c r="H2218" s="12">
        <v>37.549999999999997</v>
      </c>
      <c r="I2218" s="12">
        <v>32.67</v>
      </c>
      <c r="J2218" s="9" t="s">
        <v>3</v>
      </c>
      <c r="K2218" s="8">
        <v>0</v>
      </c>
    </row>
    <row r="2219" spans="1:11">
      <c r="A2219" s="2" t="s">
        <v>2740</v>
      </c>
      <c r="B2219" s="2" t="s">
        <v>3441</v>
      </c>
      <c r="C2219" s="9">
        <v>10076961</v>
      </c>
      <c r="D2219" s="2" t="s">
        <v>3492</v>
      </c>
      <c r="E2219" s="10">
        <v>10</v>
      </c>
      <c r="F2219" s="9" t="s">
        <v>982</v>
      </c>
      <c r="G2219" s="11">
        <v>46238</v>
      </c>
      <c r="H2219" s="12">
        <v>53.62</v>
      </c>
      <c r="I2219" s="12">
        <v>47.72</v>
      </c>
      <c r="J2219" s="9" t="s">
        <v>3</v>
      </c>
      <c r="K2219" s="8">
        <v>0</v>
      </c>
    </row>
    <row r="2220" spans="1:11">
      <c r="A2220" s="2" t="s">
        <v>2740</v>
      </c>
      <c r="B2220" s="2" t="s">
        <v>3441</v>
      </c>
      <c r="C2220" s="9">
        <v>10076980</v>
      </c>
      <c r="D2220" s="2" t="s">
        <v>3493</v>
      </c>
      <c r="E2220" s="10">
        <v>6</v>
      </c>
      <c r="F2220" s="9" t="s">
        <v>2587</v>
      </c>
      <c r="G2220" s="11">
        <v>46238</v>
      </c>
      <c r="H2220" s="12">
        <v>71.78</v>
      </c>
      <c r="I2220" s="12">
        <v>63.88</v>
      </c>
      <c r="J2220" s="9" t="s">
        <v>3</v>
      </c>
      <c r="K2220" s="8">
        <v>0</v>
      </c>
    </row>
    <row r="2221" spans="1:11">
      <c r="A2221" s="2" t="s">
        <v>663</v>
      </c>
      <c r="B2221" s="2" t="s">
        <v>726</v>
      </c>
      <c r="C2221" s="9">
        <v>10077079</v>
      </c>
      <c r="D2221" s="2" t="s">
        <v>3494</v>
      </c>
      <c r="E2221" s="10">
        <v>24</v>
      </c>
      <c r="F2221" s="9" t="s">
        <v>3495</v>
      </c>
      <c r="G2221" s="11">
        <v>46238</v>
      </c>
      <c r="H2221" s="12">
        <v>24.36</v>
      </c>
      <c r="I2221" s="12">
        <v>21.19</v>
      </c>
      <c r="J2221" s="9" t="s">
        <v>3</v>
      </c>
      <c r="K2221" s="8">
        <v>0</v>
      </c>
    </row>
    <row r="2222" spans="1:11">
      <c r="A2222" s="2" t="s">
        <v>891</v>
      </c>
      <c r="B2222" s="2" t="s">
        <v>3496</v>
      </c>
      <c r="C2222" s="9">
        <v>10077081</v>
      </c>
      <c r="D2222" s="2" t="s">
        <v>3497</v>
      </c>
      <c r="E2222" s="10">
        <v>30</v>
      </c>
      <c r="F2222" s="9" t="s">
        <v>3498</v>
      </c>
      <c r="G2222" s="11">
        <v>46238</v>
      </c>
      <c r="H2222" s="12">
        <v>67.739999999999995</v>
      </c>
      <c r="I2222" s="12">
        <v>60.35</v>
      </c>
      <c r="J2222" s="9" t="s">
        <v>3</v>
      </c>
      <c r="K2222" s="8">
        <v>0</v>
      </c>
    </row>
    <row r="2223" spans="1:11">
      <c r="A2223" s="2" t="s">
        <v>663</v>
      </c>
      <c r="B2223" s="2" t="s">
        <v>726</v>
      </c>
      <c r="C2223" s="9">
        <v>10077083</v>
      </c>
      <c r="D2223" s="2" t="s">
        <v>3499</v>
      </c>
      <c r="E2223" s="10">
        <v>6</v>
      </c>
      <c r="F2223" s="9" t="s">
        <v>995</v>
      </c>
      <c r="G2223" s="11">
        <v>46238</v>
      </c>
      <c r="H2223" s="12">
        <v>22.31</v>
      </c>
      <c r="I2223" s="12">
        <v>19.86</v>
      </c>
      <c r="J2223" s="9" t="s">
        <v>3</v>
      </c>
      <c r="K2223" s="8">
        <v>0</v>
      </c>
    </row>
    <row r="2224" spans="1:11">
      <c r="A2224" s="2" t="s">
        <v>2740</v>
      </c>
      <c r="B2224" s="2" t="s">
        <v>3441</v>
      </c>
      <c r="C2224" s="9">
        <v>10077927</v>
      </c>
      <c r="D2224" s="2" t="s">
        <v>3500</v>
      </c>
      <c r="E2224" s="10">
        <v>12</v>
      </c>
      <c r="F2224" s="9" t="s">
        <v>1045</v>
      </c>
      <c r="G2224" s="11">
        <v>46238</v>
      </c>
      <c r="H2224" s="12">
        <v>62.81</v>
      </c>
      <c r="I2224" s="12">
        <v>54.61</v>
      </c>
      <c r="J2224" s="9" t="s">
        <v>3</v>
      </c>
      <c r="K2224" s="8">
        <v>0</v>
      </c>
    </row>
    <row r="2225" spans="1:11">
      <c r="A2225" s="2" t="s">
        <v>2740</v>
      </c>
      <c r="B2225" s="2" t="s">
        <v>3441</v>
      </c>
      <c r="C2225" s="9">
        <v>10077936</v>
      </c>
      <c r="D2225" s="2" t="s">
        <v>3501</v>
      </c>
      <c r="E2225" s="10">
        <v>12</v>
      </c>
      <c r="F2225" s="9" t="s">
        <v>982</v>
      </c>
      <c r="G2225" s="11">
        <v>46238</v>
      </c>
      <c r="H2225" s="12">
        <v>52.57</v>
      </c>
      <c r="I2225" s="12">
        <v>46.79</v>
      </c>
      <c r="J2225" s="9" t="s">
        <v>3</v>
      </c>
      <c r="K2225" s="8">
        <v>0</v>
      </c>
    </row>
    <row r="2226" spans="1:11">
      <c r="A2226" s="2" t="s">
        <v>2740</v>
      </c>
      <c r="B2226" s="2" t="s">
        <v>3441</v>
      </c>
      <c r="C2226" s="9">
        <v>10077937</v>
      </c>
      <c r="D2226" s="2" t="s">
        <v>3502</v>
      </c>
      <c r="E2226" s="10">
        <v>6</v>
      </c>
      <c r="F2226" s="9" t="s">
        <v>866</v>
      </c>
      <c r="G2226" s="11">
        <v>46238</v>
      </c>
      <c r="H2226" s="12">
        <v>87.72</v>
      </c>
      <c r="I2226" s="12">
        <v>78.069999999999993</v>
      </c>
      <c r="J2226" s="9" t="s">
        <v>3</v>
      </c>
      <c r="K2226" s="8">
        <v>0</v>
      </c>
    </row>
    <row r="2227" spans="1:11">
      <c r="A2227" s="2" t="s">
        <v>2740</v>
      </c>
      <c r="B2227" s="2" t="s">
        <v>3441</v>
      </c>
      <c r="C2227" s="9">
        <v>10077951</v>
      </c>
      <c r="D2227" s="2" t="s">
        <v>3503</v>
      </c>
      <c r="E2227" s="10">
        <v>10</v>
      </c>
      <c r="F2227" s="9" t="s">
        <v>982</v>
      </c>
      <c r="G2227" s="11">
        <v>46238</v>
      </c>
      <c r="H2227" s="12">
        <v>53.62</v>
      </c>
      <c r="I2227" s="12">
        <v>47.72</v>
      </c>
      <c r="J2227" s="9" t="s">
        <v>3</v>
      </c>
      <c r="K2227" s="8">
        <v>0</v>
      </c>
    </row>
    <row r="2228" spans="1:11">
      <c r="A2228" s="2" t="s">
        <v>2740</v>
      </c>
      <c r="B2228" s="2" t="s">
        <v>3441</v>
      </c>
      <c r="C2228" s="9">
        <v>10077956</v>
      </c>
      <c r="D2228" s="2" t="s">
        <v>3504</v>
      </c>
      <c r="E2228" s="10">
        <v>6</v>
      </c>
      <c r="F2228" s="9" t="s">
        <v>866</v>
      </c>
      <c r="G2228" s="11">
        <v>46238</v>
      </c>
      <c r="H2228" s="12">
        <v>87.72</v>
      </c>
      <c r="I2228" s="12">
        <v>78.069999999999993</v>
      </c>
      <c r="J2228" s="9" t="s">
        <v>3</v>
      </c>
      <c r="K2228" s="8">
        <v>0</v>
      </c>
    </row>
    <row r="2229" spans="1:11">
      <c r="A2229" s="2" t="s">
        <v>2740</v>
      </c>
      <c r="B2229" s="2" t="s">
        <v>3441</v>
      </c>
      <c r="C2229" s="9">
        <v>10077957</v>
      </c>
      <c r="D2229" s="2" t="s">
        <v>3505</v>
      </c>
      <c r="E2229" s="10">
        <v>6</v>
      </c>
      <c r="F2229" s="9" t="s">
        <v>866</v>
      </c>
      <c r="G2229" s="11">
        <v>46238</v>
      </c>
      <c r="H2229" s="12">
        <v>87.72</v>
      </c>
      <c r="I2229" s="12">
        <v>78.069999999999993</v>
      </c>
      <c r="J2229" s="9" t="s">
        <v>3</v>
      </c>
      <c r="K2229" s="8">
        <v>0</v>
      </c>
    </row>
    <row r="2230" spans="1:11">
      <c r="A2230" s="2" t="s">
        <v>2740</v>
      </c>
      <c r="B2230" s="2" t="s">
        <v>3441</v>
      </c>
      <c r="C2230" s="9">
        <v>10077962</v>
      </c>
      <c r="D2230" s="2" t="s">
        <v>3506</v>
      </c>
      <c r="E2230" s="10">
        <v>12</v>
      </c>
      <c r="F2230" s="9" t="s">
        <v>1980</v>
      </c>
      <c r="G2230" s="11">
        <v>46238</v>
      </c>
      <c r="H2230" s="12">
        <v>47.62</v>
      </c>
      <c r="I2230" s="12">
        <v>42.38</v>
      </c>
      <c r="J2230" s="9" t="s">
        <v>3</v>
      </c>
      <c r="K2230" s="8">
        <v>0</v>
      </c>
    </row>
    <row r="2231" spans="1:11">
      <c r="A2231" s="2" t="s">
        <v>2740</v>
      </c>
      <c r="B2231" s="2" t="s">
        <v>3441</v>
      </c>
      <c r="C2231" s="9">
        <v>10078019</v>
      </c>
      <c r="D2231" s="2" t="s">
        <v>3507</v>
      </c>
      <c r="E2231" s="10">
        <v>6</v>
      </c>
      <c r="F2231" s="9" t="s">
        <v>3487</v>
      </c>
      <c r="G2231" s="11">
        <v>46238</v>
      </c>
      <c r="H2231" s="12">
        <v>134.27000000000001</v>
      </c>
      <c r="I2231" s="12">
        <v>119.5</v>
      </c>
      <c r="J2231" s="9" t="s">
        <v>3</v>
      </c>
      <c r="K2231" s="8">
        <v>0</v>
      </c>
    </row>
    <row r="2232" spans="1:11">
      <c r="A2232" s="2" t="s">
        <v>2740</v>
      </c>
      <c r="B2232" s="2" t="s">
        <v>3441</v>
      </c>
      <c r="C2232" s="9">
        <v>10079005</v>
      </c>
      <c r="D2232" s="2" t="s">
        <v>3508</v>
      </c>
      <c r="E2232" s="10">
        <v>12</v>
      </c>
      <c r="F2232" s="9" t="s">
        <v>917</v>
      </c>
      <c r="G2232" s="11">
        <v>46238</v>
      </c>
      <c r="H2232" s="12">
        <v>62.81</v>
      </c>
      <c r="I2232" s="12">
        <v>54.61</v>
      </c>
      <c r="J2232" s="9" t="s">
        <v>3</v>
      </c>
      <c r="K2232" s="8">
        <v>0</v>
      </c>
    </row>
    <row r="2233" spans="1:11">
      <c r="A2233" s="2" t="s">
        <v>2740</v>
      </c>
      <c r="B2233" s="2" t="s">
        <v>3441</v>
      </c>
      <c r="C2233" s="9">
        <v>10079006</v>
      </c>
      <c r="D2233" s="2" t="s">
        <v>3509</v>
      </c>
      <c r="E2233" s="10">
        <v>12</v>
      </c>
      <c r="F2233" s="9" t="s">
        <v>1045</v>
      </c>
      <c r="G2233" s="11">
        <v>46238</v>
      </c>
      <c r="H2233" s="12">
        <v>39.97</v>
      </c>
      <c r="I2233" s="12">
        <v>35.57</v>
      </c>
      <c r="J2233" s="9" t="s">
        <v>3</v>
      </c>
      <c r="K2233" s="8">
        <v>0</v>
      </c>
    </row>
    <row r="2234" spans="1:11">
      <c r="A2234" s="2" t="s">
        <v>2740</v>
      </c>
      <c r="B2234" s="2" t="s">
        <v>3441</v>
      </c>
      <c r="C2234" s="9">
        <v>10079008</v>
      </c>
      <c r="D2234" s="2" t="s">
        <v>3510</v>
      </c>
      <c r="E2234" s="10">
        <v>12</v>
      </c>
      <c r="F2234" s="9" t="s">
        <v>985</v>
      </c>
      <c r="G2234" s="11">
        <v>46238</v>
      </c>
      <c r="H2234" s="12">
        <v>118.04</v>
      </c>
      <c r="I2234" s="12">
        <v>105.06</v>
      </c>
      <c r="J2234" s="9" t="s">
        <v>3</v>
      </c>
      <c r="K2234" s="8">
        <v>0</v>
      </c>
    </row>
    <row r="2235" spans="1:11">
      <c r="A2235" s="2" t="s">
        <v>2740</v>
      </c>
      <c r="B2235" s="2" t="s">
        <v>3441</v>
      </c>
      <c r="C2235" s="9">
        <v>10079016</v>
      </c>
      <c r="D2235" s="2" t="s">
        <v>3511</v>
      </c>
      <c r="E2235" s="10">
        <v>12</v>
      </c>
      <c r="F2235" s="9" t="s">
        <v>982</v>
      </c>
      <c r="G2235" s="11">
        <v>46238</v>
      </c>
      <c r="H2235" s="12">
        <v>59.52</v>
      </c>
      <c r="I2235" s="12">
        <v>52.97</v>
      </c>
      <c r="J2235" s="9" t="s">
        <v>3</v>
      </c>
      <c r="K2235" s="8">
        <v>0</v>
      </c>
    </row>
    <row r="2236" spans="1:11">
      <c r="A2236" s="2" t="s">
        <v>2740</v>
      </c>
      <c r="B2236" s="2" t="s">
        <v>3441</v>
      </c>
      <c r="C2236" s="9">
        <v>10079017</v>
      </c>
      <c r="D2236" s="2" t="s">
        <v>3512</v>
      </c>
      <c r="E2236" s="10">
        <v>12</v>
      </c>
      <c r="F2236" s="9" t="s">
        <v>3513</v>
      </c>
      <c r="G2236" s="11">
        <v>46238</v>
      </c>
      <c r="H2236" s="12">
        <v>127.79</v>
      </c>
      <c r="I2236" s="12">
        <v>113.73</v>
      </c>
      <c r="J2236" s="9" t="s">
        <v>3</v>
      </c>
      <c r="K2236" s="8">
        <v>0</v>
      </c>
    </row>
    <row r="2237" spans="1:11">
      <c r="A2237" s="2" t="s">
        <v>2740</v>
      </c>
      <c r="B2237" s="2" t="s">
        <v>3441</v>
      </c>
      <c r="C2237" s="9">
        <v>10079018</v>
      </c>
      <c r="D2237" s="2" t="s">
        <v>3514</v>
      </c>
      <c r="E2237" s="10">
        <v>9</v>
      </c>
      <c r="F2237" s="9" t="s">
        <v>1430</v>
      </c>
      <c r="G2237" s="11">
        <v>46238</v>
      </c>
      <c r="H2237" s="12">
        <v>63.76</v>
      </c>
      <c r="I2237" s="12">
        <v>56.75</v>
      </c>
      <c r="J2237" s="9" t="s">
        <v>3</v>
      </c>
      <c r="K2237" s="8">
        <v>0</v>
      </c>
    </row>
    <row r="2238" spans="1:11">
      <c r="A2238" s="2" t="s">
        <v>2740</v>
      </c>
      <c r="B2238" s="2" t="s">
        <v>3441</v>
      </c>
      <c r="C2238" s="9">
        <v>10079019</v>
      </c>
      <c r="D2238" s="2" t="s">
        <v>3515</v>
      </c>
      <c r="E2238" s="10">
        <v>12</v>
      </c>
      <c r="F2238" s="9" t="s">
        <v>1584</v>
      </c>
      <c r="G2238" s="11">
        <v>46238</v>
      </c>
      <c r="H2238" s="12">
        <v>115.92</v>
      </c>
      <c r="I2238" s="12">
        <v>103.17</v>
      </c>
      <c r="J2238" s="9" t="s">
        <v>3</v>
      </c>
      <c r="K2238" s="8">
        <v>0</v>
      </c>
    </row>
    <row r="2239" spans="1:11">
      <c r="A2239" s="2" t="s">
        <v>2740</v>
      </c>
      <c r="B2239" s="2" t="s">
        <v>3441</v>
      </c>
      <c r="C2239" s="9">
        <v>10079021</v>
      </c>
      <c r="D2239" s="2" t="s">
        <v>3516</v>
      </c>
      <c r="E2239" s="10">
        <v>12</v>
      </c>
      <c r="F2239" s="9" t="s">
        <v>1760</v>
      </c>
      <c r="G2239" s="11">
        <v>46238</v>
      </c>
      <c r="H2239" s="12">
        <v>109.82</v>
      </c>
      <c r="I2239" s="12">
        <v>97.74</v>
      </c>
      <c r="J2239" s="9" t="s">
        <v>3</v>
      </c>
      <c r="K2239" s="8">
        <v>0</v>
      </c>
    </row>
    <row r="2240" spans="1:11">
      <c r="A2240" s="2" t="s">
        <v>2740</v>
      </c>
      <c r="B2240" s="2" t="s">
        <v>3441</v>
      </c>
      <c r="C2240" s="9">
        <v>10079023</v>
      </c>
      <c r="D2240" s="2" t="s">
        <v>3517</v>
      </c>
      <c r="E2240" s="10">
        <v>120</v>
      </c>
      <c r="F2240" s="9" t="s">
        <v>1691</v>
      </c>
      <c r="G2240" s="11">
        <v>46238</v>
      </c>
      <c r="H2240" s="12">
        <v>106.28</v>
      </c>
      <c r="I2240" s="12">
        <v>94.59</v>
      </c>
      <c r="J2240" s="9" t="s">
        <v>3</v>
      </c>
      <c r="K2240" s="8">
        <v>0</v>
      </c>
    </row>
    <row r="2241" spans="1:11">
      <c r="A2241" s="2" t="s">
        <v>2740</v>
      </c>
      <c r="B2241" s="2" t="s">
        <v>3441</v>
      </c>
      <c r="C2241" s="9">
        <v>10079024</v>
      </c>
      <c r="D2241" s="2" t="s">
        <v>3518</v>
      </c>
      <c r="E2241" s="10">
        <v>12</v>
      </c>
      <c r="F2241" s="9" t="s">
        <v>1217</v>
      </c>
      <c r="G2241" s="11">
        <v>46238</v>
      </c>
      <c r="H2241" s="12">
        <v>233.82</v>
      </c>
      <c r="I2241" s="12">
        <v>208.1</v>
      </c>
      <c r="J2241" s="9" t="s">
        <v>3</v>
      </c>
      <c r="K2241" s="8">
        <v>0</v>
      </c>
    </row>
    <row r="2242" spans="1:11">
      <c r="A2242" s="2" t="s">
        <v>2740</v>
      </c>
      <c r="B2242" s="2" t="s">
        <v>3441</v>
      </c>
      <c r="C2242" s="9">
        <v>10079130</v>
      </c>
      <c r="D2242" s="2" t="s">
        <v>3519</v>
      </c>
      <c r="E2242" s="10">
        <v>24</v>
      </c>
      <c r="F2242" s="9" t="s">
        <v>1691</v>
      </c>
      <c r="G2242" s="11">
        <v>46238</v>
      </c>
      <c r="H2242" s="12">
        <v>28.34</v>
      </c>
      <c r="I2242" s="12">
        <v>25.22</v>
      </c>
      <c r="J2242" s="9" t="s">
        <v>3</v>
      </c>
      <c r="K2242" s="8">
        <v>0</v>
      </c>
    </row>
    <row r="2243" spans="1:11">
      <c r="A2243" s="2" t="s">
        <v>708</v>
      </c>
      <c r="B2243" s="2" t="s">
        <v>2722</v>
      </c>
      <c r="C2243" s="9">
        <v>10080151</v>
      </c>
      <c r="D2243" s="2" t="s">
        <v>3520</v>
      </c>
      <c r="E2243" s="10">
        <v>6</v>
      </c>
      <c r="F2243" s="9" t="s">
        <v>3521</v>
      </c>
      <c r="G2243" s="11">
        <v>46238</v>
      </c>
      <c r="H2243" s="12">
        <v>45.11</v>
      </c>
      <c r="I2243" s="12">
        <v>40.15</v>
      </c>
      <c r="J2243" s="9" t="s">
        <v>3</v>
      </c>
      <c r="K2243" s="8">
        <v>0</v>
      </c>
    </row>
    <row r="2244" spans="1:11">
      <c r="A2244" s="2" t="s">
        <v>708</v>
      </c>
      <c r="B2244" s="2" t="s">
        <v>2722</v>
      </c>
      <c r="C2244" s="9">
        <v>10080154</v>
      </c>
      <c r="D2244" s="2" t="s">
        <v>3522</v>
      </c>
      <c r="E2244" s="10">
        <v>6</v>
      </c>
      <c r="F2244" s="9" t="s">
        <v>2138</v>
      </c>
      <c r="G2244" s="11">
        <v>46238</v>
      </c>
      <c r="H2244" s="12">
        <v>45.56</v>
      </c>
      <c r="I2244" s="12">
        <v>40.549999999999997</v>
      </c>
      <c r="J2244" s="9" t="s">
        <v>3</v>
      </c>
      <c r="K2244" s="8">
        <v>0</v>
      </c>
    </row>
    <row r="2245" spans="1:11">
      <c r="A2245" s="2" t="s">
        <v>708</v>
      </c>
      <c r="B2245" s="2" t="s">
        <v>2722</v>
      </c>
      <c r="C2245" s="9">
        <v>10080155</v>
      </c>
      <c r="D2245" s="2" t="s">
        <v>3523</v>
      </c>
      <c r="E2245" s="10">
        <v>6</v>
      </c>
      <c r="F2245" s="9" t="s">
        <v>759</v>
      </c>
      <c r="G2245" s="11">
        <v>46238</v>
      </c>
      <c r="H2245" s="12">
        <v>39.04</v>
      </c>
      <c r="I2245" s="12">
        <v>34.75</v>
      </c>
      <c r="J2245" s="9" t="s">
        <v>3</v>
      </c>
      <c r="K2245" s="8">
        <v>0</v>
      </c>
    </row>
    <row r="2246" spans="1:11">
      <c r="A2246" s="2" t="s">
        <v>708</v>
      </c>
      <c r="B2246" s="2" t="s">
        <v>2722</v>
      </c>
      <c r="C2246" s="9">
        <v>10080161</v>
      </c>
      <c r="D2246" s="2" t="s">
        <v>3524</v>
      </c>
      <c r="E2246" s="10">
        <v>6</v>
      </c>
      <c r="F2246" s="9" t="s">
        <v>2138</v>
      </c>
      <c r="G2246" s="11">
        <v>46238</v>
      </c>
      <c r="H2246" s="12">
        <v>45.56</v>
      </c>
      <c r="I2246" s="12">
        <v>40.549999999999997</v>
      </c>
      <c r="J2246" s="9" t="s">
        <v>3</v>
      </c>
      <c r="K2246" s="8">
        <v>0</v>
      </c>
    </row>
    <row r="2247" spans="1:11">
      <c r="A2247" s="2" t="s">
        <v>708</v>
      </c>
      <c r="B2247" s="2" t="s">
        <v>2722</v>
      </c>
      <c r="C2247" s="9">
        <v>10080172</v>
      </c>
      <c r="D2247" s="2" t="s">
        <v>3525</v>
      </c>
      <c r="E2247" s="10">
        <v>6</v>
      </c>
      <c r="F2247" s="9" t="s">
        <v>3526</v>
      </c>
      <c r="G2247" s="11">
        <v>46238</v>
      </c>
      <c r="H2247" s="12">
        <v>65.48</v>
      </c>
      <c r="I2247" s="12">
        <v>58.28</v>
      </c>
      <c r="J2247" s="9" t="s">
        <v>3</v>
      </c>
      <c r="K2247" s="8">
        <v>0</v>
      </c>
    </row>
    <row r="2248" spans="1:11">
      <c r="A2248" s="2" t="s">
        <v>708</v>
      </c>
      <c r="B2248" s="2" t="s">
        <v>2722</v>
      </c>
      <c r="C2248" s="9">
        <v>10080174</v>
      </c>
      <c r="D2248" s="2" t="s">
        <v>3527</v>
      </c>
      <c r="E2248" s="10">
        <v>6</v>
      </c>
      <c r="F2248" s="9" t="s">
        <v>3526</v>
      </c>
      <c r="G2248" s="11">
        <v>46238</v>
      </c>
      <c r="H2248" s="12">
        <v>65.48</v>
      </c>
      <c r="I2248" s="12">
        <v>58.28</v>
      </c>
      <c r="J2248" s="9" t="s">
        <v>3</v>
      </c>
      <c r="K2248" s="8">
        <v>0</v>
      </c>
    </row>
    <row r="2249" spans="1:11">
      <c r="A2249" s="2" t="s">
        <v>949</v>
      </c>
      <c r="B2249" s="2" t="s">
        <v>3528</v>
      </c>
      <c r="C2249" s="9">
        <v>10080180</v>
      </c>
      <c r="D2249" s="2" t="s">
        <v>3529</v>
      </c>
      <c r="E2249" s="10">
        <v>6</v>
      </c>
      <c r="F2249" s="9" t="s">
        <v>3530</v>
      </c>
      <c r="G2249" s="11">
        <v>46238</v>
      </c>
      <c r="H2249" s="12">
        <v>24.09</v>
      </c>
      <c r="I2249" s="12">
        <v>21.44</v>
      </c>
      <c r="J2249" s="9" t="s">
        <v>3</v>
      </c>
      <c r="K2249" s="8">
        <v>0</v>
      </c>
    </row>
    <row r="2250" spans="1:11">
      <c r="A2250" s="2" t="s">
        <v>949</v>
      </c>
      <c r="B2250" s="2" t="s">
        <v>3528</v>
      </c>
      <c r="C2250" s="9">
        <v>10080182</v>
      </c>
      <c r="D2250" s="2" t="s">
        <v>3531</v>
      </c>
      <c r="E2250" s="10">
        <v>6</v>
      </c>
      <c r="F2250" s="9" t="s">
        <v>3530</v>
      </c>
      <c r="G2250" s="11">
        <v>46238</v>
      </c>
      <c r="H2250" s="12">
        <v>24.09</v>
      </c>
      <c r="I2250" s="12">
        <v>21.44</v>
      </c>
      <c r="J2250" s="9" t="s">
        <v>3</v>
      </c>
      <c r="K2250" s="8">
        <v>0</v>
      </c>
    </row>
    <row r="2251" spans="1:11">
      <c r="A2251" s="2" t="s">
        <v>949</v>
      </c>
      <c r="B2251" s="2" t="s">
        <v>3528</v>
      </c>
      <c r="C2251" s="9">
        <v>10080183</v>
      </c>
      <c r="D2251" s="2" t="s">
        <v>3532</v>
      </c>
      <c r="E2251" s="10">
        <v>6</v>
      </c>
      <c r="F2251" s="9" t="s">
        <v>3530</v>
      </c>
      <c r="G2251" s="11">
        <v>46238</v>
      </c>
      <c r="H2251" s="12">
        <v>24.09</v>
      </c>
      <c r="I2251" s="12">
        <v>21.44</v>
      </c>
      <c r="J2251" s="9" t="s">
        <v>3</v>
      </c>
      <c r="K2251" s="8">
        <v>0</v>
      </c>
    </row>
    <row r="2252" spans="1:11">
      <c r="A2252" s="2" t="s">
        <v>949</v>
      </c>
      <c r="B2252" s="2" t="s">
        <v>3528</v>
      </c>
      <c r="C2252" s="9">
        <v>10080186</v>
      </c>
      <c r="D2252" s="2" t="s">
        <v>3533</v>
      </c>
      <c r="E2252" s="10">
        <v>6</v>
      </c>
      <c r="F2252" s="9" t="s">
        <v>3530</v>
      </c>
      <c r="G2252" s="11">
        <v>46238</v>
      </c>
      <c r="H2252" s="12">
        <v>24.09</v>
      </c>
      <c r="I2252" s="12">
        <v>21.44</v>
      </c>
      <c r="J2252" s="9" t="s">
        <v>3</v>
      </c>
      <c r="K2252" s="8">
        <v>0</v>
      </c>
    </row>
    <row r="2253" spans="1:11">
      <c r="A2253" s="2" t="s">
        <v>708</v>
      </c>
      <c r="B2253" s="2" t="s">
        <v>2722</v>
      </c>
      <c r="C2253" s="9">
        <v>10080192</v>
      </c>
      <c r="D2253" s="2" t="s">
        <v>3534</v>
      </c>
      <c r="E2253" s="10">
        <v>1</v>
      </c>
      <c r="F2253" s="9" t="s">
        <v>2657</v>
      </c>
      <c r="G2253" s="11">
        <v>46238</v>
      </c>
      <c r="H2253" s="12">
        <v>277.92</v>
      </c>
      <c r="I2253" s="12">
        <v>247.35</v>
      </c>
      <c r="J2253" s="9" t="s">
        <v>3</v>
      </c>
      <c r="K2253" s="8">
        <v>0</v>
      </c>
    </row>
    <row r="2254" spans="1:11">
      <c r="A2254" s="2" t="s">
        <v>708</v>
      </c>
      <c r="B2254" s="2" t="s">
        <v>2722</v>
      </c>
      <c r="C2254" s="9">
        <v>10080228</v>
      </c>
      <c r="D2254" s="2" t="s">
        <v>3535</v>
      </c>
      <c r="E2254" s="10">
        <v>6</v>
      </c>
      <c r="F2254" s="9" t="s">
        <v>759</v>
      </c>
      <c r="G2254" s="11">
        <v>46238</v>
      </c>
      <c r="H2254" s="12">
        <v>48.96</v>
      </c>
      <c r="I2254" s="12">
        <v>43.57</v>
      </c>
      <c r="J2254" s="9" t="s">
        <v>3</v>
      </c>
      <c r="K2254" s="8">
        <v>0</v>
      </c>
    </row>
    <row r="2255" spans="1:11">
      <c r="A2255" s="2" t="s">
        <v>708</v>
      </c>
      <c r="B2255" s="2" t="s">
        <v>2722</v>
      </c>
      <c r="C2255" s="9">
        <v>10080245</v>
      </c>
      <c r="D2255" s="2" t="s">
        <v>3536</v>
      </c>
      <c r="E2255" s="10">
        <v>6</v>
      </c>
      <c r="F2255" s="9" t="s">
        <v>2138</v>
      </c>
      <c r="G2255" s="11">
        <v>46238</v>
      </c>
      <c r="H2255" s="12">
        <v>46.12</v>
      </c>
      <c r="I2255" s="12">
        <v>41.05</v>
      </c>
      <c r="J2255" s="9" t="s">
        <v>3</v>
      </c>
      <c r="K2255" s="8">
        <v>0</v>
      </c>
    </row>
    <row r="2256" spans="1:11">
      <c r="A2256" s="2" t="s">
        <v>708</v>
      </c>
      <c r="B2256" s="2" t="s">
        <v>2722</v>
      </c>
      <c r="C2256" s="9">
        <v>10080246</v>
      </c>
      <c r="D2256" s="2" t="s">
        <v>3537</v>
      </c>
      <c r="E2256" s="10">
        <v>6</v>
      </c>
      <c r="F2256" s="9" t="s">
        <v>781</v>
      </c>
      <c r="G2256" s="11">
        <v>46238</v>
      </c>
      <c r="H2256" s="12">
        <v>53.35</v>
      </c>
      <c r="I2256" s="12">
        <v>47.48</v>
      </c>
      <c r="J2256" s="9" t="s">
        <v>3</v>
      </c>
      <c r="K2256" s="8">
        <v>0</v>
      </c>
    </row>
    <row r="2257" spans="1:11">
      <c r="A2257" s="2" t="s">
        <v>708</v>
      </c>
      <c r="B2257" s="2" t="s">
        <v>2722</v>
      </c>
      <c r="C2257" s="9">
        <v>10080247</v>
      </c>
      <c r="D2257" s="2" t="s">
        <v>3538</v>
      </c>
      <c r="E2257" s="10">
        <v>6</v>
      </c>
      <c r="F2257" s="9" t="s">
        <v>2138</v>
      </c>
      <c r="G2257" s="11">
        <v>46238</v>
      </c>
      <c r="H2257" s="12">
        <v>40.1</v>
      </c>
      <c r="I2257" s="12">
        <v>35.69</v>
      </c>
      <c r="J2257" s="9" t="s">
        <v>3</v>
      </c>
      <c r="K2257" s="8">
        <v>0</v>
      </c>
    </row>
    <row r="2258" spans="1:11">
      <c r="A2258" s="2" t="s">
        <v>949</v>
      </c>
      <c r="B2258" s="2" t="s">
        <v>3528</v>
      </c>
      <c r="C2258" s="9">
        <v>10080286</v>
      </c>
      <c r="D2258" s="2" t="s">
        <v>3539</v>
      </c>
      <c r="E2258" s="10">
        <v>6</v>
      </c>
      <c r="F2258" s="9" t="s">
        <v>3530</v>
      </c>
      <c r="G2258" s="11">
        <v>46238</v>
      </c>
      <c r="H2258" s="12">
        <v>24.09</v>
      </c>
      <c r="I2258" s="12">
        <v>21.44</v>
      </c>
      <c r="J2258" s="9" t="s">
        <v>3</v>
      </c>
      <c r="K2258" s="8">
        <v>0</v>
      </c>
    </row>
    <row r="2259" spans="1:11">
      <c r="A2259" s="2" t="s">
        <v>949</v>
      </c>
      <c r="B2259" s="2" t="s">
        <v>3528</v>
      </c>
      <c r="C2259" s="9">
        <v>10080299</v>
      </c>
      <c r="D2259" s="2" t="s">
        <v>3540</v>
      </c>
      <c r="E2259" s="10">
        <v>6</v>
      </c>
      <c r="F2259" s="9" t="s">
        <v>3530</v>
      </c>
      <c r="G2259" s="11">
        <v>46238</v>
      </c>
      <c r="H2259" s="12">
        <v>24.09</v>
      </c>
      <c r="I2259" s="12">
        <v>21.44</v>
      </c>
      <c r="J2259" s="9" t="s">
        <v>3</v>
      </c>
      <c r="K2259" s="8">
        <v>0</v>
      </c>
    </row>
    <row r="2260" spans="1:11">
      <c r="A2260" s="2" t="s">
        <v>949</v>
      </c>
      <c r="B2260" s="2" t="s">
        <v>3528</v>
      </c>
      <c r="C2260" s="9">
        <v>10080404</v>
      </c>
      <c r="D2260" s="2" t="s">
        <v>3541</v>
      </c>
      <c r="E2260" s="10">
        <v>6</v>
      </c>
      <c r="F2260" s="9" t="s">
        <v>3542</v>
      </c>
      <c r="G2260" s="11">
        <v>46238</v>
      </c>
      <c r="H2260" s="12">
        <v>49.82</v>
      </c>
      <c r="I2260" s="12">
        <v>46.03</v>
      </c>
      <c r="J2260" s="9" t="s">
        <v>3</v>
      </c>
      <c r="K2260" s="8">
        <v>0</v>
      </c>
    </row>
    <row r="2261" spans="1:11">
      <c r="A2261" s="2" t="s">
        <v>949</v>
      </c>
      <c r="B2261" s="2" t="s">
        <v>3528</v>
      </c>
      <c r="C2261" s="9">
        <v>10080405</v>
      </c>
      <c r="D2261" s="2" t="s">
        <v>3543</v>
      </c>
      <c r="E2261" s="10">
        <v>6</v>
      </c>
      <c r="F2261" s="9" t="s">
        <v>3542</v>
      </c>
      <c r="G2261" s="11">
        <v>46238</v>
      </c>
      <c r="H2261" s="12">
        <v>49.82</v>
      </c>
      <c r="I2261" s="12">
        <v>46.03</v>
      </c>
      <c r="J2261" s="9" t="s">
        <v>3</v>
      </c>
      <c r="K2261" s="8">
        <v>0</v>
      </c>
    </row>
    <row r="2262" spans="1:11">
      <c r="A2262" s="2" t="s">
        <v>949</v>
      </c>
      <c r="B2262" s="2" t="s">
        <v>3528</v>
      </c>
      <c r="C2262" s="9">
        <v>10080406</v>
      </c>
      <c r="D2262" s="2" t="s">
        <v>3544</v>
      </c>
      <c r="E2262" s="10">
        <v>6</v>
      </c>
      <c r="F2262" s="9" t="s">
        <v>3545</v>
      </c>
      <c r="G2262" s="11">
        <v>46238</v>
      </c>
      <c r="H2262" s="12">
        <v>49.82</v>
      </c>
      <c r="I2262" s="12">
        <v>46.03</v>
      </c>
      <c r="J2262" s="9" t="s">
        <v>3</v>
      </c>
      <c r="K2262" s="8">
        <v>0</v>
      </c>
    </row>
    <row r="2263" spans="1:11">
      <c r="A2263" s="2" t="s">
        <v>3546</v>
      </c>
      <c r="B2263" s="2" t="s">
        <v>3547</v>
      </c>
      <c r="C2263" s="9">
        <v>10080600</v>
      </c>
      <c r="D2263" s="2" t="s">
        <v>3548</v>
      </c>
      <c r="E2263" s="10">
        <v>3</v>
      </c>
      <c r="F2263" s="9" t="s">
        <v>3549</v>
      </c>
      <c r="G2263" s="11">
        <v>46238</v>
      </c>
      <c r="H2263" s="12">
        <v>27.22</v>
      </c>
      <c r="I2263" s="12">
        <v>24.23</v>
      </c>
      <c r="J2263" s="9" t="s">
        <v>3</v>
      </c>
      <c r="K2263" s="8">
        <v>0</v>
      </c>
    </row>
    <row r="2264" spans="1:11">
      <c r="A2264" s="2" t="s">
        <v>3546</v>
      </c>
      <c r="B2264" s="2" t="s">
        <v>3547</v>
      </c>
      <c r="C2264" s="9">
        <v>10080601</v>
      </c>
      <c r="D2264" s="2" t="s">
        <v>3550</v>
      </c>
      <c r="E2264" s="10">
        <v>3</v>
      </c>
      <c r="F2264" s="9" t="s">
        <v>3549</v>
      </c>
      <c r="G2264" s="11">
        <v>46238</v>
      </c>
      <c r="H2264" s="12">
        <v>27.22</v>
      </c>
      <c r="I2264" s="12">
        <v>24.23</v>
      </c>
      <c r="J2264" s="9" t="s">
        <v>3</v>
      </c>
      <c r="K2264" s="8">
        <v>0</v>
      </c>
    </row>
    <row r="2265" spans="1:11">
      <c r="A2265" s="2" t="s">
        <v>3546</v>
      </c>
      <c r="B2265" s="2" t="s">
        <v>3547</v>
      </c>
      <c r="C2265" s="9">
        <v>10080602</v>
      </c>
      <c r="D2265" s="2" t="s">
        <v>3551</v>
      </c>
      <c r="E2265" s="10">
        <v>3</v>
      </c>
      <c r="F2265" s="9" t="s">
        <v>3549</v>
      </c>
      <c r="G2265" s="11">
        <v>46238</v>
      </c>
      <c r="H2265" s="12">
        <v>27.22</v>
      </c>
      <c r="I2265" s="12">
        <v>24.23</v>
      </c>
      <c r="J2265" s="9" t="s">
        <v>3</v>
      </c>
      <c r="K2265" s="8">
        <v>0</v>
      </c>
    </row>
    <row r="2266" spans="1:11">
      <c r="A2266" s="2" t="s">
        <v>3546</v>
      </c>
      <c r="B2266" s="2" t="s">
        <v>3547</v>
      </c>
      <c r="C2266" s="9">
        <v>10080603</v>
      </c>
      <c r="D2266" s="2" t="s">
        <v>3552</v>
      </c>
      <c r="E2266" s="10">
        <v>3</v>
      </c>
      <c r="F2266" s="9" t="s">
        <v>3549</v>
      </c>
      <c r="G2266" s="11">
        <v>46238</v>
      </c>
      <c r="H2266" s="12">
        <v>27.22</v>
      </c>
      <c r="I2266" s="12">
        <v>24.23</v>
      </c>
      <c r="J2266" s="9" t="s">
        <v>3</v>
      </c>
      <c r="K2266" s="8">
        <v>0</v>
      </c>
    </row>
    <row r="2267" spans="1:11">
      <c r="A2267" s="2" t="s">
        <v>3546</v>
      </c>
      <c r="B2267" s="2" t="s">
        <v>3547</v>
      </c>
      <c r="C2267" s="9">
        <v>10080604</v>
      </c>
      <c r="D2267" s="2" t="s">
        <v>3553</v>
      </c>
      <c r="E2267" s="10">
        <v>3</v>
      </c>
      <c r="F2267" s="9" t="s">
        <v>3549</v>
      </c>
      <c r="G2267" s="11">
        <v>46238</v>
      </c>
      <c r="H2267" s="12">
        <v>27.22</v>
      </c>
      <c r="I2267" s="12">
        <v>24.23</v>
      </c>
      <c r="J2267" s="9" t="s">
        <v>3</v>
      </c>
      <c r="K2267" s="8">
        <v>0</v>
      </c>
    </row>
    <row r="2268" spans="1:11">
      <c r="A2268" s="2" t="s">
        <v>3546</v>
      </c>
      <c r="B2268" s="2" t="s">
        <v>3547</v>
      </c>
      <c r="C2268" s="9">
        <v>10080606</v>
      </c>
      <c r="D2268" s="2" t="s">
        <v>3554</v>
      </c>
      <c r="E2268" s="10">
        <v>6</v>
      </c>
      <c r="F2268" s="9" t="s">
        <v>3555</v>
      </c>
      <c r="G2268" s="11">
        <v>46238</v>
      </c>
      <c r="H2268" s="12">
        <v>39.58</v>
      </c>
      <c r="I2268" s="12">
        <v>35.229999999999997</v>
      </c>
      <c r="J2268" s="9" t="s">
        <v>3</v>
      </c>
      <c r="K2268" s="8">
        <v>0</v>
      </c>
    </row>
    <row r="2269" spans="1:11">
      <c r="A2269" s="2" t="s">
        <v>3546</v>
      </c>
      <c r="B2269" s="2" t="s">
        <v>3547</v>
      </c>
      <c r="C2269" s="9">
        <v>10080607</v>
      </c>
      <c r="D2269" s="2" t="s">
        <v>3556</v>
      </c>
      <c r="E2269" s="10">
        <v>6</v>
      </c>
      <c r="F2269" s="9" t="s">
        <v>3555</v>
      </c>
      <c r="G2269" s="11">
        <v>46238</v>
      </c>
      <c r="H2269" s="12">
        <v>39.58</v>
      </c>
      <c r="I2269" s="12">
        <v>35.229999999999997</v>
      </c>
      <c r="J2269" s="9" t="s">
        <v>3</v>
      </c>
      <c r="K2269" s="8">
        <v>0</v>
      </c>
    </row>
    <row r="2270" spans="1:11">
      <c r="A2270" s="2" t="s">
        <v>3546</v>
      </c>
      <c r="B2270" s="2" t="s">
        <v>3547</v>
      </c>
      <c r="C2270" s="9">
        <v>10080608</v>
      </c>
      <c r="D2270" s="2" t="s">
        <v>3557</v>
      </c>
      <c r="E2270" s="10">
        <v>6</v>
      </c>
      <c r="F2270" s="9" t="s">
        <v>3555</v>
      </c>
      <c r="G2270" s="11">
        <v>46238</v>
      </c>
      <c r="H2270" s="12">
        <v>39.58</v>
      </c>
      <c r="I2270" s="12">
        <v>35.229999999999997</v>
      </c>
      <c r="J2270" s="9" t="s">
        <v>3</v>
      </c>
      <c r="K2270" s="8">
        <v>0</v>
      </c>
    </row>
    <row r="2271" spans="1:11">
      <c r="A2271" s="2" t="s">
        <v>3546</v>
      </c>
      <c r="B2271" s="2" t="s">
        <v>3547</v>
      </c>
      <c r="C2271" s="9">
        <v>10080609</v>
      </c>
      <c r="D2271" s="2" t="s">
        <v>3558</v>
      </c>
      <c r="E2271" s="10">
        <v>6</v>
      </c>
      <c r="F2271" s="9" t="s">
        <v>3555</v>
      </c>
      <c r="G2271" s="11">
        <v>46238</v>
      </c>
      <c r="H2271" s="12">
        <v>39.58</v>
      </c>
      <c r="I2271" s="12">
        <v>35.229999999999997</v>
      </c>
      <c r="J2271" s="9" t="s">
        <v>3</v>
      </c>
      <c r="K2271" s="8">
        <v>0</v>
      </c>
    </row>
    <row r="2272" spans="1:11">
      <c r="A2272" s="2" t="s">
        <v>3546</v>
      </c>
      <c r="B2272" s="2" t="s">
        <v>3547</v>
      </c>
      <c r="C2272" s="9">
        <v>10080610</v>
      </c>
      <c r="D2272" s="2" t="s">
        <v>3559</v>
      </c>
      <c r="E2272" s="10">
        <v>6</v>
      </c>
      <c r="F2272" s="9" t="s">
        <v>3555</v>
      </c>
      <c r="G2272" s="11">
        <v>46238</v>
      </c>
      <c r="H2272" s="12">
        <v>37.659999999999997</v>
      </c>
      <c r="I2272" s="12">
        <v>33.520000000000003</v>
      </c>
      <c r="J2272" s="9" t="s">
        <v>3</v>
      </c>
      <c r="K2272" s="8">
        <v>0</v>
      </c>
    </row>
    <row r="2273" spans="1:11">
      <c r="A2273" s="2" t="s">
        <v>3546</v>
      </c>
      <c r="B2273" s="2" t="s">
        <v>3547</v>
      </c>
      <c r="C2273" s="9">
        <v>10080611</v>
      </c>
      <c r="D2273" s="2" t="s">
        <v>3560</v>
      </c>
      <c r="E2273" s="10">
        <v>6</v>
      </c>
      <c r="F2273" s="9" t="s">
        <v>3555</v>
      </c>
      <c r="G2273" s="11">
        <v>46238</v>
      </c>
      <c r="H2273" s="12">
        <v>39.58</v>
      </c>
      <c r="I2273" s="12">
        <v>35.229999999999997</v>
      </c>
      <c r="J2273" s="9" t="s">
        <v>3</v>
      </c>
      <c r="K2273" s="8">
        <v>0</v>
      </c>
    </row>
    <row r="2274" spans="1:11">
      <c r="A2274" s="2" t="s">
        <v>3546</v>
      </c>
      <c r="B2274" s="2" t="s">
        <v>3547</v>
      </c>
      <c r="C2274" s="9">
        <v>10080612</v>
      </c>
      <c r="D2274" s="2" t="s">
        <v>3561</v>
      </c>
      <c r="E2274" s="10">
        <v>6</v>
      </c>
      <c r="F2274" s="9" t="s">
        <v>3555</v>
      </c>
      <c r="G2274" s="11">
        <v>46238</v>
      </c>
      <c r="H2274" s="12">
        <v>39.58</v>
      </c>
      <c r="I2274" s="12">
        <v>35.229999999999997</v>
      </c>
      <c r="J2274" s="9" t="s">
        <v>3</v>
      </c>
      <c r="K2274" s="8">
        <v>0</v>
      </c>
    </row>
    <row r="2275" spans="1:11">
      <c r="A2275" s="2" t="s">
        <v>3546</v>
      </c>
      <c r="B2275" s="2" t="s">
        <v>3547</v>
      </c>
      <c r="C2275" s="9">
        <v>10080613</v>
      </c>
      <c r="D2275" s="2" t="s">
        <v>3562</v>
      </c>
      <c r="E2275" s="10">
        <v>6</v>
      </c>
      <c r="F2275" s="9" t="s">
        <v>3555</v>
      </c>
      <c r="G2275" s="11">
        <v>46238</v>
      </c>
      <c r="H2275" s="12">
        <v>39.58</v>
      </c>
      <c r="I2275" s="12">
        <v>35.229999999999997</v>
      </c>
      <c r="J2275" s="9" t="s">
        <v>3</v>
      </c>
      <c r="K2275" s="8">
        <v>0</v>
      </c>
    </row>
    <row r="2276" spans="1:11">
      <c r="A2276" s="2" t="s">
        <v>3546</v>
      </c>
      <c r="B2276" s="2" t="s">
        <v>3547</v>
      </c>
      <c r="C2276" s="9">
        <v>10080615</v>
      </c>
      <c r="D2276" s="2" t="s">
        <v>3563</v>
      </c>
      <c r="E2276" s="10">
        <v>6</v>
      </c>
      <c r="F2276" s="9" t="s">
        <v>3555</v>
      </c>
      <c r="G2276" s="11">
        <v>46238</v>
      </c>
      <c r="H2276" s="12">
        <v>39.58</v>
      </c>
      <c r="I2276" s="12">
        <v>35.229999999999997</v>
      </c>
      <c r="J2276" s="9" t="s">
        <v>3</v>
      </c>
      <c r="K2276" s="8">
        <v>0</v>
      </c>
    </row>
    <row r="2277" spans="1:11">
      <c r="A2277" s="2" t="s">
        <v>3546</v>
      </c>
      <c r="B2277" s="2" t="s">
        <v>3547</v>
      </c>
      <c r="C2277" s="9">
        <v>10080616</v>
      </c>
      <c r="D2277" s="2" t="s">
        <v>3564</v>
      </c>
      <c r="E2277" s="10">
        <v>6</v>
      </c>
      <c r="F2277" s="9" t="s">
        <v>3555</v>
      </c>
      <c r="G2277" s="11">
        <v>46238</v>
      </c>
      <c r="H2277" s="12">
        <v>39.58</v>
      </c>
      <c r="I2277" s="12">
        <v>35.229999999999997</v>
      </c>
      <c r="J2277" s="9" t="s">
        <v>3</v>
      </c>
      <c r="K2277" s="8">
        <v>0</v>
      </c>
    </row>
    <row r="2278" spans="1:11">
      <c r="A2278" s="2" t="s">
        <v>3546</v>
      </c>
      <c r="B2278" s="2" t="s">
        <v>3547</v>
      </c>
      <c r="C2278" s="9">
        <v>10080617</v>
      </c>
      <c r="D2278" s="2" t="s">
        <v>3565</v>
      </c>
      <c r="E2278" s="10">
        <v>6</v>
      </c>
      <c r="F2278" s="9" t="s">
        <v>3555</v>
      </c>
      <c r="G2278" s="11">
        <v>46238</v>
      </c>
      <c r="H2278" s="12">
        <v>39.58</v>
      </c>
      <c r="I2278" s="12">
        <v>35.229999999999997</v>
      </c>
      <c r="J2278" s="9" t="s">
        <v>3</v>
      </c>
      <c r="K2278" s="8">
        <v>0</v>
      </c>
    </row>
    <row r="2279" spans="1:11">
      <c r="A2279" s="2" t="s">
        <v>3546</v>
      </c>
      <c r="B2279" s="2" t="s">
        <v>3547</v>
      </c>
      <c r="C2279" s="9">
        <v>10080618</v>
      </c>
      <c r="D2279" s="2" t="s">
        <v>3566</v>
      </c>
      <c r="E2279" s="10">
        <v>6</v>
      </c>
      <c r="F2279" s="9" t="s">
        <v>3555</v>
      </c>
      <c r="G2279" s="11">
        <v>46238</v>
      </c>
      <c r="H2279" s="12">
        <v>39.58</v>
      </c>
      <c r="I2279" s="12">
        <v>35.229999999999997</v>
      </c>
      <c r="J2279" s="9" t="s">
        <v>3</v>
      </c>
      <c r="K2279" s="8">
        <v>0</v>
      </c>
    </row>
    <row r="2280" spans="1:11">
      <c r="A2280" s="2" t="s">
        <v>3546</v>
      </c>
      <c r="B2280" s="2" t="s">
        <v>3547</v>
      </c>
      <c r="C2280" s="9">
        <v>10080619</v>
      </c>
      <c r="D2280" s="2" t="s">
        <v>3567</v>
      </c>
      <c r="E2280" s="10">
        <v>8</v>
      </c>
      <c r="F2280" s="9" t="s">
        <v>1015</v>
      </c>
      <c r="G2280" s="11">
        <v>46238</v>
      </c>
      <c r="H2280" s="12">
        <v>30.93</v>
      </c>
      <c r="I2280" s="12">
        <v>27.53</v>
      </c>
      <c r="J2280" s="9" t="s">
        <v>3</v>
      </c>
      <c r="K2280" s="8">
        <v>0</v>
      </c>
    </row>
    <row r="2281" spans="1:11">
      <c r="A2281" s="2" t="s">
        <v>3546</v>
      </c>
      <c r="B2281" s="2" t="s">
        <v>3547</v>
      </c>
      <c r="C2281" s="9">
        <v>10080622</v>
      </c>
      <c r="D2281" s="2" t="s">
        <v>3568</v>
      </c>
      <c r="E2281" s="10">
        <v>8</v>
      </c>
      <c r="F2281" s="9" t="s">
        <v>1015</v>
      </c>
      <c r="G2281" s="11">
        <v>46238</v>
      </c>
      <c r="H2281" s="12">
        <v>32.51</v>
      </c>
      <c r="I2281" s="12">
        <v>28.93</v>
      </c>
      <c r="J2281" s="9" t="s">
        <v>3</v>
      </c>
      <c r="K2281" s="8">
        <v>0</v>
      </c>
    </row>
    <row r="2282" spans="1:11">
      <c r="A2282" s="2" t="s">
        <v>3546</v>
      </c>
      <c r="B2282" s="2" t="s">
        <v>3547</v>
      </c>
      <c r="C2282" s="9">
        <v>10080623</v>
      </c>
      <c r="D2282" s="2" t="s">
        <v>3569</v>
      </c>
      <c r="E2282" s="10">
        <v>8</v>
      </c>
      <c r="F2282" s="9" t="s">
        <v>1015</v>
      </c>
      <c r="G2282" s="11">
        <v>46238</v>
      </c>
      <c r="H2282" s="12">
        <v>32.51</v>
      </c>
      <c r="I2282" s="12">
        <v>28.93</v>
      </c>
      <c r="J2282" s="9" t="s">
        <v>3</v>
      </c>
      <c r="K2282" s="8">
        <v>0</v>
      </c>
    </row>
    <row r="2283" spans="1:11">
      <c r="A2283" s="2" t="s">
        <v>3546</v>
      </c>
      <c r="B2283" s="2" t="s">
        <v>3547</v>
      </c>
      <c r="C2283" s="9">
        <v>10080624</v>
      </c>
      <c r="D2283" s="2" t="s">
        <v>3570</v>
      </c>
      <c r="E2283" s="10">
        <v>8</v>
      </c>
      <c r="F2283" s="9" t="s">
        <v>1015</v>
      </c>
      <c r="G2283" s="11">
        <v>46238</v>
      </c>
      <c r="H2283" s="12">
        <v>32.51</v>
      </c>
      <c r="I2283" s="12">
        <v>28.93</v>
      </c>
      <c r="J2283" s="9" t="s">
        <v>3</v>
      </c>
      <c r="K2283" s="8">
        <v>0</v>
      </c>
    </row>
    <row r="2284" spans="1:11">
      <c r="A2284" s="2" t="s">
        <v>3546</v>
      </c>
      <c r="B2284" s="2" t="s">
        <v>3547</v>
      </c>
      <c r="C2284" s="9">
        <v>10080625</v>
      </c>
      <c r="D2284" s="2" t="s">
        <v>3571</v>
      </c>
      <c r="E2284" s="10">
        <v>8</v>
      </c>
      <c r="F2284" s="9" t="s">
        <v>1015</v>
      </c>
      <c r="G2284" s="11">
        <v>46238</v>
      </c>
      <c r="H2284" s="12">
        <v>32.51</v>
      </c>
      <c r="I2284" s="12">
        <v>28.93</v>
      </c>
      <c r="J2284" s="9" t="s">
        <v>3</v>
      </c>
      <c r="K2284" s="8">
        <v>0</v>
      </c>
    </row>
    <row r="2285" spans="1:11">
      <c r="A2285" s="2" t="s">
        <v>3546</v>
      </c>
      <c r="B2285" s="2" t="s">
        <v>3547</v>
      </c>
      <c r="C2285" s="9">
        <v>10080626</v>
      </c>
      <c r="D2285" s="2" t="s">
        <v>3572</v>
      </c>
      <c r="E2285" s="10">
        <v>6</v>
      </c>
      <c r="F2285" s="9" t="s">
        <v>3555</v>
      </c>
      <c r="G2285" s="11">
        <v>46238</v>
      </c>
      <c r="H2285" s="12">
        <v>39.58</v>
      </c>
      <c r="I2285" s="12">
        <v>35.229999999999997</v>
      </c>
      <c r="J2285" s="9" t="s">
        <v>3</v>
      </c>
      <c r="K2285" s="8">
        <v>0</v>
      </c>
    </row>
    <row r="2286" spans="1:11">
      <c r="A2286" s="2" t="s">
        <v>3546</v>
      </c>
      <c r="B2286" s="2" t="s">
        <v>3547</v>
      </c>
      <c r="C2286" s="9">
        <v>10080641</v>
      </c>
      <c r="D2286" s="2" t="s">
        <v>3573</v>
      </c>
      <c r="E2286" s="10">
        <v>1</v>
      </c>
      <c r="F2286" s="9" t="s">
        <v>3574</v>
      </c>
      <c r="G2286" s="11">
        <v>46238</v>
      </c>
      <c r="H2286" s="12">
        <v>29</v>
      </c>
      <c r="I2286" s="12">
        <v>26.82</v>
      </c>
      <c r="J2286" s="9" t="s">
        <v>3</v>
      </c>
      <c r="K2286" s="8">
        <v>0</v>
      </c>
    </row>
    <row r="2287" spans="1:11">
      <c r="A2287" s="2" t="s">
        <v>3546</v>
      </c>
      <c r="B2287" s="2" t="s">
        <v>3547</v>
      </c>
      <c r="C2287" s="9">
        <v>10080651</v>
      </c>
      <c r="D2287" s="2" t="s">
        <v>3575</v>
      </c>
      <c r="E2287" s="10">
        <v>6</v>
      </c>
      <c r="F2287" s="9" t="s">
        <v>3555</v>
      </c>
      <c r="G2287" s="11">
        <v>46238</v>
      </c>
      <c r="H2287" s="12">
        <v>39.58</v>
      </c>
      <c r="I2287" s="12">
        <v>35.229999999999997</v>
      </c>
      <c r="J2287" s="9" t="s">
        <v>3</v>
      </c>
      <c r="K2287" s="8">
        <v>0</v>
      </c>
    </row>
    <row r="2288" spans="1:11">
      <c r="A2288" s="2" t="s">
        <v>3546</v>
      </c>
      <c r="B2288" s="2" t="s">
        <v>3547</v>
      </c>
      <c r="C2288" s="9">
        <v>10080659</v>
      </c>
      <c r="D2288" s="2" t="s">
        <v>3576</v>
      </c>
      <c r="E2288" s="10">
        <v>6</v>
      </c>
      <c r="F2288" s="9" t="s">
        <v>1306</v>
      </c>
      <c r="G2288" s="11">
        <v>46238</v>
      </c>
      <c r="H2288" s="12">
        <v>41.55</v>
      </c>
      <c r="I2288" s="12">
        <v>36.979999999999997</v>
      </c>
      <c r="J2288" s="9" t="s">
        <v>3</v>
      </c>
      <c r="K2288" s="8">
        <v>0</v>
      </c>
    </row>
    <row r="2289" spans="1:11">
      <c r="A2289" s="2" t="s">
        <v>3546</v>
      </c>
      <c r="B2289" s="2" t="s">
        <v>3547</v>
      </c>
      <c r="C2289" s="9">
        <v>10080660</v>
      </c>
      <c r="D2289" s="2" t="s">
        <v>3577</v>
      </c>
      <c r="E2289" s="10">
        <v>6</v>
      </c>
      <c r="F2289" s="9" t="s">
        <v>1306</v>
      </c>
      <c r="G2289" s="11">
        <v>46238</v>
      </c>
      <c r="H2289" s="12">
        <v>41.55</v>
      </c>
      <c r="I2289" s="12">
        <v>36.979999999999997</v>
      </c>
      <c r="J2289" s="9" t="s">
        <v>3</v>
      </c>
      <c r="K2289" s="8">
        <v>0</v>
      </c>
    </row>
    <row r="2290" spans="1:11">
      <c r="A2290" s="2" t="s">
        <v>3546</v>
      </c>
      <c r="B2290" s="2" t="s">
        <v>3547</v>
      </c>
      <c r="C2290" s="9">
        <v>10080661</v>
      </c>
      <c r="D2290" s="2" t="s">
        <v>3578</v>
      </c>
      <c r="E2290" s="10">
        <v>6</v>
      </c>
      <c r="F2290" s="9" t="s">
        <v>1306</v>
      </c>
      <c r="G2290" s="11">
        <v>46238</v>
      </c>
      <c r="H2290" s="12">
        <v>41.55</v>
      </c>
      <c r="I2290" s="12">
        <v>36.979999999999997</v>
      </c>
      <c r="J2290" s="9" t="s">
        <v>3</v>
      </c>
      <c r="K2290" s="8">
        <v>0</v>
      </c>
    </row>
    <row r="2291" spans="1:11">
      <c r="A2291" s="2" t="s">
        <v>3546</v>
      </c>
      <c r="B2291" s="2" t="s">
        <v>3547</v>
      </c>
      <c r="C2291" s="9">
        <v>10080665</v>
      </c>
      <c r="D2291" s="2" t="s">
        <v>3579</v>
      </c>
      <c r="E2291" s="10">
        <v>3</v>
      </c>
      <c r="F2291" s="9" t="s">
        <v>3549</v>
      </c>
      <c r="G2291" s="11">
        <v>46238</v>
      </c>
      <c r="H2291" s="12">
        <v>27.22</v>
      </c>
      <c r="I2291" s="12">
        <v>24.23</v>
      </c>
      <c r="J2291" s="9" t="s">
        <v>3</v>
      </c>
      <c r="K2291" s="8">
        <v>0</v>
      </c>
    </row>
    <row r="2292" spans="1:11">
      <c r="A2292" s="2" t="s">
        <v>3546</v>
      </c>
      <c r="B2292" s="2" t="s">
        <v>3547</v>
      </c>
      <c r="C2292" s="9">
        <v>10080667</v>
      </c>
      <c r="D2292" s="2" t="s">
        <v>3580</v>
      </c>
      <c r="E2292" s="10">
        <v>1</v>
      </c>
      <c r="F2292" s="9" t="s">
        <v>3581</v>
      </c>
      <c r="G2292" s="11">
        <v>46238</v>
      </c>
      <c r="H2292" s="12">
        <v>28.4</v>
      </c>
      <c r="I2292" s="12">
        <v>25.28</v>
      </c>
      <c r="J2292" s="9" t="s">
        <v>3</v>
      </c>
      <c r="K2292" s="8">
        <v>0</v>
      </c>
    </row>
    <row r="2293" spans="1:11">
      <c r="A2293" s="2" t="s">
        <v>3546</v>
      </c>
      <c r="B2293" s="2" t="s">
        <v>3547</v>
      </c>
      <c r="C2293" s="9">
        <v>10080668</v>
      </c>
      <c r="D2293" s="2" t="s">
        <v>3582</v>
      </c>
      <c r="E2293" s="10">
        <v>1</v>
      </c>
      <c r="F2293" s="9" t="s">
        <v>3581</v>
      </c>
      <c r="G2293" s="11">
        <v>46238</v>
      </c>
      <c r="H2293" s="12">
        <v>28.4</v>
      </c>
      <c r="I2293" s="12">
        <v>25.28</v>
      </c>
      <c r="J2293" s="9" t="s">
        <v>3</v>
      </c>
      <c r="K2293" s="8">
        <v>0</v>
      </c>
    </row>
    <row r="2294" spans="1:11">
      <c r="A2294" s="2" t="s">
        <v>3583</v>
      </c>
      <c r="B2294" s="2" t="s">
        <v>3584</v>
      </c>
      <c r="C2294" s="9">
        <v>10081300</v>
      </c>
      <c r="D2294" s="2" t="s">
        <v>3585</v>
      </c>
      <c r="E2294" s="10">
        <v>6</v>
      </c>
      <c r="F2294" s="9" t="s">
        <v>763</v>
      </c>
      <c r="G2294" s="11">
        <v>46238</v>
      </c>
      <c r="H2294" s="12">
        <v>70.599999999999994</v>
      </c>
      <c r="I2294" s="12">
        <v>62.82</v>
      </c>
      <c r="J2294" s="9" t="s">
        <v>3</v>
      </c>
      <c r="K2294" s="8">
        <v>0</v>
      </c>
    </row>
    <row r="2295" spans="1:11">
      <c r="A2295" s="2" t="s">
        <v>3583</v>
      </c>
      <c r="B2295" s="2" t="s">
        <v>3584</v>
      </c>
      <c r="C2295" s="9">
        <v>10081301</v>
      </c>
      <c r="D2295" s="2" t="s">
        <v>3586</v>
      </c>
      <c r="E2295" s="10">
        <v>6</v>
      </c>
      <c r="F2295" s="9" t="s">
        <v>763</v>
      </c>
      <c r="G2295" s="11">
        <v>46238</v>
      </c>
      <c r="H2295" s="12">
        <v>70.599999999999994</v>
      </c>
      <c r="I2295" s="12">
        <v>62.82</v>
      </c>
      <c r="J2295" s="9" t="s">
        <v>3</v>
      </c>
      <c r="K2295" s="8">
        <v>0</v>
      </c>
    </row>
    <row r="2296" spans="1:11">
      <c r="A2296" s="2" t="s">
        <v>3583</v>
      </c>
      <c r="B2296" s="2" t="s">
        <v>3584</v>
      </c>
      <c r="C2296" s="9">
        <v>10081302</v>
      </c>
      <c r="D2296" s="2" t="s">
        <v>3587</v>
      </c>
      <c r="E2296" s="10">
        <v>6</v>
      </c>
      <c r="F2296" s="9" t="s">
        <v>763</v>
      </c>
      <c r="G2296" s="11">
        <v>46238</v>
      </c>
      <c r="H2296" s="12">
        <v>70.599999999999994</v>
      </c>
      <c r="I2296" s="12">
        <v>62.82</v>
      </c>
      <c r="J2296" s="9" t="s">
        <v>3</v>
      </c>
      <c r="K2296" s="8">
        <v>0</v>
      </c>
    </row>
    <row r="2297" spans="1:11">
      <c r="A2297" s="2" t="s">
        <v>3583</v>
      </c>
      <c r="B2297" s="2" t="s">
        <v>3584</v>
      </c>
      <c r="C2297" s="9">
        <v>10081303</v>
      </c>
      <c r="D2297" s="2" t="s">
        <v>3588</v>
      </c>
      <c r="E2297" s="10">
        <v>6</v>
      </c>
      <c r="F2297" s="9" t="s">
        <v>763</v>
      </c>
      <c r="G2297" s="11">
        <v>46238</v>
      </c>
      <c r="H2297" s="12">
        <v>70.599999999999994</v>
      </c>
      <c r="I2297" s="12">
        <v>62.82</v>
      </c>
      <c r="J2297" s="9" t="s">
        <v>3</v>
      </c>
      <c r="K2297" s="8">
        <v>0</v>
      </c>
    </row>
    <row r="2298" spans="1:11">
      <c r="A2298" s="2" t="s">
        <v>3583</v>
      </c>
      <c r="B2298" s="2" t="s">
        <v>3584</v>
      </c>
      <c r="C2298" s="9">
        <v>10081304</v>
      </c>
      <c r="D2298" s="2" t="s">
        <v>3589</v>
      </c>
      <c r="E2298" s="10">
        <v>6</v>
      </c>
      <c r="F2298" s="9" t="s">
        <v>763</v>
      </c>
      <c r="G2298" s="11">
        <v>46238</v>
      </c>
      <c r="H2298" s="12">
        <v>70.599999999999994</v>
      </c>
      <c r="I2298" s="12">
        <v>62.82</v>
      </c>
      <c r="J2298" s="9" t="s">
        <v>3</v>
      </c>
      <c r="K2298" s="8">
        <v>0</v>
      </c>
    </row>
    <row r="2299" spans="1:11">
      <c r="A2299" s="2" t="s">
        <v>3583</v>
      </c>
      <c r="B2299" s="2" t="s">
        <v>3584</v>
      </c>
      <c r="C2299" s="9">
        <v>10081305</v>
      </c>
      <c r="D2299" s="2" t="s">
        <v>3590</v>
      </c>
      <c r="E2299" s="10">
        <v>6</v>
      </c>
      <c r="F2299" s="9" t="s">
        <v>763</v>
      </c>
      <c r="G2299" s="11">
        <v>46238</v>
      </c>
      <c r="H2299" s="12">
        <v>70.599999999999994</v>
      </c>
      <c r="I2299" s="12">
        <v>62.82</v>
      </c>
      <c r="J2299" s="9" t="s">
        <v>3</v>
      </c>
      <c r="K2299" s="8">
        <v>0</v>
      </c>
    </row>
    <row r="2300" spans="1:11">
      <c r="A2300" s="2" t="s">
        <v>3583</v>
      </c>
      <c r="B2300" s="2" t="s">
        <v>3584</v>
      </c>
      <c r="C2300" s="9">
        <v>10081306</v>
      </c>
      <c r="D2300" s="2" t="s">
        <v>3591</v>
      </c>
      <c r="E2300" s="10">
        <v>6</v>
      </c>
      <c r="F2300" s="9" t="s">
        <v>763</v>
      </c>
      <c r="G2300" s="11">
        <v>46238</v>
      </c>
      <c r="H2300" s="12">
        <v>70.599999999999994</v>
      </c>
      <c r="I2300" s="12">
        <v>62.82</v>
      </c>
      <c r="J2300" s="9" t="s">
        <v>3</v>
      </c>
      <c r="K2300" s="8">
        <v>0</v>
      </c>
    </row>
    <row r="2301" spans="1:11">
      <c r="A2301" s="2" t="s">
        <v>3583</v>
      </c>
      <c r="B2301" s="2" t="s">
        <v>3584</v>
      </c>
      <c r="C2301" s="9">
        <v>10081307</v>
      </c>
      <c r="D2301" s="2" t="s">
        <v>3592</v>
      </c>
      <c r="E2301" s="10">
        <v>4</v>
      </c>
      <c r="F2301" s="9" t="s">
        <v>3593</v>
      </c>
      <c r="G2301" s="11">
        <v>46238</v>
      </c>
      <c r="H2301" s="12">
        <v>91.6</v>
      </c>
      <c r="I2301" s="12">
        <v>81.48</v>
      </c>
      <c r="J2301" s="9" t="s">
        <v>3</v>
      </c>
      <c r="K2301" s="8">
        <v>0</v>
      </c>
    </row>
    <row r="2302" spans="1:11">
      <c r="A2302" s="2" t="s">
        <v>3583</v>
      </c>
      <c r="B2302" s="2" t="s">
        <v>3584</v>
      </c>
      <c r="C2302" s="9">
        <v>10081308</v>
      </c>
      <c r="D2302" s="2" t="s">
        <v>3594</v>
      </c>
      <c r="E2302" s="10">
        <v>4</v>
      </c>
      <c r="F2302" s="9" t="s">
        <v>3593</v>
      </c>
      <c r="G2302" s="11">
        <v>46238</v>
      </c>
      <c r="H2302" s="12">
        <v>91.6</v>
      </c>
      <c r="I2302" s="12">
        <v>81.48</v>
      </c>
      <c r="J2302" s="9" t="s">
        <v>3</v>
      </c>
      <c r="K2302" s="8">
        <v>0</v>
      </c>
    </row>
    <row r="2303" spans="1:11">
      <c r="A2303" s="2" t="s">
        <v>3583</v>
      </c>
      <c r="B2303" s="2" t="s">
        <v>3584</v>
      </c>
      <c r="C2303" s="9">
        <v>10081311</v>
      </c>
      <c r="D2303" s="2" t="s">
        <v>3595</v>
      </c>
      <c r="E2303" s="10">
        <v>4</v>
      </c>
      <c r="F2303" s="9" t="s">
        <v>3593</v>
      </c>
      <c r="G2303" s="11">
        <v>46238</v>
      </c>
      <c r="H2303" s="12">
        <v>91.6</v>
      </c>
      <c r="I2303" s="12">
        <v>81.48</v>
      </c>
      <c r="J2303" s="9" t="s">
        <v>3</v>
      </c>
      <c r="K2303" s="8">
        <v>0</v>
      </c>
    </row>
    <row r="2304" spans="1:11">
      <c r="A2304" s="2" t="s">
        <v>3583</v>
      </c>
      <c r="B2304" s="2" t="s">
        <v>3584</v>
      </c>
      <c r="C2304" s="9">
        <v>10081312</v>
      </c>
      <c r="D2304" s="2" t="s">
        <v>3596</v>
      </c>
      <c r="E2304" s="10">
        <v>4</v>
      </c>
      <c r="F2304" s="9" t="s">
        <v>3593</v>
      </c>
      <c r="G2304" s="11">
        <v>46238</v>
      </c>
      <c r="H2304" s="12">
        <v>91.6</v>
      </c>
      <c r="I2304" s="12">
        <v>81.48</v>
      </c>
      <c r="J2304" s="9" t="s">
        <v>3</v>
      </c>
      <c r="K2304" s="8">
        <v>0</v>
      </c>
    </row>
    <row r="2305" spans="1:11">
      <c r="A2305" s="2" t="s">
        <v>3583</v>
      </c>
      <c r="B2305" s="2" t="s">
        <v>3584</v>
      </c>
      <c r="C2305" s="9">
        <v>10081313</v>
      </c>
      <c r="D2305" s="2" t="s">
        <v>3597</v>
      </c>
      <c r="E2305" s="10">
        <v>6</v>
      </c>
      <c r="F2305" s="9" t="s">
        <v>3598</v>
      </c>
      <c r="G2305" s="11">
        <v>46238</v>
      </c>
      <c r="H2305" s="12">
        <v>70.599999999999994</v>
      </c>
      <c r="I2305" s="12">
        <v>62.82</v>
      </c>
      <c r="J2305" s="9" t="s">
        <v>3</v>
      </c>
      <c r="K2305" s="8">
        <v>0</v>
      </c>
    </row>
    <row r="2306" spans="1:11">
      <c r="A2306" s="2" t="s">
        <v>3583</v>
      </c>
      <c r="B2306" s="2" t="s">
        <v>3584</v>
      </c>
      <c r="C2306" s="9">
        <v>10081314</v>
      </c>
      <c r="D2306" s="2" t="s">
        <v>3599</v>
      </c>
      <c r="E2306" s="10">
        <v>6</v>
      </c>
      <c r="F2306" s="9" t="s">
        <v>3598</v>
      </c>
      <c r="G2306" s="11">
        <v>46238</v>
      </c>
      <c r="H2306" s="12">
        <v>70.599999999999994</v>
      </c>
      <c r="I2306" s="12">
        <v>62.82</v>
      </c>
      <c r="J2306" s="9" t="s">
        <v>3</v>
      </c>
      <c r="K2306" s="8">
        <v>0</v>
      </c>
    </row>
    <row r="2307" spans="1:11">
      <c r="A2307" s="2" t="s">
        <v>3583</v>
      </c>
      <c r="B2307" s="2" t="s">
        <v>3584</v>
      </c>
      <c r="C2307" s="9">
        <v>10081315</v>
      </c>
      <c r="D2307" s="2" t="s">
        <v>3600</v>
      </c>
      <c r="E2307" s="10">
        <v>6</v>
      </c>
      <c r="F2307" s="9" t="s">
        <v>3598</v>
      </c>
      <c r="G2307" s="11">
        <v>46238</v>
      </c>
      <c r="H2307" s="12">
        <v>70.599999999999994</v>
      </c>
      <c r="I2307" s="12">
        <v>62.82</v>
      </c>
      <c r="J2307" s="9" t="s">
        <v>3</v>
      </c>
      <c r="K2307" s="8">
        <v>0</v>
      </c>
    </row>
    <row r="2308" spans="1:11">
      <c r="A2308" s="2" t="s">
        <v>3583</v>
      </c>
      <c r="B2308" s="2" t="s">
        <v>3584</v>
      </c>
      <c r="C2308" s="9">
        <v>10081316</v>
      </c>
      <c r="D2308" s="2" t="s">
        <v>3601</v>
      </c>
      <c r="E2308" s="10">
        <v>6</v>
      </c>
      <c r="F2308" s="9" t="s">
        <v>3598</v>
      </c>
      <c r="G2308" s="11">
        <v>46238</v>
      </c>
      <c r="H2308" s="12">
        <v>70.599999999999994</v>
      </c>
      <c r="I2308" s="12">
        <v>62.82</v>
      </c>
      <c r="J2308" s="9" t="s">
        <v>3</v>
      </c>
      <c r="K2308" s="8">
        <v>0</v>
      </c>
    </row>
    <row r="2309" spans="1:11">
      <c r="A2309" s="2" t="s">
        <v>3583</v>
      </c>
      <c r="B2309" s="2" t="s">
        <v>3584</v>
      </c>
      <c r="C2309" s="9">
        <v>10081317</v>
      </c>
      <c r="D2309" s="2" t="s">
        <v>3602</v>
      </c>
      <c r="E2309" s="10">
        <v>6</v>
      </c>
      <c r="F2309" s="9" t="s">
        <v>3598</v>
      </c>
      <c r="G2309" s="11">
        <v>46238</v>
      </c>
      <c r="H2309" s="12">
        <v>70.599999999999994</v>
      </c>
      <c r="I2309" s="12">
        <v>62.82</v>
      </c>
      <c r="J2309" s="9" t="s">
        <v>3</v>
      </c>
      <c r="K2309" s="8">
        <v>0</v>
      </c>
    </row>
    <row r="2310" spans="1:11">
      <c r="A2310" s="2" t="s">
        <v>3583</v>
      </c>
      <c r="B2310" s="2" t="s">
        <v>3584</v>
      </c>
      <c r="C2310" s="9">
        <v>10081318</v>
      </c>
      <c r="D2310" s="2" t="s">
        <v>3603</v>
      </c>
      <c r="E2310" s="10">
        <v>6</v>
      </c>
      <c r="F2310" s="9" t="s">
        <v>3598</v>
      </c>
      <c r="G2310" s="11">
        <v>46238</v>
      </c>
      <c r="H2310" s="12">
        <v>70.599999999999994</v>
      </c>
      <c r="I2310" s="12">
        <v>62.82</v>
      </c>
      <c r="J2310" s="9" t="s">
        <v>3</v>
      </c>
      <c r="K2310" s="8">
        <v>0</v>
      </c>
    </row>
    <row r="2311" spans="1:11">
      <c r="A2311" s="2" t="s">
        <v>3583</v>
      </c>
      <c r="B2311" s="2" t="s">
        <v>3584</v>
      </c>
      <c r="C2311" s="9">
        <v>10081319</v>
      </c>
      <c r="D2311" s="2" t="s">
        <v>3604</v>
      </c>
      <c r="E2311" s="10">
        <v>6</v>
      </c>
      <c r="F2311" s="9" t="s">
        <v>3598</v>
      </c>
      <c r="G2311" s="11">
        <v>46238</v>
      </c>
      <c r="H2311" s="12">
        <v>70.599999999999994</v>
      </c>
      <c r="I2311" s="12">
        <v>62.82</v>
      </c>
      <c r="J2311" s="9" t="s">
        <v>3</v>
      </c>
      <c r="K2311" s="8">
        <v>0</v>
      </c>
    </row>
    <row r="2312" spans="1:11">
      <c r="A2312" s="2" t="s">
        <v>3583</v>
      </c>
      <c r="B2312" s="2" t="s">
        <v>3584</v>
      </c>
      <c r="C2312" s="9">
        <v>10081320</v>
      </c>
      <c r="D2312" s="2" t="s">
        <v>3605</v>
      </c>
      <c r="E2312" s="10">
        <v>6</v>
      </c>
      <c r="F2312" s="9" t="s">
        <v>3606</v>
      </c>
      <c r="G2312" s="11">
        <v>46238</v>
      </c>
      <c r="H2312" s="12">
        <v>43.1</v>
      </c>
      <c r="I2312" s="12">
        <v>38.4</v>
      </c>
      <c r="J2312" s="9" t="s">
        <v>3</v>
      </c>
      <c r="K2312" s="8">
        <v>0</v>
      </c>
    </row>
    <row r="2313" spans="1:11">
      <c r="A2313" s="2" t="s">
        <v>3583</v>
      </c>
      <c r="B2313" s="2" t="s">
        <v>3584</v>
      </c>
      <c r="C2313" s="9">
        <v>10081321</v>
      </c>
      <c r="D2313" s="2" t="s">
        <v>3607</v>
      </c>
      <c r="E2313" s="10">
        <v>6</v>
      </c>
      <c r="F2313" s="9" t="s">
        <v>3606</v>
      </c>
      <c r="G2313" s="11">
        <v>46238</v>
      </c>
      <c r="H2313" s="12">
        <v>43.1</v>
      </c>
      <c r="I2313" s="12">
        <v>38.4</v>
      </c>
      <c r="J2313" s="9" t="s">
        <v>3</v>
      </c>
      <c r="K2313" s="8">
        <v>0</v>
      </c>
    </row>
    <row r="2314" spans="1:11">
      <c r="A2314" s="2" t="s">
        <v>3583</v>
      </c>
      <c r="B2314" s="2" t="s">
        <v>3584</v>
      </c>
      <c r="C2314" s="9">
        <v>10081322</v>
      </c>
      <c r="D2314" s="2" t="s">
        <v>3608</v>
      </c>
      <c r="E2314" s="10">
        <v>6</v>
      </c>
      <c r="F2314" s="9" t="s">
        <v>3606</v>
      </c>
      <c r="G2314" s="11">
        <v>46238</v>
      </c>
      <c r="H2314" s="12">
        <v>43.1</v>
      </c>
      <c r="I2314" s="12">
        <v>38.4</v>
      </c>
      <c r="J2314" s="9" t="s">
        <v>3</v>
      </c>
      <c r="K2314" s="8">
        <v>0</v>
      </c>
    </row>
    <row r="2315" spans="1:11">
      <c r="A2315" s="2" t="s">
        <v>3583</v>
      </c>
      <c r="B2315" s="2" t="s">
        <v>3584</v>
      </c>
      <c r="C2315" s="9">
        <v>10081323</v>
      </c>
      <c r="D2315" s="2" t="s">
        <v>3609</v>
      </c>
      <c r="E2315" s="10">
        <v>6</v>
      </c>
      <c r="F2315" s="9" t="s">
        <v>3606</v>
      </c>
      <c r="G2315" s="11">
        <v>46238</v>
      </c>
      <c r="H2315" s="12">
        <v>43.1</v>
      </c>
      <c r="I2315" s="12">
        <v>38.4</v>
      </c>
      <c r="J2315" s="9" t="s">
        <v>3</v>
      </c>
      <c r="K2315" s="8">
        <v>0</v>
      </c>
    </row>
    <row r="2316" spans="1:11">
      <c r="A2316" s="2" t="s">
        <v>3583</v>
      </c>
      <c r="B2316" s="2" t="s">
        <v>3584</v>
      </c>
      <c r="C2316" s="9">
        <v>10081324</v>
      </c>
      <c r="D2316" s="2" t="s">
        <v>3610</v>
      </c>
      <c r="E2316" s="10">
        <v>6</v>
      </c>
      <c r="F2316" s="9" t="s">
        <v>3606</v>
      </c>
      <c r="G2316" s="11">
        <v>46238</v>
      </c>
      <c r="H2316" s="12">
        <v>43.1</v>
      </c>
      <c r="I2316" s="12">
        <v>38.4</v>
      </c>
      <c r="J2316" s="9" t="s">
        <v>3</v>
      </c>
      <c r="K2316" s="8">
        <v>0</v>
      </c>
    </row>
    <row r="2317" spans="1:11">
      <c r="A2317" s="2" t="s">
        <v>3583</v>
      </c>
      <c r="B2317" s="2" t="s">
        <v>3584</v>
      </c>
      <c r="C2317" s="9">
        <v>10081325</v>
      </c>
      <c r="D2317" s="2" t="s">
        <v>3611</v>
      </c>
      <c r="E2317" s="10">
        <v>6</v>
      </c>
      <c r="F2317" s="9" t="s">
        <v>3606</v>
      </c>
      <c r="G2317" s="11">
        <v>46238</v>
      </c>
      <c r="H2317" s="12">
        <v>43.1</v>
      </c>
      <c r="I2317" s="12">
        <v>38.4</v>
      </c>
      <c r="J2317" s="9" t="s">
        <v>3</v>
      </c>
      <c r="K2317" s="8">
        <v>0</v>
      </c>
    </row>
    <row r="2318" spans="1:11">
      <c r="A2318" s="2" t="s">
        <v>3583</v>
      </c>
      <c r="B2318" s="2" t="s">
        <v>3584</v>
      </c>
      <c r="C2318" s="9">
        <v>10081326</v>
      </c>
      <c r="D2318" s="2" t="s">
        <v>3612</v>
      </c>
      <c r="E2318" s="10">
        <v>5</v>
      </c>
      <c r="F2318" s="9" t="s">
        <v>3613</v>
      </c>
      <c r="G2318" s="11">
        <v>46238</v>
      </c>
      <c r="H2318" s="12">
        <v>114.33</v>
      </c>
      <c r="I2318" s="12">
        <v>101.75</v>
      </c>
      <c r="J2318" s="9" t="s">
        <v>3</v>
      </c>
      <c r="K2318" s="8">
        <v>0</v>
      </c>
    </row>
    <row r="2319" spans="1:11">
      <c r="A2319" s="2" t="s">
        <v>3583</v>
      </c>
      <c r="B2319" s="2" t="s">
        <v>3584</v>
      </c>
      <c r="C2319" s="9">
        <v>10081327</v>
      </c>
      <c r="D2319" s="2" t="s">
        <v>3614</v>
      </c>
      <c r="E2319" s="10">
        <v>7</v>
      </c>
      <c r="F2319" s="9" t="s">
        <v>3613</v>
      </c>
      <c r="G2319" s="11">
        <v>46238</v>
      </c>
      <c r="H2319" s="12">
        <v>160.06</v>
      </c>
      <c r="I2319" s="12">
        <v>142.44999999999999</v>
      </c>
      <c r="J2319" s="9" t="s">
        <v>3</v>
      </c>
      <c r="K2319" s="8">
        <v>0</v>
      </c>
    </row>
    <row r="2320" spans="1:11">
      <c r="A2320" s="2" t="s">
        <v>1246</v>
      </c>
      <c r="B2320" s="2" t="s">
        <v>1879</v>
      </c>
      <c r="C2320" s="9">
        <v>10081328</v>
      </c>
      <c r="D2320" s="2" t="s">
        <v>3615</v>
      </c>
      <c r="E2320" s="10">
        <v>6</v>
      </c>
      <c r="F2320" s="9" t="s">
        <v>763</v>
      </c>
      <c r="G2320" s="11">
        <v>46238</v>
      </c>
      <c r="H2320" s="12">
        <v>80.599999999999994</v>
      </c>
      <c r="I2320" s="12">
        <v>71.760000000000005</v>
      </c>
      <c r="J2320" s="9" t="s">
        <v>3</v>
      </c>
      <c r="K2320" s="8">
        <v>0</v>
      </c>
    </row>
    <row r="2321" spans="1:11">
      <c r="A2321" s="2" t="s">
        <v>1246</v>
      </c>
      <c r="B2321" s="2" t="s">
        <v>1879</v>
      </c>
      <c r="C2321" s="9">
        <v>10081329</v>
      </c>
      <c r="D2321" s="2" t="s">
        <v>3616</v>
      </c>
      <c r="E2321" s="10">
        <v>6</v>
      </c>
      <c r="F2321" s="9" t="s">
        <v>763</v>
      </c>
      <c r="G2321" s="11">
        <v>46238</v>
      </c>
      <c r="H2321" s="12">
        <v>80.599999999999994</v>
      </c>
      <c r="I2321" s="12">
        <v>71.760000000000005</v>
      </c>
      <c r="J2321" s="9" t="s">
        <v>3</v>
      </c>
      <c r="K2321" s="8">
        <v>0</v>
      </c>
    </row>
    <row r="2322" spans="1:11">
      <c r="A2322" s="2" t="s">
        <v>1246</v>
      </c>
      <c r="B2322" s="2" t="s">
        <v>1879</v>
      </c>
      <c r="C2322" s="9">
        <v>10081330</v>
      </c>
      <c r="D2322" s="2" t="s">
        <v>3617</v>
      </c>
      <c r="E2322" s="10">
        <v>6</v>
      </c>
      <c r="F2322" s="9" t="s">
        <v>763</v>
      </c>
      <c r="G2322" s="11">
        <v>46238</v>
      </c>
      <c r="H2322" s="12">
        <v>80.599999999999994</v>
      </c>
      <c r="I2322" s="12">
        <v>71.760000000000005</v>
      </c>
      <c r="J2322" s="9" t="s">
        <v>3</v>
      </c>
      <c r="K2322" s="8">
        <v>0</v>
      </c>
    </row>
    <row r="2323" spans="1:11">
      <c r="A2323" s="2" t="s">
        <v>3583</v>
      </c>
      <c r="B2323" s="2" t="s">
        <v>3584</v>
      </c>
      <c r="C2323" s="9">
        <v>10081331</v>
      </c>
      <c r="D2323" s="2" t="s">
        <v>3618</v>
      </c>
      <c r="E2323" s="10">
        <v>6</v>
      </c>
      <c r="F2323" s="9" t="s">
        <v>776</v>
      </c>
      <c r="G2323" s="11">
        <v>46238</v>
      </c>
      <c r="H2323" s="12">
        <v>80.599999999999994</v>
      </c>
      <c r="I2323" s="12">
        <v>71.760000000000005</v>
      </c>
      <c r="J2323" s="9" t="s">
        <v>3</v>
      </c>
      <c r="K2323" s="8">
        <v>0</v>
      </c>
    </row>
    <row r="2324" spans="1:11">
      <c r="A2324" s="2" t="s">
        <v>3583</v>
      </c>
      <c r="B2324" s="2" t="s">
        <v>3584</v>
      </c>
      <c r="C2324" s="9">
        <v>10081332</v>
      </c>
      <c r="D2324" s="2" t="s">
        <v>3619</v>
      </c>
      <c r="E2324" s="10">
        <v>6</v>
      </c>
      <c r="F2324" s="9" t="s">
        <v>776</v>
      </c>
      <c r="G2324" s="11">
        <v>46238</v>
      </c>
      <c r="H2324" s="12">
        <v>80.599999999999994</v>
      </c>
      <c r="I2324" s="12">
        <v>71.760000000000005</v>
      </c>
      <c r="J2324" s="9" t="s">
        <v>3</v>
      </c>
      <c r="K2324" s="8">
        <v>0</v>
      </c>
    </row>
    <row r="2325" spans="1:11">
      <c r="A2325" s="2" t="s">
        <v>3583</v>
      </c>
      <c r="B2325" s="2" t="s">
        <v>3584</v>
      </c>
      <c r="C2325" s="9">
        <v>10081333</v>
      </c>
      <c r="D2325" s="2" t="s">
        <v>3620</v>
      </c>
      <c r="E2325" s="10">
        <v>6</v>
      </c>
      <c r="F2325" s="9" t="s">
        <v>776</v>
      </c>
      <c r="G2325" s="11">
        <v>46238</v>
      </c>
      <c r="H2325" s="12">
        <v>80.599999999999994</v>
      </c>
      <c r="I2325" s="12">
        <v>71.760000000000005</v>
      </c>
      <c r="J2325" s="9" t="s">
        <v>3</v>
      </c>
      <c r="K2325" s="8">
        <v>0</v>
      </c>
    </row>
    <row r="2326" spans="1:11">
      <c r="A2326" s="2" t="s">
        <v>3583</v>
      </c>
      <c r="B2326" s="2" t="s">
        <v>3584</v>
      </c>
      <c r="C2326" s="9">
        <v>10081334</v>
      </c>
      <c r="D2326" s="2" t="s">
        <v>3621</v>
      </c>
      <c r="E2326" s="10">
        <v>6</v>
      </c>
      <c r="F2326" s="9" t="s">
        <v>776</v>
      </c>
      <c r="G2326" s="11">
        <v>46238</v>
      </c>
      <c r="H2326" s="12">
        <v>70.599999999999994</v>
      </c>
      <c r="I2326" s="12">
        <v>62.82</v>
      </c>
      <c r="J2326" s="9" t="s">
        <v>3</v>
      </c>
      <c r="K2326" s="8">
        <v>0</v>
      </c>
    </row>
    <row r="2327" spans="1:11">
      <c r="A2327" s="2" t="s">
        <v>3583</v>
      </c>
      <c r="B2327" s="2" t="s">
        <v>3584</v>
      </c>
      <c r="C2327" s="9">
        <v>10081335</v>
      </c>
      <c r="D2327" s="2" t="s">
        <v>3622</v>
      </c>
      <c r="E2327" s="10">
        <v>6</v>
      </c>
      <c r="F2327" s="9" t="s">
        <v>776</v>
      </c>
      <c r="G2327" s="11">
        <v>46238</v>
      </c>
      <c r="H2327" s="12">
        <v>70.599999999999994</v>
      </c>
      <c r="I2327" s="12">
        <v>62.82</v>
      </c>
      <c r="J2327" s="9" t="s">
        <v>3</v>
      </c>
      <c r="K2327" s="8">
        <v>0</v>
      </c>
    </row>
    <row r="2328" spans="1:11">
      <c r="A2328" s="2" t="s">
        <v>3583</v>
      </c>
      <c r="B2328" s="2" t="s">
        <v>3584</v>
      </c>
      <c r="C2328" s="9">
        <v>10081336</v>
      </c>
      <c r="D2328" s="2" t="s">
        <v>3623</v>
      </c>
      <c r="E2328" s="10">
        <v>6</v>
      </c>
      <c r="F2328" s="9" t="s">
        <v>776</v>
      </c>
      <c r="G2328" s="11">
        <v>46238</v>
      </c>
      <c r="H2328" s="12">
        <v>70.599999999999994</v>
      </c>
      <c r="I2328" s="12">
        <v>62.82</v>
      </c>
      <c r="J2328" s="9" t="s">
        <v>3</v>
      </c>
      <c r="K2328" s="8">
        <v>0</v>
      </c>
    </row>
    <row r="2329" spans="1:11">
      <c r="A2329" s="2" t="s">
        <v>3583</v>
      </c>
      <c r="B2329" s="2" t="s">
        <v>3584</v>
      </c>
      <c r="C2329" s="9">
        <v>10081337</v>
      </c>
      <c r="D2329" s="2" t="s">
        <v>3624</v>
      </c>
      <c r="E2329" s="10">
        <v>6</v>
      </c>
      <c r="F2329" s="9" t="s">
        <v>3593</v>
      </c>
      <c r="G2329" s="11">
        <v>46238</v>
      </c>
      <c r="H2329" s="12">
        <v>70.599999999999994</v>
      </c>
      <c r="I2329" s="12">
        <v>62.82</v>
      </c>
      <c r="J2329" s="9" t="s">
        <v>3</v>
      </c>
      <c r="K2329" s="8">
        <v>0</v>
      </c>
    </row>
    <row r="2330" spans="1:11">
      <c r="A2330" s="2" t="s">
        <v>3583</v>
      </c>
      <c r="B2330" s="2" t="s">
        <v>3584</v>
      </c>
      <c r="C2330" s="9">
        <v>10081338</v>
      </c>
      <c r="D2330" s="2" t="s">
        <v>3625</v>
      </c>
      <c r="E2330" s="10">
        <v>6</v>
      </c>
      <c r="F2330" s="9" t="s">
        <v>763</v>
      </c>
      <c r="G2330" s="11">
        <v>46238</v>
      </c>
      <c r="H2330" s="12">
        <v>80.599999999999994</v>
      </c>
      <c r="I2330" s="12">
        <v>71.760000000000005</v>
      </c>
      <c r="J2330" s="9" t="s">
        <v>3</v>
      </c>
      <c r="K2330" s="8">
        <v>0</v>
      </c>
    </row>
    <row r="2331" spans="1:11">
      <c r="A2331" s="2" t="s">
        <v>3583</v>
      </c>
      <c r="B2331" s="2" t="s">
        <v>3584</v>
      </c>
      <c r="C2331" s="9">
        <v>10081339</v>
      </c>
      <c r="D2331" s="2" t="s">
        <v>3626</v>
      </c>
      <c r="E2331" s="10">
        <v>6</v>
      </c>
      <c r="F2331" s="9" t="s">
        <v>763</v>
      </c>
      <c r="G2331" s="11">
        <v>46238</v>
      </c>
      <c r="H2331" s="12">
        <v>80.599999999999994</v>
      </c>
      <c r="I2331" s="12">
        <v>71.760000000000005</v>
      </c>
      <c r="J2331" s="9" t="s">
        <v>3</v>
      </c>
      <c r="K2331" s="8">
        <v>0</v>
      </c>
    </row>
    <row r="2332" spans="1:11">
      <c r="A2332" s="2" t="s">
        <v>3583</v>
      </c>
      <c r="B2332" s="2" t="s">
        <v>3584</v>
      </c>
      <c r="C2332" s="9">
        <v>10081341</v>
      </c>
      <c r="D2332" s="2" t="s">
        <v>3627</v>
      </c>
      <c r="E2332" s="10">
        <v>80</v>
      </c>
      <c r="F2332" s="9" t="s">
        <v>3628</v>
      </c>
      <c r="G2332" s="11">
        <v>46238</v>
      </c>
      <c r="H2332" s="12">
        <v>755.2</v>
      </c>
      <c r="I2332" s="12">
        <v>672</v>
      </c>
      <c r="J2332" s="9" t="s">
        <v>3</v>
      </c>
      <c r="K2332" s="8">
        <v>0</v>
      </c>
    </row>
    <row r="2333" spans="1:11">
      <c r="A2333" s="2" t="s">
        <v>3583</v>
      </c>
      <c r="B2333" s="2" t="s">
        <v>3584</v>
      </c>
      <c r="C2333" s="9">
        <v>10081342</v>
      </c>
      <c r="D2333" s="2" t="s">
        <v>3629</v>
      </c>
      <c r="E2333" s="10">
        <v>6</v>
      </c>
      <c r="F2333" s="9" t="s">
        <v>3606</v>
      </c>
      <c r="G2333" s="11">
        <v>46238</v>
      </c>
      <c r="H2333" s="12">
        <v>43.1</v>
      </c>
      <c r="I2333" s="12">
        <v>38.4</v>
      </c>
      <c r="J2333" s="9" t="s">
        <v>3</v>
      </c>
      <c r="K2333" s="8">
        <v>0</v>
      </c>
    </row>
    <row r="2334" spans="1:11">
      <c r="A2334" s="2" t="s">
        <v>3583</v>
      </c>
      <c r="B2334" s="2" t="s">
        <v>3584</v>
      </c>
      <c r="C2334" s="9">
        <v>10081343</v>
      </c>
      <c r="D2334" s="2" t="s">
        <v>3630</v>
      </c>
      <c r="E2334" s="10">
        <v>6</v>
      </c>
      <c r="F2334" s="9" t="s">
        <v>3606</v>
      </c>
      <c r="G2334" s="11">
        <v>46238</v>
      </c>
      <c r="H2334" s="12">
        <v>43.1</v>
      </c>
      <c r="I2334" s="12">
        <v>38.4</v>
      </c>
      <c r="J2334" s="9" t="s">
        <v>3</v>
      </c>
      <c r="K2334" s="8">
        <v>0</v>
      </c>
    </row>
    <row r="2335" spans="1:11">
      <c r="A2335" s="2" t="s">
        <v>3583</v>
      </c>
      <c r="B2335" s="2" t="s">
        <v>3584</v>
      </c>
      <c r="C2335" s="9">
        <v>10081344</v>
      </c>
      <c r="D2335" s="2" t="s">
        <v>3631</v>
      </c>
      <c r="E2335" s="10">
        <v>6</v>
      </c>
      <c r="F2335" s="9" t="s">
        <v>3606</v>
      </c>
      <c r="G2335" s="11">
        <v>46238</v>
      </c>
      <c r="H2335" s="12">
        <v>43.1</v>
      </c>
      <c r="I2335" s="12">
        <v>38.4</v>
      </c>
      <c r="J2335" s="9" t="s">
        <v>3</v>
      </c>
      <c r="K2335" s="8">
        <v>0</v>
      </c>
    </row>
    <row r="2336" spans="1:11">
      <c r="A2336" s="2" t="s">
        <v>3583</v>
      </c>
      <c r="B2336" s="2" t="s">
        <v>3584</v>
      </c>
      <c r="C2336" s="9">
        <v>10081345</v>
      </c>
      <c r="D2336" s="2" t="s">
        <v>3632</v>
      </c>
      <c r="E2336" s="10">
        <v>6</v>
      </c>
      <c r="F2336" s="9" t="s">
        <v>3606</v>
      </c>
      <c r="G2336" s="11">
        <v>46238</v>
      </c>
      <c r="H2336" s="12">
        <v>43.1</v>
      </c>
      <c r="I2336" s="12">
        <v>38.4</v>
      </c>
      <c r="J2336" s="9" t="s">
        <v>3</v>
      </c>
      <c r="K2336" s="8">
        <v>0</v>
      </c>
    </row>
    <row r="2337" spans="1:11">
      <c r="A2337" s="2" t="s">
        <v>3583</v>
      </c>
      <c r="B2337" s="2" t="s">
        <v>3584</v>
      </c>
      <c r="C2337" s="9">
        <v>10081346</v>
      </c>
      <c r="D2337" s="2" t="s">
        <v>3633</v>
      </c>
      <c r="E2337" s="10">
        <v>4</v>
      </c>
      <c r="F2337" s="9" t="s">
        <v>3593</v>
      </c>
      <c r="G2337" s="11">
        <v>46238</v>
      </c>
      <c r="H2337" s="12">
        <v>91.6</v>
      </c>
      <c r="I2337" s="12">
        <v>81.48</v>
      </c>
      <c r="J2337" s="9" t="s">
        <v>3</v>
      </c>
      <c r="K2337" s="8">
        <v>0</v>
      </c>
    </row>
    <row r="2338" spans="1:11">
      <c r="A2338" s="2" t="s">
        <v>3583</v>
      </c>
      <c r="B2338" s="2" t="s">
        <v>3584</v>
      </c>
      <c r="C2338" s="9">
        <v>10081347</v>
      </c>
      <c r="D2338" s="2" t="s">
        <v>3634</v>
      </c>
      <c r="E2338" s="10">
        <v>4</v>
      </c>
      <c r="F2338" s="9" t="s">
        <v>3593</v>
      </c>
      <c r="G2338" s="11">
        <v>46238</v>
      </c>
      <c r="H2338" s="12">
        <v>91.6</v>
      </c>
      <c r="I2338" s="12">
        <v>81.48</v>
      </c>
      <c r="J2338" s="9" t="s">
        <v>3</v>
      </c>
      <c r="K2338" s="8">
        <v>0</v>
      </c>
    </row>
    <row r="2339" spans="1:11">
      <c r="A2339" s="2" t="s">
        <v>834</v>
      </c>
      <c r="B2339" s="2" t="s">
        <v>3635</v>
      </c>
      <c r="C2339" s="9">
        <v>10081400</v>
      </c>
      <c r="D2339" s="2" t="s">
        <v>3636</v>
      </c>
      <c r="E2339" s="10">
        <v>1</v>
      </c>
      <c r="F2339" s="9" t="s">
        <v>3637</v>
      </c>
      <c r="G2339" s="11">
        <v>46238</v>
      </c>
      <c r="H2339" s="12">
        <v>62.2</v>
      </c>
      <c r="I2339" s="12">
        <v>57.22</v>
      </c>
      <c r="J2339" s="9" t="s">
        <v>3</v>
      </c>
      <c r="K2339" s="8">
        <v>1</v>
      </c>
    </row>
    <row r="2340" spans="1:11">
      <c r="A2340" s="2" t="s">
        <v>834</v>
      </c>
      <c r="B2340" s="2" t="s">
        <v>3635</v>
      </c>
      <c r="C2340" s="9">
        <v>10081401</v>
      </c>
      <c r="D2340" s="2" t="s">
        <v>3638</v>
      </c>
      <c r="E2340" s="10">
        <v>1</v>
      </c>
      <c r="F2340" s="9" t="s">
        <v>3639</v>
      </c>
      <c r="G2340" s="11">
        <v>46238</v>
      </c>
      <c r="H2340" s="12">
        <v>52.14</v>
      </c>
      <c r="I2340" s="12">
        <v>47.97</v>
      </c>
      <c r="J2340" s="9" t="s">
        <v>3</v>
      </c>
      <c r="K2340" s="8">
        <v>1</v>
      </c>
    </row>
    <row r="2341" spans="1:11">
      <c r="A2341" s="2" t="s">
        <v>834</v>
      </c>
      <c r="B2341" s="2" t="s">
        <v>3635</v>
      </c>
      <c r="C2341" s="9">
        <v>10081402</v>
      </c>
      <c r="D2341" s="2" t="s">
        <v>3640</v>
      </c>
      <c r="E2341" s="10">
        <v>1</v>
      </c>
      <c r="F2341" s="9" t="s">
        <v>1352</v>
      </c>
      <c r="G2341" s="11">
        <v>46238</v>
      </c>
      <c r="H2341" s="12">
        <v>56.66</v>
      </c>
      <c r="I2341" s="12">
        <v>52.13</v>
      </c>
      <c r="J2341" s="9" t="s">
        <v>3</v>
      </c>
      <c r="K2341" s="8">
        <v>1</v>
      </c>
    </row>
    <row r="2342" spans="1:11">
      <c r="A2342" s="2" t="s">
        <v>708</v>
      </c>
      <c r="B2342" s="2" t="s">
        <v>743</v>
      </c>
      <c r="C2342" s="9">
        <v>10082341</v>
      </c>
      <c r="D2342" s="2" t="s">
        <v>3641</v>
      </c>
      <c r="E2342" s="10">
        <v>1</v>
      </c>
      <c r="F2342" s="9" t="s">
        <v>745</v>
      </c>
      <c r="G2342" s="11">
        <v>46238</v>
      </c>
      <c r="H2342" s="12">
        <v>72.72</v>
      </c>
      <c r="I2342" s="12">
        <v>64.72</v>
      </c>
      <c r="J2342" s="9" t="s">
        <v>3</v>
      </c>
      <c r="K2342" s="8">
        <v>0</v>
      </c>
    </row>
    <row r="2343" spans="1:11">
      <c r="A2343" s="2" t="s">
        <v>834</v>
      </c>
      <c r="B2343" s="2" t="s">
        <v>3635</v>
      </c>
      <c r="C2343" s="9">
        <v>10082735</v>
      </c>
      <c r="D2343" s="2" t="s">
        <v>3642</v>
      </c>
      <c r="E2343" s="10">
        <v>9</v>
      </c>
      <c r="F2343" s="9" t="s">
        <v>1095</v>
      </c>
      <c r="G2343" s="11">
        <v>46238</v>
      </c>
      <c r="H2343" s="12">
        <v>159.05000000000001</v>
      </c>
      <c r="I2343" s="12">
        <v>146.33000000000001</v>
      </c>
      <c r="J2343" s="9" t="s">
        <v>3</v>
      </c>
      <c r="K2343" s="8">
        <v>0</v>
      </c>
    </row>
    <row r="2344" spans="1:11">
      <c r="A2344" s="2" t="s">
        <v>834</v>
      </c>
      <c r="B2344" s="2" t="s">
        <v>3635</v>
      </c>
      <c r="C2344" s="9">
        <v>10082736</v>
      </c>
      <c r="D2344" s="2" t="s">
        <v>3643</v>
      </c>
      <c r="E2344" s="10">
        <v>12</v>
      </c>
      <c r="F2344" s="9" t="s">
        <v>995</v>
      </c>
      <c r="G2344" s="11">
        <v>46238</v>
      </c>
      <c r="H2344" s="12">
        <v>100.76</v>
      </c>
      <c r="I2344" s="12">
        <v>92.7</v>
      </c>
      <c r="J2344" s="9" t="s">
        <v>3</v>
      </c>
      <c r="K2344" s="8">
        <v>0</v>
      </c>
    </row>
    <row r="2345" spans="1:11">
      <c r="A2345" s="2" t="s">
        <v>2740</v>
      </c>
      <c r="B2345" s="2" t="s">
        <v>3644</v>
      </c>
      <c r="C2345" s="9">
        <v>10083413</v>
      </c>
      <c r="D2345" s="2" t="s">
        <v>3645</v>
      </c>
      <c r="E2345" s="10">
        <v>12</v>
      </c>
      <c r="F2345" s="9" t="s">
        <v>1045</v>
      </c>
      <c r="G2345" s="11">
        <v>46238</v>
      </c>
      <c r="H2345" s="12">
        <v>34.57</v>
      </c>
      <c r="I2345" s="12">
        <v>30.77</v>
      </c>
      <c r="J2345" s="9" t="s">
        <v>3</v>
      </c>
      <c r="K2345" s="8">
        <v>0</v>
      </c>
    </row>
    <row r="2346" spans="1:11">
      <c r="A2346" s="2" t="s">
        <v>2740</v>
      </c>
      <c r="B2346" s="2" t="s">
        <v>3644</v>
      </c>
      <c r="C2346" s="9">
        <v>10083428</v>
      </c>
      <c r="D2346" s="2" t="s">
        <v>3646</v>
      </c>
      <c r="E2346" s="10">
        <v>12</v>
      </c>
      <c r="F2346" s="9" t="s">
        <v>1045</v>
      </c>
      <c r="G2346" s="11">
        <v>46238</v>
      </c>
      <c r="H2346" s="12">
        <v>34.57</v>
      </c>
      <c r="I2346" s="12">
        <v>30.77</v>
      </c>
      <c r="J2346" s="9" t="s">
        <v>3</v>
      </c>
      <c r="K2346" s="8">
        <v>0</v>
      </c>
    </row>
    <row r="2347" spans="1:11">
      <c r="A2347" s="2" t="s">
        <v>2740</v>
      </c>
      <c r="B2347" s="2" t="s">
        <v>3644</v>
      </c>
      <c r="C2347" s="9">
        <v>10083429</v>
      </c>
      <c r="D2347" s="2" t="s">
        <v>3647</v>
      </c>
      <c r="E2347" s="10">
        <v>12</v>
      </c>
      <c r="F2347" s="9" t="s">
        <v>1045</v>
      </c>
      <c r="G2347" s="11">
        <v>46238</v>
      </c>
      <c r="H2347" s="12">
        <v>34.57</v>
      </c>
      <c r="I2347" s="12">
        <v>30.77</v>
      </c>
      <c r="J2347" s="9" t="s">
        <v>3</v>
      </c>
      <c r="K2347" s="8">
        <v>0</v>
      </c>
    </row>
    <row r="2348" spans="1:11">
      <c r="A2348" s="2" t="s">
        <v>2740</v>
      </c>
      <c r="B2348" s="2" t="s">
        <v>3644</v>
      </c>
      <c r="C2348" s="9">
        <v>10083436</v>
      </c>
      <c r="D2348" s="2" t="s">
        <v>3648</v>
      </c>
      <c r="E2348" s="10">
        <v>12</v>
      </c>
      <c r="F2348" s="9" t="s">
        <v>982</v>
      </c>
      <c r="G2348" s="11">
        <v>46238</v>
      </c>
      <c r="H2348" s="12">
        <v>34.57</v>
      </c>
      <c r="I2348" s="12">
        <v>30.77</v>
      </c>
      <c r="J2348" s="9" t="s">
        <v>3</v>
      </c>
      <c r="K2348" s="8">
        <v>0</v>
      </c>
    </row>
    <row r="2349" spans="1:11">
      <c r="A2349" s="2" t="s">
        <v>2740</v>
      </c>
      <c r="B2349" s="2" t="s">
        <v>3649</v>
      </c>
      <c r="C2349" s="9">
        <v>10083460</v>
      </c>
      <c r="D2349" s="2" t="s">
        <v>3650</v>
      </c>
      <c r="E2349" s="10">
        <v>12</v>
      </c>
      <c r="F2349" s="9" t="s">
        <v>776</v>
      </c>
      <c r="G2349" s="11">
        <v>46238</v>
      </c>
      <c r="H2349" s="12">
        <v>54.13</v>
      </c>
      <c r="I2349" s="12">
        <v>48.18</v>
      </c>
      <c r="J2349" s="9" t="s">
        <v>3</v>
      </c>
      <c r="K2349" s="8">
        <v>0</v>
      </c>
    </row>
    <row r="2350" spans="1:11">
      <c r="A2350" s="2" t="s">
        <v>2740</v>
      </c>
      <c r="B2350" s="2" t="s">
        <v>3649</v>
      </c>
      <c r="C2350" s="9">
        <v>10083462</v>
      </c>
      <c r="D2350" s="2" t="s">
        <v>3651</v>
      </c>
      <c r="E2350" s="10">
        <v>12</v>
      </c>
      <c r="F2350" s="9" t="s">
        <v>776</v>
      </c>
      <c r="G2350" s="11">
        <v>46238</v>
      </c>
      <c r="H2350" s="12">
        <v>54.13</v>
      </c>
      <c r="I2350" s="12">
        <v>48.18</v>
      </c>
      <c r="J2350" s="9" t="s">
        <v>3</v>
      </c>
      <c r="K2350" s="8">
        <v>0</v>
      </c>
    </row>
    <row r="2351" spans="1:11">
      <c r="A2351" s="2" t="s">
        <v>2740</v>
      </c>
      <c r="B2351" s="2" t="s">
        <v>3649</v>
      </c>
      <c r="C2351" s="9">
        <v>10083464</v>
      </c>
      <c r="D2351" s="2" t="s">
        <v>3652</v>
      </c>
      <c r="E2351" s="10">
        <v>12</v>
      </c>
      <c r="F2351" s="9" t="s">
        <v>776</v>
      </c>
      <c r="G2351" s="11">
        <v>46238</v>
      </c>
      <c r="H2351" s="12">
        <v>54.13</v>
      </c>
      <c r="I2351" s="12">
        <v>48.18</v>
      </c>
      <c r="J2351" s="9" t="s">
        <v>3</v>
      </c>
      <c r="K2351" s="8">
        <v>0</v>
      </c>
    </row>
    <row r="2352" spans="1:11">
      <c r="A2352" s="2" t="s">
        <v>2740</v>
      </c>
      <c r="B2352" s="2" t="s">
        <v>3649</v>
      </c>
      <c r="C2352" s="9">
        <v>10083473</v>
      </c>
      <c r="D2352" s="2" t="s">
        <v>3653</v>
      </c>
      <c r="E2352" s="10">
        <v>12</v>
      </c>
      <c r="F2352" s="9" t="s">
        <v>776</v>
      </c>
      <c r="G2352" s="11">
        <v>46238</v>
      </c>
      <c r="H2352" s="12">
        <v>54.13</v>
      </c>
      <c r="I2352" s="12">
        <v>48.18</v>
      </c>
      <c r="J2352" s="9" t="s">
        <v>3</v>
      </c>
      <c r="K2352" s="8">
        <v>0</v>
      </c>
    </row>
    <row r="2353" spans="1:11">
      <c r="A2353" s="2" t="s">
        <v>708</v>
      </c>
      <c r="B2353" s="2" t="s">
        <v>743</v>
      </c>
      <c r="C2353" s="9">
        <v>10083495</v>
      </c>
      <c r="D2353" s="2" t="s">
        <v>3654</v>
      </c>
      <c r="E2353" s="10">
        <v>1</v>
      </c>
      <c r="F2353" s="9" t="s">
        <v>745</v>
      </c>
      <c r="G2353" s="11">
        <v>46238</v>
      </c>
      <c r="H2353" s="12">
        <v>322.83</v>
      </c>
      <c r="I2353" s="12">
        <v>287.32</v>
      </c>
      <c r="J2353" s="9" t="s">
        <v>3</v>
      </c>
      <c r="K2353" s="8">
        <v>0</v>
      </c>
    </row>
    <row r="2354" spans="1:11">
      <c r="A2354" s="2" t="s">
        <v>2740</v>
      </c>
      <c r="B2354" s="2" t="s">
        <v>3649</v>
      </c>
      <c r="C2354" s="9">
        <v>10083502</v>
      </c>
      <c r="D2354" s="2" t="s">
        <v>3655</v>
      </c>
      <c r="E2354" s="10">
        <v>12</v>
      </c>
      <c r="F2354" s="9" t="s">
        <v>1367</v>
      </c>
      <c r="G2354" s="11">
        <v>46238</v>
      </c>
      <c r="H2354" s="12">
        <v>54.13</v>
      </c>
      <c r="I2354" s="12">
        <v>48.18</v>
      </c>
      <c r="J2354" s="9" t="s">
        <v>3</v>
      </c>
      <c r="K2354" s="8">
        <v>0</v>
      </c>
    </row>
    <row r="2355" spans="1:11">
      <c r="A2355" s="2" t="s">
        <v>708</v>
      </c>
      <c r="B2355" s="2" t="s">
        <v>743</v>
      </c>
      <c r="C2355" s="9">
        <v>10083506</v>
      </c>
      <c r="D2355" s="2" t="s">
        <v>3656</v>
      </c>
      <c r="E2355" s="10">
        <v>1</v>
      </c>
      <c r="F2355" s="9" t="s">
        <v>745</v>
      </c>
      <c r="G2355" s="11">
        <v>46238</v>
      </c>
      <c r="H2355" s="12">
        <v>69.91</v>
      </c>
      <c r="I2355" s="12">
        <v>62.21</v>
      </c>
      <c r="J2355" s="9" t="s">
        <v>3</v>
      </c>
      <c r="K2355" s="8">
        <v>0</v>
      </c>
    </row>
    <row r="2356" spans="1:11">
      <c r="A2356" s="2" t="s">
        <v>2740</v>
      </c>
      <c r="B2356" s="2" t="s">
        <v>3644</v>
      </c>
      <c r="C2356" s="9">
        <v>10083522</v>
      </c>
      <c r="D2356" s="2" t="s">
        <v>3657</v>
      </c>
      <c r="E2356" s="10">
        <v>200</v>
      </c>
      <c r="F2356" s="9" t="s">
        <v>3658</v>
      </c>
      <c r="G2356" s="11">
        <v>46238</v>
      </c>
      <c r="H2356" s="12">
        <v>56.69</v>
      </c>
      <c r="I2356" s="12">
        <v>50.45</v>
      </c>
      <c r="J2356" s="9" t="s">
        <v>3</v>
      </c>
      <c r="K2356" s="8">
        <v>0</v>
      </c>
    </row>
    <row r="2357" spans="1:11">
      <c r="A2357" s="2" t="s">
        <v>746</v>
      </c>
      <c r="B2357" s="2" t="s">
        <v>3659</v>
      </c>
      <c r="C2357" s="9">
        <v>10084016</v>
      </c>
      <c r="D2357" s="2" t="s">
        <v>3660</v>
      </c>
      <c r="E2357" s="10">
        <v>24</v>
      </c>
      <c r="F2357" s="9" t="s">
        <v>731</v>
      </c>
      <c r="G2357" s="11">
        <v>46238</v>
      </c>
      <c r="H2357" s="12">
        <v>42.46</v>
      </c>
      <c r="I2357" s="12">
        <v>37.79</v>
      </c>
      <c r="J2357" s="9" t="s">
        <v>3</v>
      </c>
      <c r="K2357" s="8">
        <v>0</v>
      </c>
    </row>
    <row r="2358" spans="1:11">
      <c r="A2358" s="2" t="s">
        <v>746</v>
      </c>
      <c r="B2358" s="2" t="s">
        <v>3659</v>
      </c>
      <c r="C2358" s="9">
        <v>10084022</v>
      </c>
      <c r="D2358" s="2" t="s">
        <v>3661</v>
      </c>
      <c r="E2358" s="10">
        <v>24</v>
      </c>
      <c r="F2358" s="9" t="s">
        <v>3662</v>
      </c>
      <c r="G2358" s="11">
        <v>46238</v>
      </c>
      <c r="H2358" s="12">
        <v>42.46</v>
      </c>
      <c r="I2358" s="12">
        <v>37.79</v>
      </c>
      <c r="J2358" s="9" t="s">
        <v>3</v>
      </c>
      <c r="K2358" s="8">
        <v>0</v>
      </c>
    </row>
    <row r="2359" spans="1:11">
      <c r="A2359" s="2" t="s">
        <v>746</v>
      </c>
      <c r="B2359" s="2" t="s">
        <v>3659</v>
      </c>
      <c r="C2359" s="9">
        <v>10084028</v>
      </c>
      <c r="D2359" s="2" t="s">
        <v>3663</v>
      </c>
      <c r="E2359" s="10">
        <v>24</v>
      </c>
      <c r="F2359" s="9" t="s">
        <v>3662</v>
      </c>
      <c r="G2359" s="11">
        <v>46238</v>
      </c>
      <c r="H2359" s="12">
        <v>42.46</v>
      </c>
      <c r="I2359" s="12">
        <v>37.79</v>
      </c>
      <c r="J2359" s="9" t="s">
        <v>3</v>
      </c>
      <c r="K2359" s="8">
        <v>0</v>
      </c>
    </row>
    <row r="2360" spans="1:11">
      <c r="A2360" s="2" t="s">
        <v>708</v>
      </c>
      <c r="B2360" s="2" t="s">
        <v>1679</v>
      </c>
      <c r="C2360" s="9">
        <v>10084907</v>
      </c>
      <c r="D2360" s="2" t="s">
        <v>3664</v>
      </c>
      <c r="E2360" s="10">
        <v>6</v>
      </c>
      <c r="F2360" s="9" t="s">
        <v>3665</v>
      </c>
      <c r="G2360" s="11">
        <v>46238</v>
      </c>
      <c r="H2360" s="12">
        <v>55.09</v>
      </c>
      <c r="I2360" s="12">
        <v>49.05</v>
      </c>
      <c r="J2360" s="9" t="s">
        <v>3</v>
      </c>
      <c r="K2360" s="8">
        <v>0</v>
      </c>
    </row>
    <row r="2361" spans="1:11">
      <c r="A2361" s="2" t="s">
        <v>663</v>
      </c>
      <c r="B2361" s="2" t="s">
        <v>2397</v>
      </c>
      <c r="C2361" s="9">
        <v>10085799</v>
      </c>
      <c r="D2361" s="2" t="s">
        <v>3666</v>
      </c>
      <c r="E2361" s="10">
        <v>1</v>
      </c>
      <c r="F2361" s="9" t="s">
        <v>1428</v>
      </c>
      <c r="G2361" s="11">
        <v>46238</v>
      </c>
      <c r="H2361" s="12">
        <v>189.54</v>
      </c>
      <c r="I2361" s="12">
        <v>168.69</v>
      </c>
      <c r="J2361" s="9" t="s">
        <v>3</v>
      </c>
      <c r="K2361" s="8">
        <v>0</v>
      </c>
    </row>
    <row r="2362" spans="1:11">
      <c r="A2362" s="2" t="s">
        <v>834</v>
      </c>
      <c r="B2362" s="2" t="s">
        <v>3667</v>
      </c>
      <c r="C2362" s="9">
        <v>10088000</v>
      </c>
      <c r="D2362" s="2" t="s">
        <v>3668</v>
      </c>
      <c r="E2362" s="10">
        <v>12</v>
      </c>
      <c r="F2362" s="9" t="s">
        <v>866</v>
      </c>
      <c r="G2362" s="11">
        <v>46238</v>
      </c>
      <c r="H2362" s="12">
        <v>68.02</v>
      </c>
      <c r="I2362" s="12">
        <v>60.54</v>
      </c>
      <c r="J2362" s="9" t="s">
        <v>3</v>
      </c>
      <c r="K2362" s="8">
        <v>0</v>
      </c>
    </row>
    <row r="2363" spans="1:11">
      <c r="A2363" s="2" t="s">
        <v>834</v>
      </c>
      <c r="B2363" s="2" t="s">
        <v>3667</v>
      </c>
      <c r="C2363" s="9">
        <v>10088001</v>
      </c>
      <c r="D2363" s="2" t="s">
        <v>3669</v>
      </c>
      <c r="E2363" s="10">
        <v>12</v>
      </c>
      <c r="F2363" s="9" t="s">
        <v>776</v>
      </c>
      <c r="G2363" s="11">
        <v>46238</v>
      </c>
      <c r="H2363" s="12">
        <v>51.01</v>
      </c>
      <c r="I2363" s="12">
        <v>45.4</v>
      </c>
      <c r="J2363" s="9" t="s">
        <v>3</v>
      </c>
      <c r="K2363" s="8">
        <v>0</v>
      </c>
    </row>
    <row r="2364" spans="1:11">
      <c r="A2364" s="2" t="s">
        <v>834</v>
      </c>
      <c r="B2364" s="2" t="s">
        <v>3667</v>
      </c>
      <c r="C2364" s="9">
        <v>10088002</v>
      </c>
      <c r="D2364" s="2" t="s">
        <v>3670</v>
      </c>
      <c r="E2364" s="10">
        <v>12</v>
      </c>
      <c r="F2364" s="9" t="s">
        <v>776</v>
      </c>
      <c r="G2364" s="11">
        <v>46238</v>
      </c>
      <c r="H2364" s="12">
        <v>51.01</v>
      </c>
      <c r="I2364" s="12">
        <v>45.4</v>
      </c>
      <c r="J2364" s="9" t="s">
        <v>3</v>
      </c>
      <c r="K2364" s="8">
        <v>0</v>
      </c>
    </row>
    <row r="2365" spans="1:11">
      <c r="A2365" s="2" t="s">
        <v>834</v>
      </c>
      <c r="B2365" s="2" t="s">
        <v>3667</v>
      </c>
      <c r="C2365" s="9">
        <v>10088004</v>
      </c>
      <c r="D2365" s="2" t="s">
        <v>3671</v>
      </c>
      <c r="E2365" s="10">
        <v>12</v>
      </c>
      <c r="F2365" s="9" t="s">
        <v>2039</v>
      </c>
      <c r="G2365" s="11">
        <v>46238</v>
      </c>
      <c r="H2365" s="12">
        <v>156.16</v>
      </c>
      <c r="I2365" s="12">
        <v>138.97999999999999</v>
      </c>
      <c r="J2365" s="9" t="s">
        <v>3</v>
      </c>
      <c r="K2365" s="8">
        <v>0</v>
      </c>
    </row>
    <row r="2366" spans="1:11">
      <c r="A2366" s="2" t="s">
        <v>834</v>
      </c>
      <c r="B2366" s="2" t="s">
        <v>3667</v>
      </c>
      <c r="C2366" s="9">
        <v>10088006</v>
      </c>
      <c r="D2366" s="2" t="s">
        <v>3672</v>
      </c>
      <c r="E2366" s="10">
        <v>12</v>
      </c>
      <c r="F2366" s="9" t="s">
        <v>866</v>
      </c>
      <c r="G2366" s="11">
        <v>46238</v>
      </c>
      <c r="H2366" s="12">
        <v>68.02</v>
      </c>
      <c r="I2366" s="12">
        <v>60.54</v>
      </c>
      <c r="J2366" s="9" t="s">
        <v>3</v>
      </c>
      <c r="K2366" s="8">
        <v>0</v>
      </c>
    </row>
    <row r="2367" spans="1:11">
      <c r="A2367" s="2" t="s">
        <v>834</v>
      </c>
      <c r="B2367" s="2" t="s">
        <v>3667</v>
      </c>
      <c r="C2367" s="9">
        <v>10088007</v>
      </c>
      <c r="D2367" s="2" t="s">
        <v>3673</v>
      </c>
      <c r="E2367" s="10">
        <v>12</v>
      </c>
      <c r="F2367" s="9" t="s">
        <v>776</v>
      </c>
      <c r="G2367" s="11">
        <v>46238</v>
      </c>
      <c r="H2367" s="12">
        <v>51.01</v>
      </c>
      <c r="I2367" s="12">
        <v>45.4</v>
      </c>
      <c r="J2367" s="9" t="s">
        <v>3</v>
      </c>
      <c r="K2367" s="8">
        <v>0</v>
      </c>
    </row>
    <row r="2368" spans="1:11">
      <c r="A2368" s="2" t="s">
        <v>834</v>
      </c>
      <c r="B2368" s="2" t="s">
        <v>3667</v>
      </c>
      <c r="C2368" s="9">
        <v>10088009</v>
      </c>
      <c r="D2368" s="2" t="s">
        <v>3674</v>
      </c>
      <c r="E2368" s="10">
        <v>12</v>
      </c>
      <c r="F2368" s="9" t="s">
        <v>1849</v>
      </c>
      <c r="G2368" s="11">
        <v>46238</v>
      </c>
      <c r="H2368" s="12">
        <v>100.47</v>
      </c>
      <c r="I2368" s="12">
        <v>89.42</v>
      </c>
      <c r="J2368" s="9" t="s">
        <v>3</v>
      </c>
      <c r="K2368" s="8">
        <v>0</v>
      </c>
    </row>
    <row r="2369" spans="1:11">
      <c r="A2369" s="2" t="s">
        <v>834</v>
      </c>
      <c r="B2369" s="2" t="s">
        <v>3667</v>
      </c>
      <c r="C2369" s="9">
        <v>10088045</v>
      </c>
      <c r="D2369" s="2" t="s">
        <v>3675</v>
      </c>
      <c r="E2369" s="10">
        <v>12</v>
      </c>
      <c r="F2369" s="9" t="s">
        <v>3676</v>
      </c>
      <c r="G2369" s="11">
        <v>46238</v>
      </c>
      <c r="H2369" s="12">
        <v>152.03</v>
      </c>
      <c r="I2369" s="12">
        <v>139.87</v>
      </c>
      <c r="J2369" s="9" t="s">
        <v>3</v>
      </c>
      <c r="K2369" s="8">
        <v>0</v>
      </c>
    </row>
    <row r="2370" spans="1:11">
      <c r="A2370" s="2" t="s">
        <v>708</v>
      </c>
      <c r="B2370" s="2" t="s">
        <v>743</v>
      </c>
      <c r="C2370" s="9">
        <v>10089042</v>
      </c>
      <c r="D2370" s="2" t="s">
        <v>3677</v>
      </c>
      <c r="E2370" s="10">
        <v>1</v>
      </c>
      <c r="F2370" s="9" t="s">
        <v>745</v>
      </c>
      <c r="G2370" s="11">
        <v>46238</v>
      </c>
      <c r="H2370" s="12">
        <v>103.24</v>
      </c>
      <c r="I2370" s="12">
        <v>91.89</v>
      </c>
      <c r="J2370" s="9" t="s">
        <v>3</v>
      </c>
      <c r="K2370" s="8">
        <v>0</v>
      </c>
    </row>
    <row r="2371" spans="1:11">
      <c r="A2371" s="2" t="s">
        <v>708</v>
      </c>
      <c r="B2371" s="2" t="s">
        <v>743</v>
      </c>
      <c r="C2371" s="9">
        <v>10089043</v>
      </c>
      <c r="D2371" s="2" t="s">
        <v>3678</v>
      </c>
      <c r="E2371" s="10">
        <v>1</v>
      </c>
      <c r="F2371" s="9" t="s">
        <v>745</v>
      </c>
      <c r="G2371" s="11">
        <v>46238</v>
      </c>
      <c r="H2371" s="12">
        <v>93.13</v>
      </c>
      <c r="I2371" s="12">
        <v>82.89</v>
      </c>
      <c r="J2371" s="9" t="s">
        <v>3</v>
      </c>
      <c r="K2371" s="8">
        <v>0</v>
      </c>
    </row>
    <row r="2372" spans="1:11">
      <c r="A2372" s="2" t="s">
        <v>708</v>
      </c>
      <c r="B2372" s="2" t="s">
        <v>743</v>
      </c>
      <c r="C2372" s="9">
        <v>10089066</v>
      </c>
      <c r="D2372" s="2" t="s">
        <v>3679</v>
      </c>
      <c r="E2372" s="10">
        <v>8</v>
      </c>
      <c r="F2372" s="9" t="s">
        <v>1352</v>
      </c>
      <c r="G2372" s="11">
        <v>46238</v>
      </c>
      <c r="H2372" s="12">
        <v>63.26</v>
      </c>
      <c r="I2372" s="12">
        <v>56.33</v>
      </c>
      <c r="J2372" s="9" t="s">
        <v>3</v>
      </c>
      <c r="K2372" s="8">
        <v>0</v>
      </c>
    </row>
    <row r="2373" spans="1:11">
      <c r="A2373" s="2" t="s">
        <v>708</v>
      </c>
      <c r="B2373" s="2" t="s">
        <v>743</v>
      </c>
      <c r="C2373" s="9">
        <v>10089067</v>
      </c>
      <c r="D2373" s="2" t="s">
        <v>3680</v>
      </c>
      <c r="E2373" s="10">
        <v>8</v>
      </c>
      <c r="F2373" s="9" t="s">
        <v>1352</v>
      </c>
      <c r="G2373" s="11">
        <v>46238</v>
      </c>
      <c r="H2373" s="12">
        <v>49.31</v>
      </c>
      <c r="I2373" s="12">
        <v>43.92</v>
      </c>
      <c r="J2373" s="9" t="s">
        <v>3</v>
      </c>
      <c r="K2373" s="8">
        <v>0</v>
      </c>
    </row>
    <row r="2374" spans="1:11">
      <c r="A2374" s="2" t="s">
        <v>708</v>
      </c>
      <c r="B2374" s="2" t="s">
        <v>743</v>
      </c>
      <c r="C2374" s="9">
        <v>10089068</v>
      </c>
      <c r="D2374" s="2" t="s">
        <v>3681</v>
      </c>
      <c r="E2374" s="10">
        <v>8</v>
      </c>
      <c r="F2374" s="9" t="s">
        <v>1352</v>
      </c>
      <c r="G2374" s="11">
        <v>46238</v>
      </c>
      <c r="H2374" s="12">
        <v>49.31</v>
      </c>
      <c r="I2374" s="12">
        <v>43.92</v>
      </c>
      <c r="J2374" s="9" t="s">
        <v>3</v>
      </c>
      <c r="K2374" s="8">
        <v>0</v>
      </c>
    </row>
    <row r="2375" spans="1:11">
      <c r="A2375" s="2" t="s">
        <v>2740</v>
      </c>
      <c r="B2375" s="2" t="s">
        <v>3441</v>
      </c>
      <c r="C2375" s="9">
        <v>10089517</v>
      </c>
      <c r="D2375" s="2" t="s">
        <v>3682</v>
      </c>
      <c r="E2375" s="10">
        <v>12</v>
      </c>
      <c r="F2375" s="9" t="s">
        <v>3683</v>
      </c>
      <c r="G2375" s="11">
        <v>46238</v>
      </c>
      <c r="H2375" s="12">
        <v>99.19</v>
      </c>
      <c r="I2375" s="12">
        <v>88.28</v>
      </c>
      <c r="J2375" s="9" t="s">
        <v>3</v>
      </c>
      <c r="K2375" s="8">
        <v>0</v>
      </c>
    </row>
    <row r="2376" spans="1:11">
      <c r="A2376" s="2" t="s">
        <v>2740</v>
      </c>
      <c r="B2376" s="2" t="s">
        <v>3441</v>
      </c>
      <c r="C2376" s="9">
        <v>10089518</v>
      </c>
      <c r="D2376" s="2" t="s">
        <v>3684</v>
      </c>
      <c r="E2376" s="10">
        <v>12</v>
      </c>
      <c r="F2376" s="9" t="s">
        <v>866</v>
      </c>
      <c r="G2376" s="11">
        <v>46238</v>
      </c>
      <c r="H2376" s="12">
        <v>134.62</v>
      </c>
      <c r="I2376" s="12">
        <v>119.81</v>
      </c>
      <c r="J2376" s="9" t="s">
        <v>3</v>
      </c>
      <c r="K2376" s="8">
        <v>0</v>
      </c>
    </row>
    <row r="2377" spans="1:11">
      <c r="A2377" s="2" t="s">
        <v>2740</v>
      </c>
      <c r="B2377" s="2" t="s">
        <v>3441</v>
      </c>
      <c r="C2377" s="9">
        <v>10089519</v>
      </c>
      <c r="D2377" s="2" t="s">
        <v>3685</v>
      </c>
      <c r="E2377" s="10">
        <v>6</v>
      </c>
      <c r="F2377" s="9" t="s">
        <v>1760</v>
      </c>
      <c r="G2377" s="11">
        <v>46238</v>
      </c>
      <c r="H2377" s="12">
        <v>87.72</v>
      </c>
      <c r="I2377" s="12">
        <v>78.069999999999993</v>
      </c>
      <c r="J2377" s="9" t="s">
        <v>3</v>
      </c>
      <c r="K2377" s="8">
        <v>0</v>
      </c>
    </row>
    <row r="2378" spans="1:11">
      <c r="A2378" s="2" t="s">
        <v>2740</v>
      </c>
      <c r="B2378" s="2" t="s">
        <v>3441</v>
      </c>
      <c r="C2378" s="9">
        <v>10089520</v>
      </c>
      <c r="D2378" s="2" t="s">
        <v>3686</v>
      </c>
      <c r="E2378" s="10">
        <v>12</v>
      </c>
      <c r="F2378" s="9" t="s">
        <v>995</v>
      </c>
      <c r="G2378" s="11">
        <v>46238</v>
      </c>
      <c r="H2378" s="12">
        <v>100.62</v>
      </c>
      <c r="I2378" s="12">
        <v>89.55</v>
      </c>
      <c r="J2378" s="9" t="s">
        <v>3</v>
      </c>
      <c r="K2378" s="8">
        <v>0</v>
      </c>
    </row>
    <row r="2379" spans="1:11">
      <c r="A2379" s="2" t="s">
        <v>2740</v>
      </c>
      <c r="B2379" s="2" t="s">
        <v>3441</v>
      </c>
      <c r="C2379" s="9">
        <v>10089521</v>
      </c>
      <c r="D2379" s="2" t="s">
        <v>3687</v>
      </c>
      <c r="E2379" s="10">
        <v>12</v>
      </c>
      <c r="F2379" s="9" t="s">
        <v>2587</v>
      </c>
      <c r="G2379" s="11">
        <v>46238</v>
      </c>
      <c r="H2379" s="12">
        <v>114.16</v>
      </c>
      <c r="I2379" s="12">
        <v>101.6</v>
      </c>
      <c r="J2379" s="9" t="s">
        <v>3</v>
      </c>
      <c r="K2379" s="8">
        <v>0</v>
      </c>
    </row>
    <row r="2380" spans="1:11">
      <c r="A2380" s="2" t="s">
        <v>2740</v>
      </c>
      <c r="B2380" s="2" t="s">
        <v>3441</v>
      </c>
      <c r="C2380" s="9">
        <v>10089522</v>
      </c>
      <c r="D2380" s="2" t="s">
        <v>3688</v>
      </c>
      <c r="E2380" s="10">
        <v>12</v>
      </c>
      <c r="F2380" s="9" t="s">
        <v>3475</v>
      </c>
      <c r="G2380" s="11">
        <v>46238</v>
      </c>
      <c r="H2380" s="12">
        <v>93.82</v>
      </c>
      <c r="I2380" s="12">
        <v>83.5</v>
      </c>
      <c r="J2380" s="9" t="s">
        <v>3</v>
      </c>
      <c r="K2380" s="8">
        <v>0</v>
      </c>
    </row>
    <row r="2381" spans="1:11">
      <c r="A2381" s="2" t="s">
        <v>607</v>
      </c>
      <c r="B2381" s="2" t="s">
        <v>3689</v>
      </c>
      <c r="C2381" s="9">
        <v>10090080</v>
      </c>
      <c r="D2381" s="2" t="s">
        <v>3690</v>
      </c>
      <c r="E2381" s="10">
        <v>12</v>
      </c>
      <c r="F2381" s="9" t="s">
        <v>1849</v>
      </c>
      <c r="G2381" s="11">
        <v>46238</v>
      </c>
      <c r="H2381" s="12">
        <v>89.74</v>
      </c>
      <c r="I2381" s="12">
        <v>78.069999999999993</v>
      </c>
      <c r="J2381" s="9" t="s">
        <v>3</v>
      </c>
      <c r="K2381" s="8">
        <v>0</v>
      </c>
    </row>
    <row r="2382" spans="1:11">
      <c r="A2382" s="2" t="s">
        <v>607</v>
      </c>
      <c r="B2382" s="2" t="s">
        <v>3689</v>
      </c>
      <c r="C2382" s="9">
        <v>10090083</v>
      </c>
      <c r="D2382" s="2" t="s">
        <v>3691</v>
      </c>
      <c r="E2382" s="10">
        <v>12</v>
      </c>
      <c r="F2382" s="9" t="s">
        <v>1849</v>
      </c>
      <c r="G2382" s="11">
        <v>46238</v>
      </c>
      <c r="H2382" s="12">
        <v>89.74</v>
      </c>
      <c r="I2382" s="12">
        <v>78.069999999999993</v>
      </c>
      <c r="J2382" s="9" t="s">
        <v>3</v>
      </c>
      <c r="K2382" s="8">
        <v>0</v>
      </c>
    </row>
    <row r="2383" spans="1:11">
      <c r="A2383" s="2" t="s">
        <v>607</v>
      </c>
      <c r="B2383" s="2" t="s">
        <v>3689</v>
      </c>
      <c r="C2383" s="9">
        <v>10090084</v>
      </c>
      <c r="D2383" s="2" t="s">
        <v>3692</v>
      </c>
      <c r="E2383" s="10">
        <v>8</v>
      </c>
      <c r="F2383" s="9" t="s">
        <v>997</v>
      </c>
      <c r="G2383" s="11">
        <v>46238</v>
      </c>
      <c r="H2383" s="12">
        <v>130.47</v>
      </c>
      <c r="I2383" s="12">
        <v>113.51</v>
      </c>
      <c r="J2383" s="9" t="s">
        <v>3</v>
      </c>
      <c r="K2383" s="8">
        <v>0</v>
      </c>
    </row>
    <row r="2384" spans="1:11">
      <c r="A2384" s="2" t="s">
        <v>607</v>
      </c>
      <c r="B2384" s="2" t="s">
        <v>3689</v>
      </c>
      <c r="C2384" s="9">
        <v>10090085</v>
      </c>
      <c r="D2384" s="2" t="s">
        <v>3693</v>
      </c>
      <c r="E2384" s="10">
        <v>8</v>
      </c>
      <c r="F2384" s="9" t="s">
        <v>997</v>
      </c>
      <c r="G2384" s="11">
        <v>46238</v>
      </c>
      <c r="H2384" s="12">
        <v>130.47</v>
      </c>
      <c r="I2384" s="12">
        <v>113.51</v>
      </c>
      <c r="J2384" s="9" t="s">
        <v>3</v>
      </c>
      <c r="K2384" s="8">
        <v>0</v>
      </c>
    </row>
    <row r="2385" spans="1:11">
      <c r="A2385" s="2" t="s">
        <v>607</v>
      </c>
      <c r="B2385" s="2" t="s">
        <v>3689</v>
      </c>
      <c r="C2385" s="9">
        <v>10090086</v>
      </c>
      <c r="D2385" s="2" t="s">
        <v>3694</v>
      </c>
      <c r="E2385" s="10">
        <v>8</v>
      </c>
      <c r="F2385" s="9" t="s">
        <v>997</v>
      </c>
      <c r="G2385" s="11">
        <v>46238</v>
      </c>
      <c r="H2385" s="12">
        <v>130.47</v>
      </c>
      <c r="I2385" s="12">
        <v>113.51</v>
      </c>
      <c r="J2385" s="9" t="s">
        <v>3</v>
      </c>
      <c r="K2385" s="8">
        <v>0</v>
      </c>
    </row>
    <row r="2386" spans="1:11">
      <c r="A2386" s="2" t="s">
        <v>607</v>
      </c>
      <c r="B2386" s="2" t="s">
        <v>3689</v>
      </c>
      <c r="C2386" s="9">
        <v>10090087</v>
      </c>
      <c r="D2386" s="2" t="s">
        <v>3695</v>
      </c>
      <c r="E2386" s="10">
        <v>12</v>
      </c>
      <c r="F2386" s="9" t="s">
        <v>770</v>
      </c>
      <c r="G2386" s="11">
        <v>46238</v>
      </c>
      <c r="H2386" s="12">
        <v>89.74</v>
      </c>
      <c r="I2386" s="12">
        <v>78.069999999999993</v>
      </c>
      <c r="J2386" s="9" t="s">
        <v>3</v>
      </c>
      <c r="K2386" s="8">
        <v>0</v>
      </c>
    </row>
    <row r="2387" spans="1:11">
      <c r="A2387" s="2" t="s">
        <v>607</v>
      </c>
      <c r="B2387" s="2" t="s">
        <v>3689</v>
      </c>
      <c r="C2387" s="9">
        <v>10090088</v>
      </c>
      <c r="D2387" s="2" t="s">
        <v>3696</v>
      </c>
      <c r="E2387" s="10">
        <v>12</v>
      </c>
      <c r="F2387" s="9" t="s">
        <v>770</v>
      </c>
      <c r="G2387" s="11">
        <v>46238</v>
      </c>
      <c r="H2387" s="12">
        <v>89.74</v>
      </c>
      <c r="I2387" s="12">
        <v>78.069999999999993</v>
      </c>
      <c r="J2387" s="9" t="s">
        <v>3</v>
      </c>
      <c r="K2387" s="8">
        <v>0</v>
      </c>
    </row>
    <row r="2388" spans="1:11">
      <c r="A2388" s="2" t="s">
        <v>607</v>
      </c>
      <c r="B2388" s="2" t="s">
        <v>3689</v>
      </c>
      <c r="C2388" s="9">
        <v>10090089</v>
      </c>
      <c r="D2388" s="2" t="s">
        <v>3697</v>
      </c>
      <c r="E2388" s="10">
        <v>12</v>
      </c>
      <c r="F2388" s="9" t="s">
        <v>1217</v>
      </c>
      <c r="G2388" s="11">
        <v>46238</v>
      </c>
      <c r="H2388" s="12">
        <v>89.74</v>
      </c>
      <c r="I2388" s="12">
        <v>78.069999999999993</v>
      </c>
      <c r="J2388" s="9" t="s">
        <v>3</v>
      </c>
      <c r="K2388" s="8">
        <v>0</v>
      </c>
    </row>
    <row r="2389" spans="1:11">
      <c r="A2389" s="2" t="s">
        <v>607</v>
      </c>
      <c r="B2389" s="2" t="s">
        <v>3689</v>
      </c>
      <c r="C2389" s="9">
        <v>10090090</v>
      </c>
      <c r="D2389" s="2" t="s">
        <v>3698</v>
      </c>
      <c r="E2389" s="10">
        <v>12</v>
      </c>
      <c r="F2389" s="9" t="s">
        <v>1849</v>
      </c>
      <c r="G2389" s="11">
        <v>46238</v>
      </c>
      <c r="H2389" s="12">
        <v>89.74</v>
      </c>
      <c r="I2389" s="12">
        <v>78.069999999999993</v>
      </c>
      <c r="J2389" s="9" t="s">
        <v>3</v>
      </c>
      <c r="K2389" s="8">
        <v>0</v>
      </c>
    </row>
    <row r="2390" spans="1:11">
      <c r="A2390" s="2" t="s">
        <v>607</v>
      </c>
      <c r="B2390" s="2" t="s">
        <v>3689</v>
      </c>
      <c r="C2390" s="9">
        <v>10090092</v>
      </c>
      <c r="D2390" s="2" t="s">
        <v>3699</v>
      </c>
      <c r="E2390" s="10">
        <v>12</v>
      </c>
      <c r="F2390" s="9" t="s">
        <v>1849</v>
      </c>
      <c r="G2390" s="11">
        <v>46238</v>
      </c>
      <c r="H2390" s="12">
        <v>89.74</v>
      </c>
      <c r="I2390" s="12">
        <v>78.069999999999993</v>
      </c>
      <c r="J2390" s="9" t="s">
        <v>3</v>
      </c>
      <c r="K2390" s="8">
        <v>0</v>
      </c>
    </row>
    <row r="2391" spans="1:11">
      <c r="A2391" s="2" t="s">
        <v>607</v>
      </c>
      <c r="B2391" s="2" t="s">
        <v>3689</v>
      </c>
      <c r="C2391" s="9">
        <v>10090093</v>
      </c>
      <c r="D2391" s="2" t="s">
        <v>3700</v>
      </c>
      <c r="E2391" s="10">
        <v>12</v>
      </c>
      <c r="F2391" s="9" t="s">
        <v>770</v>
      </c>
      <c r="G2391" s="11">
        <v>46238</v>
      </c>
      <c r="H2391" s="12">
        <v>89.74</v>
      </c>
      <c r="I2391" s="12">
        <v>78.069999999999993</v>
      </c>
      <c r="J2391" s="9" t="s">
        <v>3</v>
      </c>
      <c r="K2391" s="8">
        <v>0</v>
      </c>
    </row>
    <row r="2392" spans="1:11">
      <c r="A2392" s="2" t="s">
        <v>607</v>
      </c>
      <c r="B2392" s="2" t="s">
        <v>3689</v>
      </c>
      <c r="C2392" s="9">
        <v>10090094</v>
      </c>
      <c r="D2392" s="2" t="s">
        <v>3701</v>
      </c>
      <c r="E2392" s="10">
        <v>12</v>
      </c>
      <c r="F2392" s="9" t="s">
        <v>770</v>
      </c>
      <c r="G2392" s="11">
        <v>46238</v>
      </c>
      <c r="H2392" s="12">
        <v>89.74</v>
      </c>
      <c r="I2392" s="12">
        <v>78.069999999999993</v>
      </c>
      <c r="J2392" s="9" t="s">
        <v>3</v>
      </c>
      <c r="K2392" s="8">
        <v>0</v>
      </c>
    </row>
    <row r="2393" spans="1:11">
      <c r="A2393" s="2" t="s">
        <v>607</v>
      </c>
      <c r="B2393" s="2" t="s">
        <v>3689</v>
      </c>
      <c r="C2393" s="9">
        <v>10090095</v>
      </c>
      <c r="D2393" s="2" t="s">
        <v>3702</v>
      </c>
      <c r="E2393" s="10">
        <v>12</v>
      </c>
      <c r="F2393" s="9" t="s">
        <v>770</v>
      </c>
      <c r="G2393" s="11">
        <v>46238</v>
      </c>
      <c r="H2393" s="12">
        <v>89.74</v>
      </c>
      <c r="I2393" s="12">
        <v>78.069999999999993</v>
      </c>
      <c r="J2393" s="9" t="s">
        <v>3</v>
      </c>
      <c r="K2393" s="8">
        <v>0</v>
      </c>
    </row>
    <row r="2394" spans="1:11">
      <c r="A2394" s="2" t="s">
        <v>746</v>
      </c>
      <c r="B2394" s="2" t="s">
        <v>3703</v>
      </c>
      <c r="C2394" s="9">
        <v>10091505</v>
      </c>
      <c r="D2394" s="2" t="s">
        <v>3704</v>
      </c>
      <c r="E2394" s="10">
        <v>10</v>
      </c>
      <c r="F2394" s="9" t="s">
        <v>1753</v>
      </c>
      <c r="G2394" s="11">
        <v>46238</v>
      </c>
      <c r="H2394" s="12">
        <v>40.85</v>
      </c>
      <c r="I2394" s="12">
        <v>36.36</v>
      </c>
      <c r="J2394" s="9" t="s">
        <v>3</v>
      </c>
      <c r="K2394" s="8">
        <v>0</v>
      </c>
    </row>
    <row r="2395" spans="1:11">
      <c r="A2395" s="2" t="s">
        <v>746</v>
      </c>
      <c r="B2395" s="2" t="s">
        <v>3703</v>
      </c>
      <c r="C2395" s="9">
        <v>10091507</v>
      </c>
      <c r="D2395" s="2" t="s">
        <v>3705</v>
      </c>
      <c r="E2395" s="10">
        <v>10</v>
      </c>
      <c r="F2395" s="9" t="s">
        <v>1753</v>
      </c>
      <c r="G2395" s="11">
        <v>46238</v>
      </c>
      <c r="H2395" s="12">
        <v>40.85</v>
      </c>
      <c r="I2395" s="12">
        <v>36.36</v>
      </c>
      <c r="J2395" s="9" t="s">
        <v>3</v>
      </c>
      <c r="K2395" s="8">
        <v>0</v>
      </c>
    </row>
    <row r="2396" spans="1:11">
      <c r="A2396" s="2" t="s">
        <v>746</v>
      </c>
      <c r="B2396" s="2" t="s">
        <v>3706</v>
      </c>
      <c r="C2396" s="9">
        <v>10091535</v>
      </c>
      <c r="D2396" s="2" t="s">
        <v>3707</v>
      </c>
      <c r="E2396" s="10">
        <v>10</v>
      </c>
      <c r="F2396" s="9" t="s">
        <v>1753</v>
      </c>
      <c r="G2396" s="11">
        <v>46238</v>
      </c>
      <c r="H2396" s="12">
        <v>31.65</v>
      </c>
      <c r="I2396" s="12">
        <v>28.17</v>
      </c>
      <c r="J2396" s="9" t="s">
        <v>3</v>
      </c>
      <c r="K2396" s="8">
        <v>0</v>
      </c>
    </row>
    <row r="2397" spans="1:11">
      <c r="A2397" s="2" t="s">
        <v>746</v>
      </c>
      <c r="B2397" s="2" t="s">
        <v>3706</v>
      </c>
      <c r="C2397" s="9">
        <v>10091537</v>
      </c>
      <c r="D2397" s="2" t="s">
        <v>3708</v>
      </c>
      <c r="E2397" s="10">
        <v>10</v>
      </c>
      <c r="F2397" s="9" t="s">
        <v>1753</v>
      </c>
      <c r="G2397" s="11">
        <v>46238</v>
      </c>
      <c r="H2397" s="12">
        <v>31.65</v>
      </c>
      <c r="I2397" s="12">
        <v>28.17</v>
      </c>
      <c r="J2397" s="9" t="s">
        <v>3</v>
      </c>
      <c r="K2397" s="8">
        <v>0</v>
      </c>
    </row>
    <row r="2398" spans="1:11">
      <c r="A2398" s="2" t="s">
        <v>906</v>
      </c>
      <c r="B2398" s="2" t="s">
        <v>983</v>
      </c>
      <c r="C2398" s="9">
        <v>10096020</v>
      </c>
      <c r="D2398" s="2" t="s">
        <v>3709</v>
      </c>
      <c r="E2398" s="10">
        <v>8</v>
      </c>
      <c r="F2398" s="9" t="s">
        <v>985</v>
      </c>
      <c r="G2398" s="11">
        <v>46238</v>
      </c>
      <c r="H2398" s="12">
        <v>44.32</v>
      </c>
      <c r="I2398" s="12">
        <v>40.799999999999997</v>
      </c>
      <c r="J2398" s="9" t="s">
        <v>3</v>
      </c>
      <c r="K2398" s="8">
        <v>0</v>
      </c>
    </row>
    <row r="2399" spans="1:11">
      <c r="A2399" s="2" t="s">
        <v>906</v>
      </c>
      <c r="B2399" s="2" t="s">
        <v>983</v>
      </c>
      <c r="C2399" s="9">
        <v>10096021</v>
      </c>
      <c r="D2399" s="2" t="s">
        <v>3710</v>
      </c>
      <c r="E2399" s="10">
        <v>8</v>
      </c>
      <c r="F2399" s="9" t="s">
        <v>985</v>
      </c>
      <c r="G2399" s="11">
        <v>46238</v>
      </c>
      <c r="H2399" s="12">
        <v>44.32</v>
      </c>
      <c r="I2399" s="12">
        <v>40.799999999999997</v>
      </c>
      <c r="J2399" s="9" t="s">
        <v>3</v>
      </c>
      <c r="K2399" s="8">
        <v>0</v>
      </c>
    </row>
    <row r="2400" spans="1:11">
      <c r="A2400" s="2" t="s">
        <v>906</v>
      </c>
      <c r="B2400" s="2" t="s">
        <v>983</v>
      </c>
      <c r="C2400" s="9">
        <v>10096022</v>
      </c>
      <c r="D2400" s="2" t="s">
        <v>3711</v>
      </c>
      <c r="E2400" s="10">
        <v>8</v>
      </c>
      <c r="F2400" s="9" t="s">
        <v>985</v>
      </c>
      <c r="G2400" s="11">
        <v>46238</v>
      </c>
      <c r="H2400" s="12">
        <v>44.32</v>
      </c>
      <c r="I2400" s="12">
        <v>40.799999999999997</v>
      </c>
      <c r="J2400" s="9" t="s">
        <v>3</v>
      </c>
      <c r="K2400" s="8">
        <v>0</v>
      </c>
    </row>
    <row r="2401" spans="1:11">
      <c r="A2401" s="2" t="s">
        <v>906</v>
      </c>
      <c r="B2401" s="2" t="s">
        <v>1130</v>
      </c>
      <c r="C2401" s="9">
        <v>10096023</v>
      </c>
      <c r="D2401" s="2" t="s">
        <v>3712</v>
      </c>
      <c r="E2401" s="10">
        <v>12</v>
      </c>
      <c r="F2401" s="9" t="s">
        <v>985</v>
      </c>
      <c r="G2401" s="11">
        <v>46238</v>
      </c>
      <c r="H2401" s="12">
        <v>69.91</v>
      </c>
      <c r="I2401" s="12">
        <v>64.319999999999993</v>
      </c>
      <c r="J2401" s="9" t="s">
        <v>3</v>
      </c>
      <c r="K2401" s="8">
        <v>0</v>
      </c>
    </row>
    <row r="2402" spans="1:11">
      <c r="A2402" s="2" t="s">
        <v>906</v>
      </c>
      <c r="B2402" s="2" t="s">
        <v>983</v>
      </c>
      <c r="C2402" s="9">
        <v>10096024</v>
      </c>
      <c r="D2402" s="2" t="s">
        <v>3713</v>
      </c>
      <c r="E2402" s="10">
        <v>12</v>
      </c>
      <c r="F2402" s="9" t="s">
        <v>985</v>
      </c>
      <c r="G2402" s="11">
        <v>46238</v>
      </c>
      <c r="H2402" s="12">
        <v>66.48</v>
      </c>
      <c r="I2402" s="12">
        <v>61.2</v>
      </c>
      <c r="J2402" s="9" t="s">
        <v>3</v>
      </c>
      <c r="K2402" s="8">
        <v>0</v>
      </c>
    </row>
    <row r="2403" spans="1:11">
      <c r="A2403" s="2" t="s">
        <v>906</v>
      </c>
      <c r="B2403" s="2" t="s">
        <v>983</v>
      </c>
      <c r="C2403" s="9">
        <v>10096025</v>
      </c>
      <c r="D2403" s="2" t="s">
        <v>3714</v>
      </c>
      <c r="E2403" s="10">
        <v>9</v>
      </c>
      <c r="F2403" s="9" t="s">
        <v>982</v>
      </c>
      <c r="G2403" s="11">
        <v>46238</v>
      </c>
      <c r="H2403" s="12">
        <v>86.57</v>
      </c>
      <c r="I2403" s="12">
        <v>79.64</v>
      </c>
      <c r="J2403" s="9" t="s">
        <v>3</v>
      </c>
      <c r="K2403" s="8">
        <v>0</v>
      </c>
    </row>
    <row r="2404" spans="1:11">
      <c r="A2404" s="2" t="s">
        <v>906</v>
      </c>
      <c r="B2404" s="2" t="s">
        <v>983</v>
      </c>
      <c r="C2404" s="9">
        <v>10096026</v>
      </c>
      <c r="D2404" s="2" t="s">
        <v>3715</v>
      </c>
      <c r="E2404" s="10">
        <v>1</v>
      </c>
      <c r="F2404" s="9" t="s">
        <v>3716</v>
      </c>
      <c r="G2404" s="11">
        <v>46238</v>
      </c>
      <c r="H2404" s="12">
        <v>63.43</v>
      </c>
      <c r="I2404" s="12">
        <v>58.36</v>
      </c>
      <c r="J2404" s="9" t="s">
        <v>3</v>
      </c>
      <c r="K2404" s="8">
        <v>0</v>
      </c>
    </row>
    <row r="2405" spans="1:11">
      <c r="A2405" s="2" t="s">
        <v>1120</v>
      </c>
      <c r="B2405" s="2" t="s">
        <v>3717</v>
      </c>
      <c r="C2405" s="9">
        <v>10096050</v>
      </c>
      <c r="D2405" s="2" t="s">
        <v>3718</v>
      </c>
      <c r="E2405" s="10">
        <v>12</v>
      </c>
      <c r="F2405" s="9" t="s">
        <v>3310</v>
      </c>
      <c r="G2405" s="11">
        <v>46238</v>
      </c>
      <c r="H2405" s="12">
        <v>69.72</v>
      </c>
      <c r="I2405" s="12">
        <v>62.04</v>
      </c>
      <c r="J2405" s="9" t="s">
        <v>3</v>
      </c>
      <c r="K2405" s="8">
        <v>0</v>
      </c>
    </row>
    <row r="2406" spans="1:11">
      <c r="A2406" s="2" t="s">
        <v>834</v>
      </c>
      <c r="B2406" s="2" t="s">
        <v>3719</v>
      </c>
      <c r="C2406" s="9">
        <v>10097045</v>
      </c>
      <c r="D2406" s="2" t="s">
        <v>3720</v>
      </c>
      <c r="E2406" s="10">
        <v>8</v>
      </c>
      <c r="F2406" s="9" t="s">
        <v>982</v>
      </c>
      <c r="G2406" s="11">
        <v>46238</v>
      </c>
      <c r="H2406" s="12">
        <v>73.36</v>
      </c>
      <c r="I2406" s="12">
        <v>67.52</v>
      </c>
      <c r="J2406" s="9" t="s">
        <v>3</v>
      </c>
      <c r="K2406" s="8">
        <v>0</v>
      </c>
    </row>
    <row r="2407" spans="1:11">
      <c r="A2407" s="2" t="s">
        <v>834</v>
      </c>
      <c r="B2407" s="2" t="s">
        <v>3719</v>
      </c>
      <c r="C2407" s="9">
        <v>10097046</v>
      </c>
      <c r="D2407" s="2" t="s">
        <v>3721</v>
      </c>
      <c r="E2407" s="10">
        <v>8</v>
      </c>
      <c r="F2407" s="9" t="s">
        <v>982</v>
      </c>
      <c r="G2407" s="11">
        <v>46238</v>
      </c>
      <c r="H2407" s="12">
        <v>73.36</v>
      </c>
      <c r="I2407" s="12">
        <v>67.52</v>
      </c>
      <c r="J2407" s="9" t="s">
        <v>3</v>
      </c>
      <c r="K2407" s="8">
        <v>0</v>
      </c>
    </row>
    <row r="2408" spans="1:11">
      <c r="A2408" s="2" t="s">
        <v>834</v>
      </c>
      <c r="B2408" s="2" t="s">
        <v>3719</v>
      </c>
      <c r="C2408" s="9">
        <v>10097047</v>
      </c>
      <c r="D2408" s="2" t="s">
        <v>3722</v>
      </c>
      <c r="E2408" s="10">
        <v>8</v>
      </c>
      <c r="F2408" s="9" t="s">
        <v>982</v>
      </c>
      <c r="G2408" s="11">
        <v>46238</v>
      </c>
      <c r="H2408" s="12">
        <v>73.36</v>
      </c>
      <c r="I2408" s="12">
        <v>67.52</v>
      </c>
      <c r="J2408" s="9" t="s">
        <v>3</v>
      </c>
      <c r="K2408" s="8">
        <v>0</v>
      </c>
    </row>
    <row r="2409" spans="1:11">
      <c r="A2409" s="2" t="s">
        <v>721</v>
      </c>
      <c r="B2409" s="2" t="s">
        <v>3723</v>
      </c>
      <c r="C2409" s="9">
        <v>10097060</v>
      </c>
      <c r="D2409" s="2" t="s">
        <v>3724</v>
      </c>
      <c r="E2409" s="10">
        <v>6</v>
      </c>
      <c r="F2409" s="9" t="s">
        <v>622</v>
      </c>
      <c r="G2409" s="11">
        <v>46238</v>
      </c>
      <c r="H2409" s="12">
        <v>26.2</v>
      </c>
      <c r="I2409" s="12">
        <v>23.6</v>
      </c>
      <c r="J2409" s="9" t="s">
        <v>3</v>
      </c>
      <c r="K2409" s="8">
        <v>0</v>
      </c>
    </row>
    <row r="2410" spans="1:11">
      <c r="A2410" s="2" t="s">
        <v>721</v>
      </c>
      <c r="B2410" s="2" t="s">
        <v>3723</v>
      </c>
      <c r="C2410" s="9">
        <v>10097061</v>
      </c>
      <c r="D2410" s="2" t="s">
        <v>3725</v>
      </c>
      <c r="E2410" s="10">
        <v>6</v>
      </c>
      <c r="F2410" s="9" t="s">
        <v>622</v>
      </c>
      <c r="G2410" s="11">
        <v>46238</v>
      </c>
      <c r="H2410" s="12">
        <v>26.2</v>
      </c>
      <c r="I2410" s="12">
        <v>23.6</v>
      </c>
      <c r="J2410" s="9" t="s">
        <v>3</v>
      </c>
      <c r="K2410" s="8">
        <v>0</v>
      </c>
    </row>
    <row r="2411" spans="1:11">
      <c r="A2411" s="2" t="s">
        <v>2740</v>
      </c>
      <c r="B2411" s="2" t="s">
        <v>3649</v>
      </c>
      <c r="C2411" s="9">
        <v>10099045</v>
      </c>
      <c r="D2411" s="2" t="s">
        <v>3726</v>
      </c>
      <c r="E2411" s="10">
        <v>12</v>
      </c>
      <c r="F2411" s="9" t="s">
        <v>3727</v>
      </c>
      <c r="G2411" s="11">
        <v>46238</v>
      </c>
      <c r="H2411" s="12">
        <v>54.13</v>
      </c>
      <c r="I2411" s="12">
        <v>48.18</v>
      </c>
      <c r="J2411" s="9" t="s">
        <v>3</v>
      </c>
      <c r="K2411" s="8">
        <v>0</v>
      </c>
    </row>
    <row r="2412" spans="1:11">
      <c r="A2412" s="2" t="s">
        <v>2740</v>
      </c>
      <c r="B2412" s="2" t="s">
        <v>3728</v>
      </c>
      <c r="C2412" s="9">
        <v>10099336</v>
      </c>
      <c r="D2412" s="2" t="s">
        <v>3729</v>
      </c>
      <c r="E2412" s="10">
        <v>210</v>
      </c>
      <c r="F2412" s="9" t="s">
        <v>3730</v>
      </c>
      <c r="G2412" s="11">
        <v>46238</v>
      </c>
      <c r="H2412" s="12">
        <v>3200.4</v>
      </c>
      <c r="I2412" s="12">
        <v>1782.9</v>
      </c>
      <c r="J2412" s="9" t="s">
        <v>3</v>
      </c>
      <c r="K2412" s="8">
        <v>0</v>
      </c>
    </row>
    <row r="2413" spans="1:11">
      <c r="A2413" s="2" t="s">
        <v>1255</v>
      </c>
      <c r="B2413" s="2" t="s">
        <v>1501</v>
      </c>
      <c r="C2413" s="9">
        <v>10100010</v>
      </c>
      <c r="D2413" s="2" t="s">
        <v>3731</v>
      </c>
      <c r="E2413" s="10">
        <v>12</v>
      </c>
      <c r="F2413" s="9" t="s">
        <v>985</v>
      </c>
      <c r="G2413" s="11">
        <v>46238</v>
      </c>
      <c r="H2413" s="12">
        <v>44.5</v>
      </c>
      <c r="I2413" s="12">
        <v>39.6</v>
      </c>
      <c r="J2413" s="9" t="s">
        <v>3</v>
      </c>
      <c r="K2413" s="8">
        <v>0</v>
      </c>
    </row>
    <row r="2414" spans="1:11">
      <c r="A2414" s="2" t="s">
        <v>1255</v>
      </c>
      <c r="B2414" s="2" t="s">
        <v>1501</v>
      </c>
      <c r="C2414" s="9">
        <v>10100012</v>
      </c>
      <c r="D2414" s="2" t="s">
        <v>3732</v>
      </c>
      <c r="E2414" s="10">
        <v>60</v>
      </c>
      <c r="F2414" s="9" t="s">
        <v>829</v>
      </c>
      <c r="G2414" s="11">
        <v>46238</v>
      </c>
      <c r="H2414" s="12">
        <v>272.39999999999998</v>
      </c>
      <c r="I2414" s="12">
        <v>242.4</v>
      </c>
      <c r="J2414" s="9" t="s">
        <v>3</v>
      </c>
      <c r="K2414" s="8">
        <v>0</v>
      </c>
    </row>
    <row r="2415" spans="1:11">
      <c r="A2415" s="2" t="s">
        <v>1255</v>
      </c>
      <c r="B2415" s="2" t="s">
        <v>1501</v>
      </c>
      <c r="C2415" s="9">
        <v>10100017</v>
      </c>
      <c r="D2415" s="2" t="s">
        <v>3733</v>
      </c>
      <c r="E2415" s="10">
        <v>168</v>
      </c>
      <c r="F2415" s="9" t="s">
        <v>1508</v>
      </c>
      <c r="G2415" s="11">
        <v>46238</v>
      </c>
      <c r="H2415" s="12">
        <v>762.6</v>
      </c>
      <c r="I2415" s="12">
        <v>678.72</v>
      </c>
      <c r="J2415" s="9" t="s">
        <v>3</v>
      </c>
      <c r="K2415" s="8">
        <v>0</v>
      </c>
    </row>
    <row r="2416" spans="1:11">
      <c r="A2416" s="2" t="s">
        <v>1255</v>
      </c>
      <c r="B2416" s="2" t="s">
        <v>1261</v>
      </c>
      <c r="C2416" s="9">
        <v>10100018</v>
      </c>
      <c r="D2416" s="2" t="s">
        <v>3734</v>
      </c>
      <c r="E2416" s="10">
        <v>60</v>
      </c>
      <c r="F2416" s="9" t="s">
        <v>829</v>
      </c>
      <c r="G2416" s="11">
        <v>46238</v>
      </c>
      <c r="H2416" s="12">
        <v>272.39999999999998</v>
      </c>
      <c r="I2416" s="12">
        <v>242.4</v>
      </c>
      <c r="J2416" s="9" t="s">
        <v>3</v>
      </c>
      <c r="K2416" s="8">
        <v>0</v>
      </c>
    </row>
    <row r="2417" spans="1:11">
      <c r="A2417" s="2" t="s">
        <v>949</v>
      </c>
      <c r="B2417" s="2" t="s">
        <v>1003</v>
      </c>
      <c r="C2417" s="9">
        <v>10100019</v>
      </c>
      <c r="D2417" s="2" t="s">
        <v>3735</v>
      </c>
      <c r="E2417" s="10">
        <v>12</v>
      </c>
      <c r="F2417" s="9" t="s">
        <v>955</v>
      </c>
      <c r="G2417" s="11">
        <v>46238</v>
      </c>
      <c r="H2417" s="12">
        <v>102.03</v>
      </c>
      <c r="I2417" s="12">
        <v>90.81</v>
      </c>
      <c r="J2417" s="9" t="s">
        <v>3</v>
      </c>
      <c r="K2417" s="8">
        <v>0</v>
      </c>
    </row>
    <row r="2418" spans="1:11">
      <c r="A2418" s="2" t="s">
        <v>708</v>
      </c>
      <c r="B2418" s="2" t="s">
        <v>709</v>
      </c>
      <c r="C2418" s="9">
        <v>10100020</v>
      </c>
      <c r="D2418" s="2" t="s">
        <v>3736</v>
      </c>
      <c r="E2418" s="10">
        <v>12</v>
      </c>
      <c r="F2418" s="9" t="s">
        <v>711</v>
      </c>
      <c r="G2418" s="11">
        <v>46238</v>
      </c>
      <c r="H2418" s="12">
        <v>63.1</v>
      </c>
      <c r="I2418" s="12">
        <v>56.16</v>
      </c>
      <c r="J2418" s="9" t="s">
        <v>3</v>
      </c>
      <c r="K2418" s="8">
        <v>0</v>
      </c>
    </row>
    <row r="2419" spans="1:11">
      <c r="A2419" s="2" t="s">
        <v>708</v>
      </c>
      <c r="B2419" s="2" t="s">
        <v>709</v>
      </c>
      <c r="C2419" s="9">
        <v>10100021</v>
      </c>
      <c r="D2419" s="2" t="s">
        <v>3737</v>
      </c>
      <c r="E2419" s="10">
        <v>12</v>
      </c>
      <c r="F2419" s="9" t="s">
        <v>711</v>
      </c>
      <c r="G2419" s="11">
        <v>46238</v>
      </c>
      <c r="H2419" s="12">
        <v>63.1</v>
      </c>
      <c r="I2419" s="12">
        <v>56.16</v>
      </c>
      <c r="J2419" s="9" t="s">
        <v>3</v>
      </c>
      <c r="K2419" s="8">
        <v>0</v>
      </c>
    </row>
    <row r="2420" spans="1:11">
      <c r="A2420" s="2" t="s">
        <v>1174</v>
      </c>
      <c r="B2420" s="2" t="s">
        <v>1175</v>
      </c>
      <c r="C2420" s="9">
        <v>10100022</v>
      </c>
      <c r="D2420" s="2" t="s">
        <v>3738</v>
      </c>
      <c r="E2420" s="10">
        <v>6</v>
      </c>
      <c r="F2420" s="9" t="s">
        <v>1906</v>
      </c>
      <c r="G2420" s="11">
        <v>46238</v>
      </c>
      <c r="H2420" s="12">
        <v>66.03</v>
      </c>
      <c r="I2420" s="12">
        <v>58.77</v>
      </c>
      <c r="J2420" s="9" t="s">
        <v>3</v>
      </c>
      <c r="K2420" s="8">
        <v>0</v>
      </c>
    </row>
    <row r="2421" spans="1:11">
      <c r="A2421" s="2" t="s">
        <v>2740</v>
      </c>
      <c r="B2421" s="2" t="s">
        <v>3441</v>
      </c>
      <c r="C2421" s="9">
        <v>10100023</v>
      </c>
      <c r="D2421" s="2" t="s">
        <v>3739</v>
      </c>
      <c r="E2421" s="10">
        <v>12</v>
      </c>
      <c r="F2421" s="9" t="s">
        <v>1263</v>
      </c>
      <c r="G2421" s="11">
        <v>46238</v>
      </c>
      <c r="H2421" s="12">
        <v>88.57</v>
      </c>
      <c r="I2421" s="12">
        <v>78.83</v>
      </c>
      <c r="J2421" s="9" t="s">
        <v>3</v>
      </c>
      <c r="K2421" s="8">
        <v>0</v>
      </c>
    </row>
    <row r="2422" spans="1:11">
      <c r="A2422" s="2" t="s">
        <v>687</v>
      </c>
      <c r="B2422" s="2" t="s">
        <v>757</v>
      </c>
      <c r="C2422" s="9">
        <v>10100025</v>
      </c>
      <c r="D2422" s="2" t="s">
        <v>3740</v>
      </c>
      <c r="E2422" s="10">
        <v>12</v>
      </c>
      <c r="F2422" s="9" t="s">
        <v>1753</v>
      </c>
      <c r="G2422" s="11">
        <v>46238</v>
      </c>
      <c r="H2422" s="12">
        <v>41.24</v>
      </c>
      <c r="I2422" s="12">
        <v>36.700000000000003</v>
      </c>
      <c r="J2422" s="9" t="s">
        <v>3</v>
      </c>
      <c r="K2422" s="8">
        <v>0</v>
      </c>
    </row>
    <row r="2423" spans="1:11">
      <c r="A2423" s="2" t="s">
        <v>687</v>
      </c>
      <c r="B2423" s="2" t="s">
        <v>757</v>
      </c>
      <c r="C2423" s="9">
        <v>10100026</v>
      </c>
      <c r="D2423" s="2" t="s">
        <v>3741</v>
      </c>
      <c r="E2423" s="10">
        <v>12</v>
      </c>
      <c r="F2423" s="9" t="s">
        <v>763</v>
      </c>
      <c r="G2423" s="11">
        <v>46238</v>
      </c>
      <c r="H2423" s="12">
        <v>48.89</v>
      </c>
      <c r="I2423" s="12">
        <v>43.51</v>
      </c>
      <c r="J2423" s="9" t="s">
        <v>3</v>
      </c>
      <c r="K2423" s="8">
        <v>0</v>
      </c>
    </row>
    <row r="2424" spans="1:11">
      <c r="A2424" s="2" t="s">
        <v>687</v>
      </c>
      <c r="B2424" s="2" t="s">
        <v>757</v>
      </c>
      <c r="C2424" s="9">
        <v>10100027</v>
      </c>
      <c r="D2424" s="2" t="s">
        <v>3742</v>
      </c>
      <c r="E2424" s="10">
        <v>12</v>
      </c>
      <c r="F2424" s="9" t="s">
        <v>759</v>
      </c>
      <c r="G2424" s="11">
        <v>46238</v>
      </c>
      <c r="H2424" s="12">
        <v>41.24</v>
      </c>
      <c r="I2424" s="12">
        <v>36.700000000000003</v>
      </c>
      <c r="J2424" s="9" t="s">
        <v>3</v>
      </c>
      <c r="K2424" s="8">
        <v>0</v>
      </c>
    </row>
    <row r="2425" spans="1:11">
      <c r="A2425" s="2" t="s">
        <v>906</v>
      </c>
      <c r="B2425" s="2" t="s">
        <v>3743</v>
      </c>
      <c r="C2425" s="9">
        <v>10100028</v>
      </c>
      <c r="D2425" s="2" t="s">
        <v>3744</v>
      </c>
      <c r="E2425" s="10">
        <v>6</v>
      </c>
      <c r="F2425" s="9" t="s">
        <v>866</v>
      </c>
      <c r="G2425" s="11">
        <v>46238</v>
      </c>
      <c r="H2425" s="12">
        <v>51.2</v>
      </c>
      <c r="I2425" s="12">
        <v>47.1</v>
      </c>
      <c r="J2425" s="9" t="s">
        <v>3</v>
      </c>
      <c r="K2425" s="8">
        <v>0</v>
      </c>
    </row>
    <row r="2426" spans="1:11">
      <c r="A2426" s="2" t="s">
        <v>906</v>
      </c>
      <c r="B2426" s="2" t="s">
        <v>3743</v>
      </c>
      <c r="C2426" s="9">
        <v>10100030</v>
      </c>
      <c r="D2426" s="2" t="s">
        <v>3745</v>
      </c>
      <c r="E2426" s="10">
        <v>6</v>
      </c>
      <c r="F2426" s="9" t="s">
        <v>995</v>
      </c>
      <c r="G2426" s="11">
        <v>46238</v>
      </c>
      <c r="H2426" s="12">
        <v>48.91</v>
      </c>
      <c r="I2426" s="12">
        <v>45</v>
      </c>
      <c r="J2426" s="9" t="s">
        <v>3</v>
      </c>
      <c r="K2426" s="8">
        <v>0</v>
      </c>
    </row>
    <row r="2427" spans="1:11">
      <c r="A2427" s="2" t="s">
        <v>906</v>
      </c>
      <c r="B2427" s="2" t="s">
        <v>3743</v>
      </c>
      <c r="C2427" s="9">
        <v>10100031</v>
      </c>
      <c r="D2427" s="2" t="s">
        <v>3746</v>
      </c>
      <c r="E2427" s="10">
        <v>8</v>
      </c>
      <c r="F2427" s="9" t="s">
        <v>1045</v>
      </c>
      <c r="G2427" s="11">
        <v>46238</v>
      </c>
      <c r="H2427" s="12">
        <v>45.39</v>
      </c>
      <c r="I2427" s="12">
        <v>41.76</v>
      </c>
      <c r="J2427" s="9" t="s">
        <v>3</v>
      </c>
      <c r="K2427" s="8">
        <v>0</v>
      </c>
    </row>
    <row r="2428" spans="1:11">
      <c r="A2428" s="2" t="s">
        <v>906</v>
      </c>
      <c r="B2428" s="2" t="s">
        <v>3743</v>
      </c>
      <c r="C2428" s="9">
        <v>10100032</v>
      </c>
      <c r="D2428" s="2" t="s">
        <v>3747</v>
      </c>
      <c r="E2428" s="10">
        <v>6</v>
      </c>
      <c r="F2428" s="9" t="s">
        <v>866</v>
      </c>
      <c r="G2428" s="11">
        <v>46238</v>
      </c>
      <c r="H2428" s="12">
        <v>39.590000000000003</v>
      </c>
      <c r="I2428" s="12">
        <v>36.42</v>
      </c>
      <c r="J2428" s="9" t="s">
        <v>3</v>
      </c>
      <c r="K2428" s="8">
        <v>0</v>
      </c>
    </row>
    <row r="2429" spans="1:11">
      <c r="A2429" s="2" t="s">
        <v>1255</v>
      </c>
      <c r="B2429" s="2" t="s">
        <v>1501</v>
      </c>
      <c r="C2429" s="9">
        <v>10100033</v>
      </c>
      <c r="D2429" s="2" t="s">
        <v>3748</v>
      </c>
      <c r="E2429" s="10">
        <v>60</v>
      </c>
      <c r="F2429" s="9" t="s">
        <v>829</v>
      </c>
      <c r="G2429" s="11">
        <v>46238</v>
      </c>
      <c r="H2429" s="12">
        <v>222.5</v>
      </c>
      <c r="I2429" s="12">
        <v>198</v>
      </c>
      <c r="J2429" s="9" t="s">
        <v>3</v>
      </c>
      <c r="K2429" s="8">
        <v>0</v>
      </c>
    </row>
    <row r="2430" spans="1:11">
      <c r="A2430" s="2" t="s">
        <v>1255</v>
      </c>
      <c r="B2430" s="2" t="s">
        <v>1501</v>
      </c>
      <c r="C2430" s="9">
        <v>10100034</v>
      </c>
      <c r="D2430" s="2" t="s">
        <v>3749</v>
      </c>
      <c r="E2430" s="10">
        <v>288</v>
      </c>
      <c r="F2430" s="9" t="s">
        <v>1508</v>
      </c>
      <c r="G2430" s="11">
        <v>46238</v>
      </c>
      <c r="H2430" s="12">
        <v>1068.48</v>
      </c>
      <c r="I2430" s="12">
        <v>950.4</v>
      </c>
      <c r="J2430" s="9" t="s">
        <v>3</v>
      </c>
      <c r="K2430" s="8">
        <v>0</v>
      </c>
    </row>
    <row r="2431" spans="1:11">
      <c r="A2431" s="2" t="s">
        <v>891</v>
      </c>
      <c r="B2431" s="2" t="s">
        <v>2637</v>
      </c>
      <c r="C2431" s="9">
        <v>10100037</v>
      </c>
      <c r="D2431" s="2" t="s">
        <v>2664</v>
      </c>
      <c r="E2431" s="10">
        <v>6</v>
      </c>
      <c r="F2431" s="9" t="s">
        <v>3750</v>
      </c>
      <c r="G2431" s="11">
        <v>46238</v>
      </c>
      <c r="H2431" s="12">
        <v>46.75</v>
      </c>
      <c r="I2431" s="12">
        <v>66.180000000000007</v>
      </c>
      <c r="J2431" s="9" t="s">
        <v>3</v>
      </c>
      <c r="K2431" s="8">
        <v>0</v>
      </c>
    </row>
    <row r="2432" spans="1:11">
      <c r="A2432" s="2" t="s">
        <v>891</v>
      </c>
      <c r="B2432" s="2" t="s">
        <v>2637</v>
      </c>
      <c r="C2432" s="9">
        <v>10100038</v>
      </c>
      <c r="D2432" s="2" t="s">
        <v>3751</v>
      </c>
      <c r="E2432" s="10">
        <v>6</v>
      </c>
      <c r="F2432" s="9" t="s">
        <v>3750</v>
      </c>
      <c r="G2432" s="11">
        <v>46238</v>
      </c>
      <c r="H2432" s="12">
        <v>59.25</v>
      </c>
      <c r="I2432" s="12">
        <v>52.73</v>
      </c>
      <c r="J2432" s="9" t="s">
        <v>3</v>
      </c>
      <c r="K2432" s="8">
        <v>0</v>
      </c>
    </row>
    <row r="2433" spans="1:11">
      <c r="A2433" s="2" t="s">
        <v>1120</v>
      </c>
      <c r="B2433" s="2" t="s">
        <v>3752</v>
      </c>
      <c r="C2433" s="9">
        <v>10100040</v>
      </c>
      <c r="D2433" s="2" t="s">
        <v>3753</v>
      </c>
      <c r="E2433" s="10">
        <v>12</v>
      </c>
      <c r="F2433" s="9" t="s">
        <v>3754</v>
      </c>
      <c r="G2433" s="11">
        <v>46238</v>
      </c>
      <c r="H2433" s="12">
        <v>84.97</v>
      </c>
      <c r="I2433" s="12">
        <v>73.92</v>
      </c>
      <c r="J2433" s="9" t="s">
        <v>3</v>
      </c>
      <c r="K2433" s="8">
        <v>0</v>
      </c>
    </row>
    <row r="2434" spans="1:11">
      <c r="A2434" s="2" t="s">
        <v>891</v>
      </c>
      <c r="B2434" s="2" t="s">
        <v>2637</v>
      </c>
      <c r="C2434" s="9">
        <v>10100041</v>
      </c>
      <c r="D2434" s="2" t="s">
        <v>3755</v>
      </c>
      <c r="E2434" s="10">
        <v>1</v>
      </c>
      <c r="F2434" s="9" t="s">
        <v>3756</v>
      </c>
      <c r="G2434" s="11">
        <v>46238</v>
      </c>
      <c r="H2434" s="12">
        <v>43.3</v>
      </c>
      <c r="I2434" s="12">
        <v>38.5</v>
      </c>
      <c r="J2434" s="9" t="s">
        <v>3</v>
      </c>
      <c r="K2434" s="8">
        <v>0</v>
      </c>
    </row>
    <row r="2435" spans="1:11">
      <c r="A2435" s="2" t="s">
        <v>891</v>
      </c>
      <c r="B2435" s="2" t="s">
        <v>2637</v>
      </c>
      <c r="C2435" s="9">
        <v>10100043</v>
      </c>
      <c r="D2435" s="2" t="s">
        <v>3757</v>
      </c>
      <c r="E2435" s="10">
        <v>1</v>
      </c>
      <c r="F2435" s="9" t="s">
        <v>3756</v>
      </c>
      <c r="G2435" s="11">
        <v>46238</v>
      </c>
      <c r="H2435" s="12">
        <v>49.7</v>
      </c>
      <c r="I2435" s="12">
        <v>45.72</v>
      </c>
      <c r="J2435" s="9" t="s">
        <v>3</v>
      </c>
      <c r="K2435" s="8">
        <v>0</v>
      </c>
    </row>
    <row r="2436" spans="1:11">
      <c r="A2436" s="2" t="s">
        <v>925</v>
      </c>
      <c r="B2436" s="2" t="s">
        <v>2224</v>
      </c>
      <c r="C2436" s="9">
        <v>10100044</v>
      </c>
      <c r="D2436" s="2" t="s">
        <v>3758</v>
      </c>
      <c r="E2436" s="10">
        <v>12</v>
      </c>
      <c r="F2436" s="9" t="s">
        <v>3112</v>
      </c>
      <c r="G2436" s="11">
        <v>46238</v>
      </c>
      <c r="H2436" s="12">
        <v>82.35</v>
      </c>
      <c r="I2436" s="12">
        <v>73.290000000000006</v>
      </c>
      <c r="J2436" s="9" t="s">
        <v>3</v>
      </c>
      <c r="K2436" s="8">
        <v>0</v>
      </c>
    </row>
    <row r="2437" spans="1:11">
      <c r="A2437" s="2" t="s">
        <v>925</v>
      </c>
      <c r="B2437" s="2" t="s">
        <v>2224</v>
      </c>
      <c r="C2437" s="9">
        <v>10100045</v>
      </c>
      <c r="D2437" s="2" t="s">
        <v>3759</v>
      </c>
      <c r="E2437" s="10">
        <v>12</v>
      </c>
      <c r="F2437" s="9" t="s">
        <v>3112</v>
      </c>
      <c r="G2437" s="11">
        <v>46238</v>
      </c>
      <c r="H2437" s="12">
        <v>82.35</v>
      </c>
      <c r="I2437" s="12">
        <v>73.290000000000006</v>
      </c>
      <c r="J2437" s="9" t="s">
        <v>3</v>
      </c>
      <c r="K2437" s="8">
        <v>0</v>
      </c>
    </row>
    <row r="2438" spans="1:11">
      <c r="A2438" s="2" t="s">
        <v>925</v>
      </c>
      <c r="B2438" s="2" t="s">
        <v>2224</v>
      </c>
      <c r="C2438" s="9">
        <v>10100046</v>
      </c>
      <c r="D2438" s="2" t="s">
        <v>3760</v>
      </c>
      <c r="E2438" s="10">
        <v>12</v>
      </c>
      <c r="F2438" s="9" t="s">
        <v>3112</v>
      </c>
      <c r="G2438" s="11">
        <v>46238</v>
      </c>
      <c r="H2438" s="12">
        <v>82.35</v>
      </c>
      <c r="I2438" s="12">
        <v>73.290000000000006</v>
      </c>
      <c r="J2438" s="9" t="s">
        <v>3</v>
      </c>
      <c r="K2438" s="8">
        <v>0</v>
      </c>
    </row>
    <row r="2439" spans="1:11">
      <c r="A2439" s="2" t="s">
        <v>925</v>
      </c>
      <c r="B2439" s="2" t="s">
        <v>2224</v>
      </c>
      <c r="C2439" s="9">
        <v>10100047</v>
      </c>
      <c r="D2439" s="2" t="s">
        <v>3761</v>
      </c>
      <c r="E2439" s="10">
        <v>60</v>
      </c>
      <c r="F2439" s="9" t="s">
        <v>3112</v>
      </c>
      <c r="G2439" s="11">
        <v>46238</v>
      </c>
      <c r="H2439" s="12">
        <v>384.74</v>
      </c>
      <c r="I2439" s="12">
        <v>342.42</v>
      </c>
      <c r="J2439" s="9" t="s">
        <v>3</v>
      </c>
      <c r="K2439" s="8">
        <v>0</v>
      </c>
    </row>
    <row r="2440" spans="1:11">
      <c r="A2440" s="2" t="s">
        <v>925</v>
      </c>
      <c r="B2440" s="2" t="s">
        <v>2224</v>
      </c>
      <c r="C2440" s="9">
        <v>10100048</v>
      </c>
      <c r="D2440" s="2" t="s">
        <v>3762</v>
      </c>
      <c r="E2440" s="10">
        <v>60</v>
      </c>
      <c r="F2440" s="9" t="s">
        <v>3112</v>
      </c>
      <c r="G2440" s="11">
        <v>46238</v>
      </c>
      <c r="H2440" s="12">
        <v>384.74</v>
      </c>
      <c r="I2440" s="12">
        <v>342.42</v>
      </c>
      <c r="J2440" s="9" t="s">
        <v>3</v>
      </c>
      <c r="K2440" s="8">
        <v>0</v>
      </c>
    </row>
    <row r="2441" spans="1:11">
      <c r="A2441" s="2" t="s">
        <v>891</v>
      </c>
      <c r="B2441" s="2" t="s">
        <v>2637</v>
      </c>
      <c r="C2441" s="9">
        <v>10100049</v>
      </c>
      <c r="D2441" s="2" t="s">
        <v>3763</v>
      </c>
      <c r="E2441" s="10">
        <v>1</v>
      </c>
      <c r="F2441" s="9" t="s">
        <v>3756</v>
      </c>
      <c r="G2441" s="11">
        <v>46238</v>
      </c>
      <c r="H2441" s="12">
        <v>0</v>
      </c>
      <c r="I2441" s="12">
        <v>0</v>
      </c>
      <c r="J2441" s="9" t="s">
        <v>3</v>
      </c>
      <c r="K2441" s="8">
        <v>0</v>
      </c>
    </row>
    <row r="2442" spans="1:11">
      <c r="A2442" s="2" t="s">
        <v>891</v>
      </c>
      <c r="B2442" s="2" t="s">
        <v>2637</v>
      </c>
      <c r="C2442" s="9">
        <v>10100051</v>
      </c>
      <c r="D2442" s="2" t="s">
        <v>3764</v>
      </c>
      <c r="E2442" s="10">
        <v>2</v>
      </c>
      <c r="F2442" s="9" t="s">
        <v>2357</v>
      </c>
      <c r="G2442" s="11">
        <v>46238</v>
      </c>
      <c r="H2442" s="12">
        <v>32.9</v>
      </c>
      <c r="I2442" s="12">
        <v>29.27</v>
      </c>
      <c r="J2442" s="9" t="s">
        <v>3</v>
      </c>
      <c r="K2442" s="8">
        <v>0</v>
      </c>
    </row>
    <row r="2443" spans="1:11">
      <c r="A2443" s="2" t="s">
        <v>891</v>
      </c>
      <c r="B2443" s="2" t="s">
        <v>2637</v>
      </c>
      <c r="C2443" s="9">
        <v>10100052</v>
      </c>
      <c r="D2443" s="2" t="s">
        <v>3765</v>
      </c>
      <c r="E2443" s="10">
        <v>6</v>
      </c>
      <c r="F2443" s="9" t="s">
        <v>3750</v>
      </c>
      <c r="G2443" s="11">
        <v>46238</v>
      </c>
      <c r="H2443" s="12">
        <v>69.069999999999993</v>
      </c>
      <c r="I2443" s="12">
        <v>63.54</v>
      </c>
      <c r="J2443" s="9" t="s">
        <v>3</v>
      </c>
      <c r="K2443" s="8">
        <v>0</v>
      </c>
    </row>
    <row r="2444" spans="1:11">
      <c r="A2444" s="2" t="s">
        <v>834</v>
      </c>
      <c r="B2444" s="2" t="s">
        <v>3766</v>
      </c>
      <c r="C2444" s="9">
        <v>10100054</v>
      </c>
      <c r="D2444" s="2" t="s">
        <v>3767</v>
      </c>
      <c r="E2444" s="10">
        <v>15</v>
      </c>
      <c r="F2444" s="9" t="s">
        <v>866</v>
      </c>
      <c r="G2444" s="11">
        <v>46238</v>
      </c>
      <c r="H2444" s="12">
        <v>107.48</v>
      </c>
      <c r="I2444" s="12">
        <v>98.88</v>
      </c>
      <c r="J2444" s="9" t="s">
        <v>3</v>
      </c>
      <c r="K2444" s="8">
        <v>0</v>
      </c>
    </row>
    <row r="2445" spans="1:11">
      <c r="A2445" s="2" t="s">
        <v>834</v>
      </c>
      <c r="B2445" s="2" t="s">
        <v>3766</v>
      </c>
      <c r="C2445" s="9">
        <v>10100055</v>
      </c>
      <c r="D2445" s="2" t="s">
        <v>3768</v>
      </c>
      <c r="E2445" s="10">
        <v>15</v>
      </c>
      <c r="F2445" s="9" t="s">
        <v>866</v>
      </c>
      <c r="G2445" s="11">
        <v>46238</v>
      </c>
      <c r="H2445" s="12">
        <v>107.48</v>
      </c>
      <c r="I2445" s="12">
        <v>98.88</v>
      </c>
      <c r="J2445" s="9" t="s">
        <v>3</v>
      </c>
      <c r="K2445" s="8">
        <v>0</v>
      </c>
    </row>
    <row r="2446" spans="1:11">
      <c r="A2446" s="2" t="s">
        <v>834</v>
      </c>
      <c r="B2446" s="2" t="s">
        <v>3766</v>
      </c>
      <c r="C2446" s="9">
        <v>10100056</v>
      </c>
      <c r="D2446" s="2" t="s">
        <v>3769</v>
      </c>
      <c r="E2446" s="10">
        <v>12</v>
      </c>
      <c r="F2446" s="9" t="s">
        <v>982</v>
      </c>
      <c r="G2446" s="11">
        <v>46238</v>
      </c>
      <c r="H2446" s="12">
        <v>65.2</v>
      </c>
      <c r="I2446" s="12">
        <v>60.01</v>
      </c>
      <c r="J2446" s="9" t="s">
        <v>3</v>
      </c>
      <c r="K2446" s="8">
        <v>0</v>
      </c>
    </row>
    <row r="2447" spans="1:11">
      <c r="A2447" s="2" t="s">
        <v>834</v>
      </c>
      <c r="B2447" s="2" t="s">
        <v>3766</v>
      </c>
      <c r="C2447" s="9">
        <v>10100061</v>
      </c>
      <c r="D2447" s="2" t="s">
        <v>3770</v>
      </c>
      <c r="E2447" s="10">
        <v>25</v>
      </c>
      <c r="F2447" s="9" t="s">
        <v>3771</v>
      </c>
      <c r="G2447" s="11">
        <v>46238</v>
      </c>
      <c r="H2447" s="12">
        <v>161.30000000000001</v>
      </c>
      <c r="I2447" s="12">
        <v>148.44</v>
      </c>
      <c r="J2447" s="9" t="s">
        <v>3</v>
      </c>
      <c r="K2447" s="8">
        <v>0</v>
      </c>
    </row>
    <row r="2448" spans="1:11">
      <c r="A2448" s="2" t="s">
        <v>891</v>
      </c>
      <c r="B2448" s="2" t="s">
        <v>2637</v>
      </c>
      <c r="C2448" s="9">
        <v>10100062</v>
      </c>
      <c r="D2448" s="2" t="s">
        <v>3772</v>
      </c>
      <c r="E2448" s="10">
        <v>1</v>
      </c>
      <c r="F2448" s="9" t="s">
        <v>2655</v>
      </c>
      <c r="G2448" s="11">
        <v>46238</v>
      </c>
      <c r="H2448" s="12">
        <v>66.180000000000007</v>
      </c>
      <c r="I2448" s="12">
        <v>46.75</v>
      </c>
      <c r="J2448" s="9" t="s">
        <v>3</v>
      </c>
      <c r="K2448" s="8">
        <v>0</v>
      </c>
    </row>
    <row r="2449" spans="1:11">
      <c r="A2449" s="2" t="s">
        <v>919</v>
      </c>
      <c r="B2449" s="2" t="s">
        <v>2517</v>
      </c>
      <c r="C2449" s="9">
        <v>10100065</v>
      </c>
      <c r="D2449" s="2" t="s">
        <v>3773</v>
      </c>
      <c r="E2449" s="10">
        <v>2</v>
      </c>
      <c r="F2449" s="9" t="s">
        <v>2525</v>
      </c>
      <c r="G2449" s="11">
        <v>46238</v>
      </c>
      <c r="H2449" s="12">
        <v>149.97999999999999</v>
      </c>
      <c r="I2449" s="12">
        <v>130.47999999999999</v>
      </c>
      <c r="J2449" s="9" t="s">
        <v>3</v>
      </c>
      <c r="K2449" s="8">
        <v>0</v>
      </c>
    </row>
    <row r="2450" spans="1:11">
      <c r="A2450" s="2" t="s">
        <v>906</v>
      </c>
      <c r="B2450" s="2" t="s">
        <v>977</v>
      </c>
      <c r="C2450" s="9">
        <v>10100066</v>
      </c>
      <c r="D2450" s="2" t="s">
        <v>3774</v>
      </c>
      <c r="E2450" s="10">
        <v>1</v>
      </c>
      <c r="F2450" s="9" t="s">
        <v>3775</v>
      </c>
      <c r="G2450" s="11">
        <v>46238</v>
      </c>
      <c r="H2450" s="12">
        <v>36.36</v>
      </c>
      <c r="I2450" s="12">
        <v>33.450000000000003</v>
      </c>
      <c r="J2450" s="9" t="s">
        <v>3</v>
      </c>
      <c r="K2450" s="8">
        <v>1</v>
      </c>
    </row>
    <row r="2451" spans="1:11">
      <c r="A2451" s="2" t="s">
        <v>2740</v>
      </c>
      <c r="B2451" s="2" t="s">
        <v>3441</v>
      </c>
      <c r="C2451" s="9">
        <v>10100069</v>
      </c>
      <c r="D2451" s="2" t="s">
        <v>3776</v>
      </c>
      <c r="E2451" s="10">
        <v>12</v>
      </c>
      <c r="F2451" s="9" t="s">
        <v>1045</v>
      </c>
      <c r="G2451" s="11">
        <v>46238</v>
      </c>
      <c r="H2451" s="12">
        <v>38</v>
      </c>
      <c r="I2451" s="12">
        <v>33.840000000000003</v>
      </c>
      <c r="J2451" s="9" t="s">
        <v>3</v>
      </c>
      <c r="K2451" s="8">
        <v>0</v>
      </c>
    </row>
    <row r="2452" spans="1:11">
      <c r="A2452" s="2" t="s">
        <v>2740</v>
      </c>
      <c r="B2452" s="2" t="s">
        <v>3441</v>
      </c>
      <c r="C2452" s="9">
        <v>10100071</v>
      </c>
      <c r="D2452" s="2" t="s">
        <v>3777</v>
      </c>
      <c r="E2452" s="10">
        <v>12</v>
      </c>
      <c r="F2452" s="9" t="s">
        <v>1430</v>
      </c>
      <c r="G2452" s="11">
        <v>46238</v>
      </c>
      <c r="H2452" s="12">
        <v>57.25</v>
      </c>
      <c r="I2452" s="12">
        <v>50.95</v>
      </c>
      <c r="J2452" s="9" t="s">
        <v>3</v>
      </c>
      <c r="K2452" s="8">
        <v>0</v>
      </c>
    </row>
    <row r="2453" spans="1:11">
      <c r="A2453" s="2" t="s">
        <v>2740</v>
      </c>
      <c r="B2453" s="2" t="s">
        <v>2741</v>
      </c>
      <c r="C2453" s="9">
        <v>10100082</v>
      </c>
      <c r="D2453" s="2" t="s">
        <v>3778</v>
      </c>
      <c r="E2453" s="10">
        <v>12</v>
      </c>
      <c r="F2453" s="9" t="s">
        <v>3779</v>
      </c>
      <c r="G2453" s="11">
        <v>46238</v>
      </c>
      <c r="H2453" s="12">
        <v>69.599999999999994</v>
      </c>
      <c r="I2453" s="12">
        <v>61.97</v>
      </c>
      <c r="J2453" s="9" t="s">
        <v>3</v>
      </c>
      <c r="K2453" s="8">
        <v>0</v>
      </c>
    </row>
    <row r="2454" spans="1:11">
      <c r="A2454" s="2" t="s">
        <v>2740</v>
      </c>
      <c r="B2454" s="2" t="s">
        <v>3441</v>
      </c>
      <c r="C2454" s="9">
        <v>10100084</v>
      </c>
      <c r="D2454" s="2" t="s">
        <v>3780</v>
      </c>
      <c r="E2454" s="10">
        <v>12</v>
      </c>
      <c r="F2454" s="9" t="s">
        <v>768</v>
      </c>
      <c r="G2454" s="11">
        <v>46238</v>
      </c>
      <c r="H2454" s="12">
        <v>143.83000000000001</v>
      </c>
      <c r="I2454" s="12">
        <v>128.01</v>
      </c>
      <c r="J2454" s="9" t="s">
        <v>3</v>
      </c>
      <c r="K2454" s="8">
        <v>0</v>
      </c>
    </row>
    <row r="2455" spans="1:11">
      <c r="A2455" s="2" t="s">
        <v>906</v>
      </c>
      <c r="B2455" s="2" t="s">
        <v>1823</v>
      </c>
      <c r="C2455" s="9">
        <v>10100088</v>
      </c>
      <c r="D2455" s="2" t="s">
        <v>3781</v>
      </c>
      <c r="E2455" s="10">
        <v>15</v>
      </c>
      <c r="F2455" s="9" t="s">
        <v>969</v>
      </c>
      <c r="G2455" s="11">
        <v>46238</v>
      </c>
      <c r="H2455" s="12">
        <v>76.25</v>
      </c>
      <c r="I2455" s="12">
        <v>70.150000000000006</v>
      </c>
      <c r="J2455" s="9" t="s">
        <v>3</v>
      </c>
      <c r="K2455" s="8">
        <v>0</v>
      </c>
    </row>
    <row r="2456" spans="1:11">
      <c r="A2456" s="2" t="s">
        <v>906</v>
      </c>
      <c r="B2456" s="2" t="s">
        <v>1823</v>
      </c>
      <c r="C2456" s="9">
        <v>10100089</v>
      </c>
      <c r="D2456" s="2" t="s">
        <v>3782</v>
      </c>
      <c r="E2456" s="10">
        <v>12</v>
      </c>
      <c r="F2456" s="9" t="s">
        <v>1849</v>
      </c>
      <c r="G2456" s="11">
        <v>46238</v>
      </c>
      <c r="H2456" s="12">
        <v>172.6</v>
      </c>
      <c r="I2456" s="12">
        <v>158.79</v>
      </c>
      <c r="J2456" s="9" t="s">
        <v>3</v>
      </c>
      <c r="K2456" s="8">
        <v>0</v>
      </c>
    </row>
    <row r="2457" spans="1:11">
      <c r="A2457" s="2" t="s">
        <v>721</v>
      </c>
      <c r="B2457" s="2" t="s">
        <v>3136</v>
      </c>
      <c r="C2457" s="9">
        <v>10100090</v>
      </c>
      <c r="D2457" s="2" t="s">
        <v>3783</v>
      </c>
      <c r="E2457" s="10">
        <v>6</v>
      </c>
      <c r="F2457" s="9" t="s">
        <v>3521</v>
      </c>
      <c r="G2457" s="11">
        <v>46238</v>
      </c>
      <c r="H2457" s="12">
        <v>25.87</v>
      </c>
      <c r="I2457" s="12">
        <v>23.02</v>
      </c>
      <c r="J2457" s="9" t="s">
        <v>3</v>
      </c>
      <c r="K2457" s="8">
        <v>0</v>
      </c>
    </row>
    <row r="2458" spans="1:11">
      <c r="A2458" s="2" t="s">
        <v>708</v>
      </c>
      <c r="B2458" s="2" t="s">
        <v>743</v>
      </c>
      <c r="C2458" s="9">
        <v>10100091</v>
      </c>
      <c r="D2458" s="2" t="s">
        <v>3784</v>
      </c>
      <c r="E2458" s="10">
        <v>24</v>
      </c>
      <c r="F2458" s="9" t="s">
        <v>2935</v>
      </c>
      <c r="G2458" s="11">
        <v>46238</v>
      </c>
      <c r="H2458" s="12">
        <v>177</v>
      </c>
      <c r="I2458" s="12">
        <v>157.56</v>
      </c>
      <c r="J2458" s="9" t="s">
        <v>3</v>
      </c>
      <c r="K2458" s="8">
        <v>0</v>
      </c>
    </row>
    <row r="2459" spans="1:11">
      <c r="A2459" s="2" t="s">
        <v>708</v>
      </c>
      <c r="B2459" s="2" t="s">
        <v>743</v>
      </c>
      <c r="C2459" s="9">
        <v>10100092</v>
      </c>
      <c r="D2459" s="2" t="s">
        <v>3785</v>
      </c>
      <c r="E2459" s="10">
        <v>24</v>
      </c>
      <c r="F2459" s="9" t="s">
        <v>1718</v>
      </c>
      <c r="G2459" s="11">
        <v>46238</v>
      </c>
      <c r="H2459" s="12">
        <v>372.1</v>
      </c>
      <c r="I2459" s="12">
        <v>331.2</v>
      </c>
      <c r="J2459" s="9" t="s">
        <v>3</v>
      </c>
      <c r="K2459" s="8">
        <v>0</v>
      </c>
    </row>
    <row r="2460" spans="1:11">
      <c r="A2460" s="2" t="s">
        <v>687</v>
      </c>
      <c r="B2460" s="2" t="s">
        <v>3786</v>
      </c>
      <c r="C2460" s="9">
        <v>10100093</v>
      </c>
      <c r="D2460" s="2" t="s">
        <v>3787</v>
      </c>
      <c r="E2460" s="10">
        <v>12</v>
      </c>
      <c r="F2460" s="9" t="s">
        <v>1315</v>
      </c>
      <c r="G2460" s="11">
        <v>46238</v>
      </c>
      <c r="H2460" s="12">
        <v>34.299999999999997</v>
      </c>
      <c r="I2460" s="12">
        <v>30.5</v>
      </c>
      <c r="J2460" s="9" t="s">
        <v>3</v>
      </c>
      <c r="K2460" s="8">
        <v>0</v>
      </c>
    </row>
    <row r="2461" spans="1:11">
      <c r="A2461" s="2" t="s">
        <v>687</v>
      </c>
      <c r="B2461" s="2" t="s">
        <v>3786</v>
      </c>
      <c r="C2461" s="9">
        <v>10100094</v>
      </c>
      <c r="D2461" s="2" t="s">
        <v>3788</v>
      </c>
      <c r="E2461" s="10">
        <v>12</v>
      </c>
      <c r="F2461" s="9" t="s">
        <v>1315</v>
      </c>
      <c r="G2461" s="11">
        <v>46238</v>
      </c>
      <c r="H2461" s="12">
        <v>34.299999999999997</v>
      </c>
      <c r="I2461" s="12">
        <v>30.5</v>
      </c>
      <c r="J2461" s="9" t="s">
        <v>3</v>
      </c>
      <c r="K2461" s="8">
        <v>0</v>
      </c>
    </row>
    <row r="2462" spans="1:11">
      <c r="A2462" s="2" t="s">
        <v>687</v>
      </c>
      <c r="B2462" s="2" t="s">
        <v>3786</v>
      </c>
      <c r="C2462" s="9">
        <v>10100095</v>
      </c>
      <c r="D2462" s="2" t="s">
        <v>3789</v>
      </c>
      <c r="E2462" s="10">
        <v>12</v>
      </c>
      <c r="F2462" s="9" t="s">
        <v>1315</v>
      </c>
      <c r="G2462" s="11">
        <v>46238</v>
      </c>
      <c r="H2462" s="12">
        <v>34.299999999999997</v>
      </c>
      <c r="I2462" s="12">
        <v>30.5</v>
      </c>
      <c r="J2462" s="9" t="s">
        <v>3</v>
      </c>
      <c r="K2462" s="8">
        <v>0</v>
      </c>
    </row>
    <row r="2463" spans="1:11">
      <c r="A2463" s="2" t="s">
        <v>2740</v>
      </c>
      <c r="B2463" s="2" t="s">
        <v>2741</v>
      </c>
      <c r="C2463" s="9">
        <v>10100096</v>
      </c>
      <c r="D2463" s="2" t="s">
        <v>3790</v>
      </c>
      <c r="E2463" s="10">
        <v>6</v>
      </c>
      <c r="F2463" s="9" t="s">
        <v>650</v>
      </c>
      <c r="G2463" s="11">
        <v>46238</v>
      </c>
      <c r="H2463" s="12">
        <v>29.46</v>
      </c>
      <c r="I2463" s="12">
        <v>26.22</v>
      </c>
      <c r="J2463" s="9" t="s">
        <v>3</v>
      </c>
      <c r="K2463" s="8">
        <v>0</v>
      </c>
    </row>
    <row r="2464" spans="1:11">
      <c r="A2464" s="2" t="s">
        <v>607</v>
      </c>
      <c r="B2464" s="2" t="s">
        <v>1696</v>
      </c>
      <c r="C2464" s="9">
        <v>10100097</v>
      </c>
      <c r="D2464" s="2" t="s">
        <v>3791</v>
      </c>
      <c r="E2464" s="10">
        <v>6</v>
      </c>
      <c r="F2464" s="9" t="s">
        <v>1698</v>
      </c>
      <c r="G2464" s="11">
        <v>46238</v>
      </c>
      <c r="H2464" s="12">
        <v>34.43</v>
      </c>
      <c r="I2464" s="12">
        <v>30.64</v>
      </c>
      <c r="J2464" s="9" t="s">
        <v>3</v>
      </c>
      <c r="K2464" s="8">
        <v>0</v>
      </c>
    </row>
    <row r="2465" spans="1:11">
      <c r="A2465" s="2" t="s">
        <v>663</v>
      </c>
      <c r="B2465" s="2" t="s">
        <v>2105</v>
      </c>
      <c r="C2465" s="9">
        <v>10100099</v>
      </c>
      <c r="D2465" s="2" t="s">
        <v>3792</v>
      </c>
      <c r="E2465" s="10">
        <v>12</v>
      </c>
      <c r="F2465" s="9" t="s">
        <v>2163</v>
      </c>
      <c r="G2465" s="11">
        <v>46238</v>
      </c>
      <c r="H2465" s="12">
        <v>34.200000000000003</v>
      </c>
      <c r="I2465" s="12">
        <v>30.48</v>
      </c>
      <c r="J2465" s="9" t="s">
        <v>3</v>
      </c>
      <c r="K2465" s="8">
        <v>0</v>
      </c>
    </row>
    <row r="2466" spans="1:11">
      <c r="A2466" s="2" t="s">
        <v>834</v>
      </c>
      <c r="B2466" s="2" t="s">
        <v>3793</v>
      </c>
      <c r="C2466" s="9">
        <v>10100102</v>
      </c>
      <c r="D2466" s="2" t="s">
        <v>3794</v>
      </c>
      <c r="E2466" s="10">
        <v>1</v>
      </c>
      <c r="F2466" s="9" t="s">
        <v>3795</v>
      </c>
      <c r="G2466" s="11">
        <v>46238</v>
      </c>
      <c r="H2466" s="12">
        <v>27.65</v>
      </c>
      <c r="I2466" s="12">
        <v>25.44</v>
      </c>
      <c r="J2466" s="9" t="s">
        <v>3</v>
      </c>
      <c r="K2466" s="8">
        <v>1</v>
      </c>
    </row>
    <row r="2467" spans="1:11">
      <c r="A2467" s="2" t="s">
        <v>834</v>
      </c>
      <c r="B2467" s="2" t="s">
        <v>3793</v>
      </c>
      <c r="C2467" s="9">
        <v>10100103</v>
      </c>
      <c r="D2467" s="2" t="s">
        <v>3796</v>
      </c>
      <c r="E2467" s="10">
        <v>1</v>
      </c>
      <c r="F2467" s="9" t="s">
        <v>3795</v>
      </c>
      <c r="G2467" s="11">
        <v>46238</v>
      </c>
      <c r="H2467" s="12">
        <v>27.65</v>
      </c>
      <c r="I2467" s="12">
        <v>25.44</v>
      </c>
      <c r="J2467" s="9" t="s">
        <v>3</v>
      </c>
      <c r="K2467" s="8">
        <v>1</v>
      </c>
    </row>
    <row r="2468" spans="1:11">
      <c r="A2468" s="2" t="s">
        <v>834</v>
      </c>
      <c r="B2468" s="2" t="s">
        <v>3793</v>
      </c>
      <c r="C2468" s="9">
        <v>10100104</v>
      </c>
      <c r="D2468" s="2" t="s">
        <v>3797</v>
      </c>
      <c r="E2468" s="10">
        <v>1</v>
      </c>
      <c r="F2468" s="9" t="s">
        <v>3798</v>
      </c>
      <c r="G2468" s="11">
        <v>46238</v>
      </c>
      <c r="H2468" s="12">
        <v>27.65</v>
      </c>
      <c r="I2468" s="12">
        <v>25.44</v>
      </c>
      <c r="J2468" s="9" t="s">
        <v>3</v>
      </c>
      <c r="K2468" s="8">
        <v>1</v>
      </c>
    </row>
    <row r="2469" spans="1:11">
      <c r="A2469" s="2" t="s">
        <v>834</v>
      </c>
      <c r="B2469" s="2" t="s">
        <v>3793</v>
      </c>
      <c r="C2469" s="9">
        <v>10100105</v>
      </c>
      <c r="D2469" s="2" t="s">
        <v>3799</v>
      </c>
      <c r="E2469" s="10">
        <v>2</v>
      </c>
      <c r="F2469" s="9" t="s">
        <v>3800</v>
      </c>
      <c r="G2469" s="11">
        <v>46238</v>
      </c>
      <c r="H2469" s="12">
        <v>28.22</v>
      </c>
      <c r="I2469" s="12">
        <v>25.96</v>
      </c>
      <c r="J2469" s="9" t="s">
        <v>3</v>
      </c>
      <c r="K2469" s="8">
        <v>1</v>
      </c>
    </row>
    <row r="2470" spans="1:11">
      <c r="A2470" s="2" t="s">
        <v>834</v>
      </c>
      <c r="B2470" s="2" t="s">
        <v>3793</v>
      </c>
      <c r="C2470" s="9">
        <v>10100108</v>
      </c>
      <c r="D2470" s="2" t="s">
        <v>3801</v>
      </c>
      <c r="E2470" s="10">
        <v>12</v>
      </c>
      <c r="F2470" s="9" t="s">
        <v>985</v>
      </c>
      <c r="G2470" s="11">
        <v>46238</v>
      </c>
      <c r="H2470" s="12">
        <v>70.05</v>
      </c>
      <c r="I2470" s="12">
        <v>64.45</v>
      </c>
      <c r="J2470" s="9" t="s">
        <v>3</v>
      </c>
      <c r="K2470" s="8">
        <v>0</v>
      </c>
    </row>
    <row r="2471" spans="1:11">
      <c r="A2471" s="2" t="s">
        <v>834</v>
      </c>
      <c r="B2471" s="2" t="s">
        <v>3793</v>
      </c>
      <c r="C2471" s="9">
        <v>10100109</v>
      </c>
      <c r="D2471" s="2" t="s">
        <v>3802</v>
      </c>
      <c r="E2471" s="10">
        <v>12</v>
      </c>
      <c r="F2471" s="9" t="s">
        <v>985</v>
      </c>
      <c r="G2471" s="11">
        <v>46238</v>
      </c>
      <c r="H2471" s="12">
        <v>64.599999999999994</v>
      </c>
      <c r="I2471" s="12">
        <v>59.43</v>
      </c>
      <c r="J2471" s="9" t="s">
        <v>3</v>
      </c>
      <c r="K2471" s="8">
        <v>0</v>
      </c>
    </row>
    <row r="2472" spans="1:11">
      <c r="A2472" s="2" t="s">
        <v>834</v>
      </c>
      <c r="B2472" s="2" t="s">
        <v>3793</v>
      </c>
      <c r="C2472" s="9">
        <v>10100112</v>
      </c>
      <c r="D2472" s="2" t="s">
        <v>3803</v>
      </c>
      <c r="E2472" s="10">
        <v>10</v>
      </c>
      <c r="F2472" s="9" t="s">
        <v>985</v>
      </c>
      <c r="G2472" s="11">
        <v>46238</v>
      </c>
      <c r="H2472" s="12">
        <v>62.8</v>
      </c>
      <c r="I2472" s="12">
        <v>57.78</v>
      </c>
      <c r="J2472" s="9" t="s">
        <v>3</v>
      </c>
      <c r="K2472" s="8">
        <v>0</v>
      </c>
    </row>
    <row r="2473" spans="1:11">
      <c r="A2473" s="2" t="s">
        <v>834</v>
      </c>
      <c r="B2473" s="2" t="s">
        <v>3793</v>
      </c>
      <c r="C2473" s="9">
        <v>10100113</v>
      </c>
      <c r="D2473" s="2" t="s">
        <v>3804</v>
      </c>
      <c r="E2473" s="10">
        <v>12</v>
      </c>
      <c r="F2473" s="9" t="s">
        <v>866</v>
      </c>
      <c r="G2473" s="11">
        <v>46238</v>
      </c>
      <c r="H2473" s="12">
        <v>120.42</v>
      </c>
      <c r="I2473" s="12">
        <v>110.79</v>
      </c>
      <c r="J2473" s="9" t="s">
        <v>3</v>
      </c>
      <c r="K2473" s="8">
        <v>0</v>
      </c>
    </row>
    <row r="2474" spans="1:11">
      <c r="A2474" s="2" t="s">
        <v>834</v>
      </c>
      <c r="B2474" s="2" t="s">
        <v>3793</v>
      </c>
      <c r="C2474" s="9">
        <v>10100114</v>
      </c>
      <c r="D2474" s="2" t="s">
        <v>3805</v>
      </c>
      <c r="E2474" s="10">
        <v>8</v>
      </c>
      <c r="F2474" s="9" t="s">
        <v>866</v>
      </c>
      <c r="G2474" s="11">
        <v>46238</v>
      </c>
      <c r="H2474" s="12">
        <v>120.42</v>
      </c>
      <c r="I2474" s="12">
        <v>110.79</v>
      </c>
      <c r="J2474" s="9" t="s">
        <v>3</v>
      </c>
      <c r="K2474" s="8">
        <v>0</v>
      </c>
    </row>
    <row r="2475" spans="1:11">
      <c r="A2475" s="2" t="s">
        <v>834</v>
      </c>
      <c r="B2475" s="2" t="s">
        <v>3793</v>
      </c>
      <c r="C2475" s="9">
        <v>10100115</v>
      </c>
      <c r="D2475" s="2" t="s">
        <v>3806</v>
      </c>
      <c r="E2475" s="10">
        <v>12</v>
      </c>
      <c r="F2475" s="9" t="s">
        <v>1760</v>
      </c>
      <c r="G2475" s="11">
        <v>46238</v>
      </c>
      <c r="H2475" s="12">
        <v>78.489999999999995</v>
      </c>
      <c r="I2475" s="12">
        <v>72.209999999999994</v>
      </c>
      <c r="J2475" s="9" t="s">
        <v>3</v>
      </c>
      <c r="K2475" s="8">
        <v>0</v>
      </c>
    </row>
    <row r="2476" spans="1:11">
      <c r="A2476" s="2" t="s">
        <v>834</v>
      </c>
      <c r="B2476" s="2" t="s">
        <v>3793</v>
      </c>
      <c r="C2476" s="9">
        <v>10100116</v>
      </c>
      <c r="D2476" s="2" t="s">
        <v>3807</v>
      </c>
      <c r="E2476" s="10">
        <v>12</v>
      </c>
      <c r="F2476" s="9" t="s">
        <v>866</v>
      </c>
      <c r="G2476" s="11">
        <v>46238</v>
      </c>
      <c r="H2476" s="12">
        <v>79.849999999999994</v>
      </c>
      <c r="I2476" s="12">
        <v>73.459999999999994</v>
      </c>
      <c r="J2476" s="9" t="s">
        <v>3</v>
      </c>
      <c r="K2476" s="8">
        <v>0</v>
      </c>
    </row>
    <row r="2477" spans="1:11">
      <c r="A2477" s="2" t="s">
        <v>834</v>
      </c>
      <c r="B2477" s="2" t="s">
        <v>3793</v>
      </c>
      <c r="C2477" s="9">
        <v>10100117</v>
      </c>
      <c r="D2477" s="2" t="s">
        <v>3808</v>
      </c>
      <c r="E2477" s="10">
        <v>10</v>
      </c>
      <c r="F2477" s="9" t="s">
        <v>985</v>
      </c>
      <c r="G2477" s="11">
        <v>46238</v>
      </c>
      <c r="H2477" s="12">
        <v>62.8</v>
      </c>
      <c r="I2477" s="12">
        <v>57.78</v>
      </c>
      <c r="J2477" s="9" t="s">
        <v>3</v>
      </c>
      <c r="K2477" s="8">
        <v>0</v>
      </c>
    </row>
    <row r="2478" spans="1:11">
      <c r="A2478" s="2" t="s">
        <v>1550</v>
      </c>
      <c r="B2478" s="2" t="s">
        <v>2110</v>
      </c>
      <c r="C2478" s="9">
        <v>10100118</v>
      </c>
      <c r="D2478" s="2" t="s">
        <v>3809</v>
      </c>
      <c r="E2478" s="10">
        <v>12</v>
      </c>
      <c r="F2478" s="9" t="s">
        <v>1112</v>
      </c>
      <c r="G2478" s="11">
        <v>46238</v>
      </c>
      <c r="H2478" s="12">
        <v>129.69</v>
      </c>
      <c r="I2478" s="12">
        <v>115.4</v>
      </c>
      <c r="J2478" s="9" t="s">
        <v>3</v>
      </c>
      <c r="K2478" s="8">
        <v>0</v>
      </c>
    </row>
    <row r="2479" spans="1:11">
      <c r="A2479" s="2" t="s">
        <v>1550</v>
      </c>
      <c r="B2479" s="2" t="s">
        <v>2110</v>
      </c>
      <c r="C2479" s="9">
        <v>10100119</v>
      </c>
      <c r="D2479" s="2" t="s">
        <v>3810</v>
      </c>
      <c r="E2479" s="10">
        <v>12</v>
      </c>
      <c r="F2479" s="9" t="s">
        <v>1114</v>
      </c>
      <c r="G2479" s="11">
        <v>46238</v>
      </c>
      <c r="H2479" s="12">
        <v>141.99</v>
      </c>
      <c r="I2479" s="12">
        <v>126.38</v>
      </c>
      <c r="J2479" s="9" t="s">
        <v>3</v>
      </c>
      <c r="K2479" s="8">
        <v>0</v>
      </c>
    </row>
    <row r="2480" spans="1:11">
      <c r="A2480" s="2" t="s">
        <v>1550</v>
      </c>
      <c r="B2480" s="2" t="s">
        <v>2110</v>
      </c>
      <c r="C2480" s="9">
        <v>10100120</v>
      </c>
      <c r="D2480" s="2" t="s">
        <v>3811</v>
      </c>
      <c r="E2480" s="10">
        <v>12</v>
      </c>
      <c r="F2480" s="9" t="s">
        <v>1114</v>
      </c>
      <c r="G2480" s="11">
        <v>46238</v>
      </c>
      <c r="H2480" s="12">
        <v>141.99</v>
      </c>
      <c r="I2480" s="12">
        <v>126.38</v>
      </c>
      <c r="J2480" s="9" t="s">
        <v>3</v>
      </c>
      <c r="K2480" s="8">
        <v>0</v>
      </c>
    </row>
    <row r="2481" spans="1:11">
      <c r="A2481" s="2" t="s">
        <v>834</v>
      </c>
      <c r="B2481" s="2" t="s">
        <v>3793</v>
      </c>
      <c r="C2481" s="9">
        <v>10100121</v>
      </c>
      <c r="D2481" s="2" t="s">
        <v>3812</v>
      </c>
      <c r="E2481" s="10">
        <v>1</v>
      </c>
      <c r="F2481" s="9" t="s">
        <v>2069</v>
      </c>
      <c r="G2481" s="11">
        <v>46238</v>
      </c>
      <c r="H2481" s="12">
        <v>28.79</v>
      </c>
      <c r="I2481" s="12">
        <v>26.49</v>
      </c>
      <c r="J2481" s="9" t="s">
        <v>3</v>
      </c>
      <c r="K2481" s="8">
        <v>1</v>
      </c>
    </row>
    <row r="2482" spans="1:11">
      <c r="A2482" s="2" t="s">
        <v>1550</v>
      </c>
      <c r="B2482" s="2" t="s">
        <v>1551</v>
      </c>
      <c r="C2482" s="9">
        <v>10100122</v>
      </c>
      <c r="D2482" s="2" t="s">
        <v>1560</v>
      </c>
      <c r="E2482" s="10">
        <v>8</v>
      </c>
      <c r="F2482" s="9" t="s">
        <v>985</v>
      </c>
      <c r="G2482" s="11">
        <v>46238</v>
      </c>
      <c r="H2482" s="12">
        <v>74.739999999999995</v>
      </c>
      <c r="I2482" s="12">
        <v>68.760000000000005</v>
      </c>
      <c r="J2482" s="9" t="s">
        <v>3</v>
      </c>
      <c r="K2482" s="8">
        <v>0</v>
      </c>
    </row>
    <row r="2483" spans="1:11">
      <c r="A2483" s="2" t="s">
        <v>1550</v>
      </c>
      <c r="B2483" s="2" t="s">
        <v>1551</v>
      </c>
      <c r="C2483" s="9">
        <v>10100123</v>
      </c>
      <c r="D2483" s="2" t="s">
        <v>1559</v>
      </c>
      <c r="E2483" s="10">
        <v>8</v>
      </c>
      <c r="F2483" s="9" t="s">
        <v>985</v>
      </c>
      <c r="G2483" s="11">
        <v>46238</v>
      </c>
      <c r="H2483" s="12">
        <v>74.739999999999995</v>
      </c>
      <c r="I2483" s="12">
        <v>68.760000000000005</v>
      </c>
      <c r="J2483" s="9" t="s">
        <v>3</v>
      </c>
      <c r="K2483" s="8">
        <v>0</v>
      </c>
    </row>
    <row r="2484" spans="1:11">
      <c r="A2484" s="2" t="s">
        <v>1550</v>
      </c>
      <c r="B2484" s="2" t="s">
        <v>1551</v>
      </c>
      <c r="C2484" s="9">
        <v>10100124</v>
      </c>
      <c r="D2484" s="2" t="s">
        <v>3813</v>
      </c>
      <c r="E2484" s="10">
        <v>8</v>
      </c>
      <c r="F2484" s="9" t="s">
        <v>697</v>
      </c>
      <c r="G2484" s="11">
        <v>46238</v>
      </c>
      <c r="H2484" s="12">
        <v>48.36</v>
      </c>
      <c r="I2484" s="12">
        <v>44.49</v>
      </c>
      <c r="J2484" s="9" t="s">
        <v>3</v>
      </c>
      <c r="K2484" s="8">
        <v>0</v>
      </c>
    </row>
    <row r="2485" spans="1:11">
      <c r="A2485" s="2" t="s">
        <v>1550</v>
      </c>
      <c r="B2485" s="2" t="s">
        <v>1551</v>
      </c>
      <c r="C2485" s="9">
        <v>10100125</v>
      </c>
      <c r="D2485" s="2" t="s">
        <v>3814</v>
      </c>
      <c r="E2485" s="10">
        <v>8</v>
      </c>
      <c r="F2485" s="9" t="s">
        <v>697</v>
      </c>
      <c r="G2485" s="11">
        <v>46238</v>
      </c>
      <c r="H2485" s="12">
        <v>48.36</v>
      </c>
      <c r="I2485" s="12">
        <v>44.49</v>
      </c>
      <c r="J2485" s="9" t="s">
        <v>3</v>
      </c>
      <c r="K2485" s="8">
        <v>0</v>
      </c>
    </row>
    <row r="2486" spans="1:11">
      <c r="A2486" s="2" t="s">
        <v>1550</v>
      </c>
      <c r="B2486" s="2" t="s">
        <v>1551</v>
      </c>
      <c r="C2486" s="9">
        <v>10100126</v>
      </c>
      <c r="D2486" s="2" t="s">
        <v>3815</v>
      </c>
      <c r="E2486" s="10">
        <v>8</v>
      </c>
      <c r="F2486" s="9" t="s">
        <v>697</v>
      </c>
      <c r="G2486" s="11">
        <v>46238</v>
      </c>
      <c r="H2486" s="12">
        <v>47.3</v>
      </c>
      <c r="I2486" s="12">
        <v>43.52</v>
      </c>
      <c r="J2486" s="9" t="s">
        <v>3</v>
      </c>
      <c r="K2486" s="8">
        <v>0</v>
      </c>
    </row>
    <row r="2487" spans="1:11">
      <c r="A2487" s="2" t="s">
        <v>1550</v>
      </c>
      <c r="B2487" s="2" t="s">
        <v>1551</v>
      </c>
      <c r="C2487" s="9">
        <v>10100127</v>
      </c>
      <c r="D2487" s="2" t="s">
        <v>3816</v>
      </c>
      <c r="E2487" s="10">
        <v>8</v>
      </c>
      <c r="F2487" s="9" t="s">
        <v>697</v>
      </c>
      <c r="G2487" s="11">
        <v>46238</v>
      </c>
      <c r="H2487" s="12">
        <v>47.3</v>
      </c>
      <c r="I2487" s="12">
        <v>43.52</v>
      </c>
      <c r="J2487" s="9" t="s">
        <v>3</v>
      </c>
      <c r="K2487" s="8">
        <v>0</v>
      </c>
    </row>
    <row r="2488" spans="1:11">
      <c r="A2488" s="2" t="s">
        <v>1550</v>
      </c>
      <c r="B2488" s="2" t="s">
        <v>1551</v>
      </c>
      <c r="C2488" s="9">
        <v>10100128</v>
      </c>
      <c r="D2488" s="2" t="s">
        <v>1553</v>
      </c>
      <c r="E2488" s="10">
        <v>8</v>
      </c>
      <c r="F2488" s="9" t="s">
        <v>697</v>
      </c>
      <c r="G2488" s="11">
        <v>46238</v>
      </c>
      <c r="H2488" s="12">
        <v>47.3</v>
      </c>
      <c r="I2488" s="12">
        <v>43.52</v>
      </c>
      <c r="J2488" s="9" t="s">
        <v>3</v>
      </c>
      <c r="K2488" s="8">
        <v>0</v>
      </c>
    </row>
    <row r="2489" spans="1:11">
      <c r="A2489" s="2" t="s">
        <v>1550</v>
      </c>
      <c r="B2489" s="2" t="s">
        <v>1551</v>
      </c>
      <c r="C2489" s="9">
        <v>10100129</v>
      </c>
      <c r="D2489" s="2" t="s">
        <v>3817</v>
      </c>
      <c r="E2489" s="10">
        <v>8</v>
      </c>
      <c r="F2489" s="9" t="s">
        <v>697</v>
      </c>
      <c r="G2489" s="11">
        <v>46238</v>
      </c>
      <c r="H2489" s="12">
        <v>47.3</v>
      </c>
      <c r="I2489" s="12">
        <v>43.52</v>
      </c>
      <c r="J2489" s="9" t="s">
        <v>3</v>
      </c>
      <c r="K2489" s="8">
        <v>0</v>
      </c>
    </row>
    <row r="2490" spans="1:11">
      <c r="A2490" s="2" t="s">
        <v>1550</v>
      </c>
      <c r="B2490" s="2" t="s">
        <v>1551</v>
      </c>
      <c r="C2490" s="9">
        <v>10100130</v>
      </c>
      <c r="D2490" s="2" t="s">
        <v>3818</v>
      </c>
      <c r="E2490" s="10">
        <v>8</v>
      </c>
      <c r="F2490" s="9" t="s">
        <v>697</v>
      </c>
      <c r="G2490" s="11">
        <v>46238</v>
      </c>
      <c r="H2490" s="12">
        <v>47.3</v>
      </c>
      <c r="I2490" s="12">
        <v>43.52</v>
      </c>
      <c r="J2490" s="9" t="s">
        <v>3</v>
      </c>
      <c r="K2490" s="8">
        <v>0</v>
      </c>
    </row>
    <row r="2491" spans="1:11">
      <c r="A2491" s="2" t="s">
        <v>1550</v>
      </c>
      <c r="B2491" s="2" t="s">
        <v>1551</v>
      </c>
      <c r="C2491" s="9">
        <v>10100131</v>
      </c>
      <c r="D2491" s="2" t="s">
        <v>3819</v>
      </c>
      <c r="E2491" s="10">
        <v>8</v>
      </c>
      <c r="F2491" s="9" t="s">
        <v>1405</v>
      </c>
      <c r="G2491" s="11">
        <v>46238</v>
      </c>
      <c r="H2491" s="12">
        <v>62.72</v>
      </c>
      <c r="I2491" s="12">
        <v>57.7</v>
      </c>
      <c r="J2491" s="9" t="s">
        <v>3</v>
      </c>
      <c r="K2491" s="8">
        <v>0</v>
      </c>
    </row>
    <row r="2492" spans="1:11">
      <c r="A2492" s="2" t="s">
        <v>1550</v>
      </c>
      <c r="B2492" s="2" t="s">
        <v>1551</v>
      </c>
      <c r="C2492" s="9">
        <v>10100132</v>
      </c>
      <c r="D2492" s="2" t="s">
        <v>1558</v>
      </c>
      <c r="E2492" s="10">
        <v>8</v>
      </c>
      <c r="F2492" s="9" t="s">
        <v>1557</v>
      </c>
      <c r="G2492" s="11">
        <v>46238</v>
      </c>
      <c r="H2492" s="12">
        <v>42.91</v>
      </c>
      <c r="I2492" s="12">
        <v>39.479999999999997</v>
      </c>
      <c r="J2492" s="9" t="s">
        <v>3</v>
      </c>
      <c r="K2492" s="8">
        <v>0</v>
      </c>
    </row>
    <row r="2493" spans="1:11">
      <c r="A2493" s="2" t="s">
        <v>1550</v>
      </c>
      <c r="B2493" s="2" t="s">
        <v>1551</v>
      </c>
      <c r="C2493" s="9">
        <v>10100133</v>
      </c>
      <c r="D2493" s="2" t="s">
        <v>3820</v>
      </c>
      <c r="E2493" s="10">
        <v>8</v>
      </c>
      <c r="F2493" s="9" t="s">
        <v>1557</v>
      </c>
      <c r="G2493" s="11">
        <v>46238</v>
      </c>
      <c r="H2493" s="12">
        <v>40.619999999999997</v>
      </c>
      <c r="I2493" s="12">
        <v>37.369999999999997</v>
      </c>
      <c r="J2493" s="9" t="s">
        <v>3</v>
      </c>
      <c r="K2493" s="8">
        <v>0</v>
      </c>
    </row>
    <row r="2494" spans="1:11">
      <c r="A2494" s="2" t="s">
        <v>1550</v>
      </c>
      <c r="B2494" s="2" t="s">
        <v>1551</v>
      </c>
      <c r="C2494" s="9">
        <v>10100134</v>
      </c>
      <c r="D2494" s="2" t="s">
        <v>1556</v>
      </c>
      <c r="E2494" s="10">
        <v>8</v>
      </c>
      <c r="F2494" s="9" t="s">
        <v>1557</v>
      </c>
      <c r="G2494" s="11">
        <v>46238</v>
      </c>
      <c r="H2494" s="12">
        <v>40.619999999999997</v>
      </c>
      <c r="I2494" s="12">
        <v>37.369999999999997</v>
      </c>
      <c r="J2494" s="9" t="s">
        <v>3</v>
      </c>
      <c r="K2494" s="8">
        <v>0</v>
      </c>
    </row>
    <row r="2495" spans="1:11">
      <c r="A2495" s="2" t="s">
        <v>1550</v>
      </c>
      <c r="B2495" s="2" t="s">
        <v>1551</v>
      </c>
      <c r="C2495" s="9">
        <v>10100135</v>
      </c>
      <c r="D2495" s="2" t="s">
        <v>1555</v>
      </c>
      <c r="E2495" s="10">
        <v>8</v>
      </c>
      <c r="F2495" s="9" t="s">
        <v>697</v>
      </c>
      <c r="G2495" s="11">
        <v>46238</v>
      </c>
      <c r="H2495" s="12">
        <v>58.29</v>
      </c>
      <c r="I2495" s="12">
        <v>53.63</v>
      </c>
      <c r="J2495" s="9" t="s">
        <v>3</v>
      </c>
      <c r="K2495" s="8">
        <v>0</v>
      </c>
    </row>
    <row r="2496" spans="1:11">
      <c r="A2496" s="2" t="s">
        <v>3546</v>
      </c>
      <c r="B2496" s="2" t="s">
        <v>3547</v>
      </c>
      <c r="C2496" s="9">
        <v>10100136</v>
      </c>
      <c r="D2496" s="2" t="s">
        <v>3821</v>
      </c>
      <c r="E2496" s="10">
        <v>6</v>
      </c>
      <c r="F2496" s="9" t="s">
        <v>3555</v>
      </c>
      <c r="G2496" s="11">
        <v>46238</v>
      </c>
      <c r="H2496" s="12">
        <v>39.58</v>
      </c>
      <c r="I2496" s="12">
        <v>35.229999999999997</v>
      </c>
      <c r="J2496" s="9" t="s">
        <v>3</v>
      </c>
      <c r="K2496" s="8">
        <v>0</v>
      </c>
    </row>
    <row r="2497" spans="1:11">
      <c r="A2497" s="2" t="s">
        <v>834</v>
      </c>
      <c r="B2497" s="2" t="s">
        <v>3667</v>
      </c>
      <c r="C2497" s="9">
        <v>10100139</v>
      </c>
      <c r="D2497" s="2" t="s">
        <v>3822</v>
      </c>
      <c r="E2497" s="10">
        <v>12</v>
      </c>
      <c r="F2497" s="9" t="s">
        <v>3823</v>
      </c>
      <c r="G2497" s="11">
        <v>46238</v>
      </c>
      <c r="H2497" s="12">
        <v>187.76</v>
      </c>
      <c r="I2497" s="12">
        <v>167.11</v>
      </c>
      <c r="J2497" s="9" t="s">
        <v>3</v>
      </c>
      <c r="K2497" s="8">
        <v>0</v>
      </c>
    </row>
    <row r="2498" spans="1:11">
      <c r="A2498" s="2" t="s">
        <v>834</v>
      </c>
      <c r="B2498" s="2" t="s">
        <v>2976</v>
      </c>
      <c r="C2498" s="9">
        <v>10100140</v>
      </c>
      <c r="D2498" s="2" t="s">
        <v>3824</v>
      </c>
      <c r="E2498" s="10">
        <v>15</v>
      </c>
      <c r="F2498" s="9" t="s">
        <v>985</v>
      </c>
      <c r="G2498" s="11">
        <v>46238</v>
      </c>
      <c r="H2498" s="12">
        <v>75.739999999999995</v>
      </c>
      <c r="I2498" s="12">
        <v>69.680000000000007</v>
      </c>
      <c r="J2498" s="9" t="s">
        <v>3</v>
      </c>
      <c r="K2498" s="8">
        <v>0</v>
      </c>
    </row>
    <row r="2499" spans="1:11">
      <c r="A2499" s="2" t="s">
        <v>1319</v>
      </c>
      <c r="B2499" s="2" t="s">
        <v>1320</v>
      </c>
      <c r="C2499" s="9">
        <v>10100142</v>
      </c>
      <c r="D2499" s="2" t="s">
        <v>3825</v>
      </c>
      <c r="E2499" s="10">
        <v>1</v>
      </c>
      <c r="F2499" s="9" t="s">
        <v>989</v>
      </c>
      <c r="G2499" s="11">
        <v>46238</v>
      </c>
      <c r="H2499" s="12">
        <v>25.23</v>
      </c>
      <c r="I2499" s="12">
        <v>25.23</v>
      </c>
      <c r="J2499" s="9" t="s">
        <v>3</v>
      </c>
      <c r="K2499" s="8">
        <v>1</v>
      </c>
    </row>
    <row r="2500" spans="1:11">
      <c r="A2500" s="2" t="s">
        <v>1319</v>
      </c>
      <c r="B2500" s="2" t="s">
        <v>1320</v>
      </c>
      <c r="C2500" s="9">
        <v>10100143</v>
      </c>
      <c r="D2500" s="2" t="s">
        <v>3826</v>
      </c>
      <c r="E2500" s="10">
        <v>8</v>
      </c>
      <c r="F2500" s="9" t="s">
        <v>811</v>
      </c>
      <c r="G2500" s="11">
        <v>46238</v>
      </c>
      <c r="H2500" s="12">
        <v>42.88</v>
      </c>
      <c r="I2500" s="12">
        <v>42.88</v>
      </c>
      <c r="J2500" s="9" t="s">
        <v>3</v>
      </c>
      <c r="K2500" s="8">
        <v>0</v>
      </c>
    </row>
    <row r="2501" spans="1:11">
      <c r="A2501" s="2" t="s">
        <v>1319</v>
      </c>
      <c r="B2501" s="2" t="s">
        <v>1320</v>
      </c>
      <c r="C2501" s="9">
        <v>10100144</v>
      </c>
      <c r="D2501" s="2" t="s">
        <v>3827</v>
      </c>
      <c r="E2501" s="10">
        <v>8</v>
      </c>
      <c r="F2501" s="9" t="s">
        <v>811</v>
      </c>
      <c r="G2501" s="11">
        <v>46238</v>
      </c>
      <c r="H2501" s="12">
        <v>42.88</v>
      </c>
      <c r="I2501" s="12">
        <v>42.88</v>
      </c>
      <c r="J2501" s="9" t="s">
        <v>3</v>
      </c>
      <c r="K2501" s="8">
        <v>0</v>
      </c>
    </row>
    <row r="2502" spans="1:11">
      <c r="A2502" s="2" t="s">
        <v>891</v>
      </c>
      <c r="B2502" s="2" t="s">
        <v>3327</v>
      </c>
      <c r="C2502" s="9">
        <v>10100145</v>
      </c>
      <c r="D2502" s="2" t="s">
        <v>3828</v>
      </c>
      <c r="E2502" s="10">
        <v>4</v>
      </c>
      <c r="F2502" s="9" t="s">
        <v>1377</v>
      </c>
      <c r="G2502" s="11">
        <v>46238</v>
      </c>
      <c r="H2502" s="12">
        <v>101.26</v>
      </c>
      <c r="I2502" s="12">
        <v>88.1</v>
      </c>
      <c r="J2502" s="9" t="s">
        <v>3</v>
      </c>
      <c r="K2502" s="8">
        <v>0</v>
      </c>
    </row>
    <row r="2503" spans="1:11">
      <c r="A2503" s="2" t="s">
        <v>2740</v>
      </c>
      <c r="B2503" s="2" t="s">
        <v>2761</v>
      </c>
      <c r="C2503" s="9">
        <v>10100146</v>
      </c>
      <c r="D2503" s="2" t="s">
        <v>3829</v>
      </c>
      <c r="E2503" s="10">
        <v>6</v>
      </c>
      <c r="F2503" s="9" t="s">
        <v>1173</v>
      </c>
      <c r="G2503" s="11">
        <v>46238</v>
      </c>
      <c r="H2503" s="12">
        <v>143.72</v>
      </c>
      <c r="I2503" s="12">
        <v>127.91</v>
      </c>
      <c r="J2503" s="9" t="s">
        <v>3</v>
      </c>
      <c r="K2503" s="8">
        <v>0</v>
      </c>
    </row>
    <row r="2504" spans="1:11">
      <c r="A2504" s="2" t="s">
        <v>2740</v>
      </c>
      <c r="B2504" s="2" t="s">
        <v>2761</v>
      </c>
      <c r="C2504" s="9">
        <v>10100147</v>
      </c>
      <c r="D2504" s="2" t="s">
        <v>3830</v>
      </c>
      <c r="E2504" s="10">
        <v>1</v>
      </c>
      <c r="F2504" s="9" t="s">
        <v>3197</v>
      </c>
      <c r="G2504" s="11">
        <v>46238</v>
      </c>
      <c r="H2504" s="12">
        <v>157.52000000000001</v>
      </c>
      <c r="I2504" s="12">
        <v>140.19</v>
      </c>
      <c r="J2504" s="9" t="s">
        <v>3</v>
      </c>
      <c r="K2504" s="8">
        <v>0</v>
      </c>
    </row>
    <row r="2505" spans="1:11">
      <c r="A2505" s="2" t="s">
        <v>2740</v>
      </c>
      <c r="B2505" s="2" t="s">
        <v>2761</v>
      </c>
      <c r="C2505" s="9">
        <v>10100148</v>
      </c>
      <c r="D2505" s="2" t="s">
        <v>3831</v>
      </c>
      <c r="E2505" s="10">
        <v>6</v>
      </c>
      <c r="F2505" s="9" t="s">
        <v>1173</v>
      </c>
      <c r="G2505" s="11">
        <v>46238</v>
      </c>
      <c r="H2505" s="12">
        <v>142.29</v>
      </c>
      <c r="I2505" s="12">
        <v>126.64</v>
      </c>
      <c r="J2505" s="9" t="s">
        <v>3</v>
      </c>
      <c r="K2505" s="8">
        <v>0</v>
      </c>
    </row>
    <row r="2506" spans="1:11">
      <c r="A2506" s="2" t="s">
        <v>2740</v>
      </c>
      <c r="B2506" s="2" t="s">
        <v>2761</v>
      </c>
      <c r="C2506" s="9">
        <v>10100149</v>
      </c>
      <c r="D2506" s="2" t="s">
        <v>3832</v>
      </c>
      <c r="E2506" s="10">
        <v>500</v>
      </c>
      <c r="F2506" s="9" t="s">
        <v>2892</v>
      </c>
      <c r="G2506" s="11">
        <v>46238</v>
      </c>
      <c r="H2506" s="12">
        <v>50.93</v>
      </c>
      <c r="I2506" s="12">
        <v>45.33</v>
      </c>
      <c r="J2506" s="9" t="s">
        <v>3</v>
      </c>
      <c r="K2506" s="8">
        <v>0</v>
      </c>
    </row>
    <row r="2507" spans="1:11">
      <c r="A2507" s="2" t="s">
        <v>2740</v>
      </c>
      <c r="B2507" s="2" t="s">
        <v>2761</v>
      </c>
      <c r="C2507" s="9">
        <v>10100150</v>
      </c>
      <c r="D2507" s="2" t="s">
        <v>3833</v>
      </c>
      <c r="E2507" s="10">
        <v>4</v>
      </c>
      <c r="F2507" s="9" t="s">
        <v>2875</v>
      </c>
      <c r="G2507" s="11">
        <v>46238</v>
      </c>
      <c r="H2507" s="12">
        <v>88.96</v>
      </c>
      <c r="I2507" s="12">
        <v>79.17</v>
      </c>
      <c r="J2507" s="9" t="s">
        <v>3</v>
      </c>
      <c r="K2507" s="8">
        <v>0</v>
      </c>
    </row>
    <row r="2508" spans="1:11">
      <c r="A2508" s="2" t="s">
        <v>2740</v>
      </c>
      <c r="B2508" s="2" t="s">
        <v>2761</v>
      </c>
      <c r="C2508" s="9">
        <v>10100151</v>
      </c>
      <c r="D2508" s="2" t="s">
        <v>3834</v>
      </c>
      <c r="E2508" s="10">
        <v>1</v>
      </c>
      <c r="F2508" s="9" t="s">
        <v>3197</v>
      </c>
      <c r="G2508" s="11">
        <v>46238</v>
      </c>
      <c r="H2508" s="12">
        <v>97.79</v>
      </c>
      <c r="I2508" s="12">
        <v>87.03</v>
      </c>
      <c r="J2508" s="9" t="s">
        <v>3</v>
      </c>
      <c r="K2508" s="8">
        <v>0</v>
      </c>
    </row>
    <row r="2509" spans="1:11">
      <c r="A2509" s="2" t="s">
        <v>2740</v>
      </c>
      <c r="B2509" s="2" t="s">
        <v>2761</v>
      </c>
      <c r="C2509" s="9">
        <v>10100152</v>
      </c>
      <c r="D2509" s="2" t="s">
        <v>3835</v>
      </c>
      <c r="E2509" s="10">
        <v>1</v>
      </c>
      <c r="F2509" s="9" t="s">
        <v>3836</v>
      </c>
      <c r="G2509" s="11">
        <v>46238</v>
      </c>
      <c r="H2509" s="12">
        <v>54.55</v>
      </c>
      <c r="I2509" s="12">
        <v>48.55</v>
      </c>
      <c r="J2509" s="9" t="s">
        <v>3</v>
      </c>
      <c r="K2509" s="8">
        <v>0</v>
      </c>
    </row>
    <row r="2510" spans="1:11">
      <c r="A2510" s="2" t="s">
        <v>2740</v>
      </c>
      <c r="B2510" s="2" t="s">
        <v>2761</v>
      </c>
      <c r="C2510" s="9">
        <v>10100154</v>
      </c>
      <c r="D2510" s="2" t="s">
        <v>3837</v>
      </c>
      <c r="E2510" s="10">
        <v>6</v>
      </c>
      <c r="F2510" s="9" t="s">
        <v>1173</v>
      </c>
      <c r="G2510" s="11">
        <v>46238</v>
      </c>
      <c r="H2510" s="12">
        <v>88.87</v>
      </c>
      <c r="I2510" s="12">
        <v>79.09</v>
      </c>
      <c r="J2510" s="9" t="s">
        <v>3</v>
      </c>
      <c r="K2510" s="8">
        <v>0</v>
      </c>
    </row>
    <row r="2511" spans="1:11">
      <c r="A2511" s="2" t="s">
        <v>2740</v>
      </c>
      <c r="B2511" s="2" t="s">
        <v>2761</v>
      </c>
      <c r="C2511" s="9">
        <v>10100155</v>
      </c>
      <c r="D2511" s="2" t="s">
        <v>3838</v>
      </c>
      <c r="E2511" s="10">
        <v>1</v>
      </c>
      <c r="F2511" s="9" t="s">
        <v>3197</v>
      </c>
      <c r="G2511" s="11">
        <v>46238</v>
      </c>
      <c r="H2511" s="12">
        <v>129.76</v>
      </c>
      <c r="I2511" s="12">
        <v>115.49</v>
      </c>
      <c r="J2511" s="9" t="s">
        <v>3</v>
      </c>
      <c r="K2511" s="8">
        <v>0</v>
      </c>
    </row>
    <row r="2512" spans="1:11">
      <c r="A2512" s="2" t="s">
        <v>2740</v>
      </c>
      <c r="B2512" s="2" t="s">
        <v>2761</v>
      </c>
      <c r="C2512" s="9">
        <v>10100156</v>
      </c>
      <c r="D2512" s="2" t="s">
        <v>3839</v>
      </c>
      <c r="E2512" s="10">
        <v>4</v>
      </c>
      <c r="F2512" s="9" t="s">
        <v>3382</v>
      </c>
      <c r="G2512" s="11">
        <v>46238</v>
      </c>
      <c r="H2512" s="12">
        <v>75.37</v>
      </c>
      <c r="I2512" s="12">
        <v>67.08</v>
      </c>
      <c r="J2512" s="9" t="s">
        <v>3</v>
      </c>
      <c r="K2512" s="8">
        <v>0</v>
      </c>
    </row>
    <row r="2513" spans="1:11">
      <c r="A2513" s="2" t="s">
        <v>2740</v>
      </c>
      <c r="B2513" s="2" t="s">
        <v>2761</v>
      </c>
      <c r="C2513" s="9">
        <v>10100157</v>
      </c>
      <c r="D2513" s="2" t="s">
        <v>3840</v>
      </c>
      <c r="E2513" s="10">
        <v>6</v>
      </c>
      <c r="F2513" s="9" t="s">
        <v>2883</v>
      </c>
      <c r="G2513" s="11">
        <v>46238</v>
      </c>
      <c r="H2513" s="12">
        <v>102.4</v>
      </c>
      <c r="I2513" s="12">
        <v>91.14</v>
      </c>
      <c r="J2513" s="9" t="s">
        <v>3</v>
      </c>
      <c r="K2513" s="8">
        <v>0</v>
      </c>
    </row>
    <row r="2514" spans="1:11">
      <c r="A2514" s="2" t="s">
        <v>2740</v>
      </c>
      <c r="B2514" s="2" t="s">
        <v>2761</v>
      </c>
      <c r="C2514" s="9">
        <v>10100158</v>
      </c>
      <c r="D2514" s="2" t="s">
        <v>3841</v>
      </c>
      <c r="E2514" s="10">
        <v>6</v>
      </c>
      <c r="F2514" s="9" t="s">
        <v>1173</v>
      </c>
      <c r="G2514" s="11">
        <v>46238</v>
      </c>
      <c r="H2514" s="12">
        <v>81.99</v>
      </c>
      <c r="I2514" s="12">
        <v>72.97</v>
      </c>
      <c r="J2514" s="9" t="s">
        <v>3</v>
      </c>
      <c r="K2514" s="8">
        <v>0</v>
      </c>
    </row>
    <row r="2515" spans="1:11">
      <c r="A2515" s="2" t="s">
        <v>1662</v>
      </c>
      <c r="B2515" s="2" t="s">
        <v>3842</v>
      </c>
      <c r="C2515" s="9">
        <v>10100160</v>
      </c>
      <c r="D2515" s="2" t="s">
        <v>3843</v>
      </c>
      <c r="E2515" s="10">
        <v>4</v>
      </c>
      <c r="F2515" s="9" t="s">
        <v>3844</v>
      </c>
      <c r="G2515" s="11">
        <v>46238</v>
      </c>
      <c r="H2515" s="12">
        <v>56.96</v>
      </c>
      <c r="I2515" s="12">
        <v>52.4</v>
      </c>
      <c r="J2515" s="9" t="s">
        <v>3</v>
      </c>
      <c r="K2515" s="8">
        <v>0</v>
      </c>
    </row>
    <row r="2516" spans="1:11">
      <c r="A2516" s="2" t="s">
        <v>1662</v>
      </c>
      <c r="B2516" s="2" t="s">
        <v>3842</v>
      </c>
      <c r="C2516" s="9">
        <v>10100161</v>
      </c>
      <c r="D2516" s="2" t="s">
        <v>3845</v>
      </c>
      <c r="E2516" s="10">
        <v>12</v>
      </c>
      <c r="F2516" s="9" t="s">
        <v>985</v>
      </c>
      <c r="G2516" s="11">
        <v>46238</v>
      </c>
      <c r="H2516" s="12">
        <v>53.39</v>
      </c>
      <c r="I2516" s="12">
        <v>49.12</v>
      </c>
      <c r="J2516" s="9" t="s">
        <v>3</v>
      </c>
      <c r="K2516" s="8">
        <v>0</v>
      </c>
    </row>
    <row r="2517" spans="1:11">
      <c r="A2517" s="2" t="s">
        <v>1662</v>
      </c>
      <c r="B2517" s="2" t="s">
        <v>3842</v>
      </c>
      <c r="C2517" s="9">
        <v>10100162</v>
      </c>
      <c r="D2517" s="2" t="s">
        <v>3846</v>
      </c>
      <c r="E2517" s="10">
        <v>4</v>
      </c>
      <c r="F2517" s="9" t="s">
        <v>991</v>
      </c>
      <c r="G2517" s="11">
        <v>46238</v>
      </c>
      <c r="H2517" s="12">
        <v>87.4</v>
      </c>
      <c r="I2517" s="12">
        <v>80.41</v>
      </c>
      <c r="J2517" s="9" t="s">
        <v>3</v>
      </c>
      <c r="K2517" s="8">
        <v>0</v>
      </c>
    </row>
    <row r="2518" spans="1:11">
      <c r="A2518" s="2" t="s">
        <v>1662</v>
      </c>
      <c r="B2518" s="2" t="s">
        <v>3842</v>
      </c>
      <c r="C2518" s="9">
        <v>10100166</v>
      </c>
      <c r="D2518" s="2" t="s">
        <v>3847</v>
      </c>
      <c r="E2518" s="10">
        <v>2</v>
      </c>
      <c r="F2518" s="9" t="s">
        <v>989</v>
      </c>
      <c r="G2518" s="11">
        <v>46238</v>
      </c>
      <c r="H2518" s="12">
        <v>11.58</v>
      </c>
      <c r="I2518" s="12">
        <v>10.65</v>
      </c>
      <c r="J2518" s="9" t="s">
        <v>3</v>
      </c>
      <c r="K2518" s="8">
        <v>1</v>
      </c>
    </row>
    <row r="2519" spans="1:11">
      <c r="A2519" s="2" t="s">
        <v>1662</v>
      </c>
      <c r="B2519" s="2" t="s">
        <v>3842</v>
      </c>
      <c r="C2519" s="9">
        <v>10100168</v>
      </c>
      <c r="D2519" s="2" t="s">
        <v>3848</v>
      </c>
      <c r="E2519" s="10">
        <v>2</v>
      </c>
      <c r="F2519" s="9" t="s">
        <v>1377</v>
      </c>
      <c r="G2519" s="11">
        <v>46238</v>
      </c>
      <c r="H2519" s="12">
        <v>11.93</v>
      </c>
      <c r="I2519" s="12">
        <v>10.98</v>
      </c>
      <c r="J2519" s="9" t="s">
        <v>3</v>
      </c>
      <c r="K2519" s="8">
        <v>1</v>
      </c>
    </row>
    <row r="2520" spans="1:11">
      <c r="A2520" s="2" t="s">
        <v>1662</v>
      </c>
      <c r="B2520" s="2" t="s">
        <v>3842</v>
      </c>
      <c r="C2520" s="9">
        <v>10100169</v>
      </c>
      <c r="D2520" s="2" t="s">
        <v>3849</v>
      </c>
      <c r="E2520" s="10">
        <v>4</v>
      </c>
      <c r="F2520" s="9" t="s">
        <v>3850</v>
      </c>
      <c r="G2520" s="11">
        <v>46238</v>
      </c>
      <c r="H2520" s="12">
        <v>24.98</v>
      </c>
      <c r="I2520" s="12">
        <v>22.88</v>
      </c>
      <c r="J2520" s="9" t="s">
        <v>3</v>
      </c>
      <c r="K2520" s="8">
        <v>1</v>
      </c>
    </row>
    <row r="2521" spans="1:11">
      <c r="A2521" s="2" t="s">
        <v>1662</v>
      </c>
      <c r="B2521" s="2" t="s">
        <v>3842</v>
      </c>
      <c r="C2521" s="9">
        <v>10100170</v>
      </c>
      <c r="D2521" s="2" t="s">
        <v>3851</v>
      </c>
      <c r="E2521" s="10">
        <v>2</v>
      </c>
      <c r="F2521" s="9" t="s">
        <v>1079</v>
      </c>
      <c r="G2521" s="11">
        <v>46238</v>
      </c>
      <c r="H2521" s="12">
        <v>15.49</v>
      </c>
      <c r="I2521" s="12">
        <v>14.25</v>
      </c>
      <c r="J2521" s="9" t="s">
        <v>3</v>
      </c>
      <c r="K2521" s="8">
        <v>1</v>
      </c>
    </row>
    <row r="2522" spans="1:11">
      <c r="A2522" s="2" t="s">
        <v>1662</v>
      </c>
      <c r="B2522" s="2" t="s">
        <v>3842</v>
      </c>
      <c r="C2522" s="9">
        <v>10100171</v>
      </c>
      <c r="D2522" s="2" t="s">
        <v>3852</v>
      </c>
      <c r="E2522" s="10">
        <v>2</v>
      </c>
      <c r="F2522" s="9" t="s">
        <v>979</v>
      </c>
      <c r="G2522" s="11">
        <v>46238</v>
      </c>
      <c r="H2522" s="12">
        <v>15.49</v>
      </c>
      <c r="I2522" s="12">
        <v>14.25</v>
      </c>
      <c r="J2522" s="9" t="s">
        <v>3</v>
      </c>
      <c r="K2522" s="8">
        <v>1</v>
      </c>
    </row>
    <row r="2523" spans="1:11">
      <c r="A2523" s="2" t="s">
        <v>1662</v>
      </c>
      <c r="B2523" s="2" t="s">
        <v>3842</v>
      </c>
      <c r="C2523" s="9">
        <v>10100172</v>
      </c>
      <c r="D2523" s="2" t="s">
        <v>3853</v>
      </c>
      <c r="E2523" s="10">
        <v>2</v>
      </c>
      <c r="F2523" s="9" t="s">
        <v>997</v>
      </c>
      <c r="G2523" s="11">
        <v>46238</v>
      </c>
      <c r="H2523" s="12">
        <v>20.92</v>
      </c>
      <c r="I2523" s="12">
        <v>19.25</v>
      </c>
      <c r="J2523" s="9" t="s">
        <v>3</v>
      </c>
      <c r="K2523" s="8">
        <v>1</v>
      </c>
    </row>
    <row r="2524" spans="1:11">
      <c r="A2524" s="2" t="s">
        <v>1662</v>
      </c>
      <c r="B2524" s="2" t="s">
        <v>3842</v>
      </c>
      <c r="C2524" s="9">
        <v>10100173</v>
      </c>
      <c r="D2524" s="2" t="s">
        <v>3854</v>
      </c>
      <c r="E2524" s="10">
        <v>2</v>
      </c>
      <c r="F2524" s="9" t="s">
        <v>1023</v>
      </c>
      <c r="G2524" s="11">
        <v>46238</v>
      </c>
      <c r="H2524" s="12">
        <v>20.92</v>
      </c>
      <c r="I2524" s="12">
        <v>19.25</v>
      </c>
      <c r="J2524" s="9" t="s">
        <v>3</v>
      </c>
      <c r="K2524" s="8">
        <v>1</v>
      </c>
    </row>
    <row r="2525" spans="1:11">
      <c r="A2525" s="2" t="s">
        <v>1662</v>
      </c>
      <c r="B2525" s="2" t="s">
        <v>3855</v>
      </c>
      <c r="C2525" s="9">
        <v>10100174</v>
      </c>
      <c r="D2525" s="2" t="s">
        <v>3856</v>
      </c>
      <c r="E2525" s="10">
        <v>4</v>
      </c>
      <c r="F2525" s="9" t="s">
        <v>2044</v>
      </c>
      <c r="G2525" s="11">
        <v>46238</v>
      </c>
      <c r="H2525" s="12">
        <v>39.97</v>
      </c>
      <c r="I2525" s="12">
        <v>36.770000000000003</v>
      </c>
      <c r="J2525" s="9" t="s">
        <v>3</v>
      </c>
      <c r="K2525" s="8">
        <v>1</v>
      </c>
    </row>
    <row r="2526" spans="1:11">
      <c r="A2526" s="2" t="s">
        <v>1662</v>
      </c>
      <c r="B2526" s="2" t="s">
        <v>3855</v>
      </c>
      <c r="C2526" s="9">
        <v>10100175</v>
      </c>
      <c r="D2526" s="2" t="s">
        <v>3857</v>
      </c>
      <c r="E2526" s="10">
        <v>2</v>
      </c>
      <c r="F2526" s="9" t="s">
        <v>2090</v>
      </c>
      <c r="G2526" s="11">
        <v>46238</v>
      </c>
      <c r="H2526" s="12">
        <v>35.130000000000003</v>
      </c>
      <c r="I2526" s="12">
        <v>32.32</v>
      </c>
      <c r="J2526" s="9" t="s">
        <v>3</v>
      </c>
      <c r="K2526" s="8">
        <v>1</v>
      </c>
    </row>
    <row r="2527" spans="1:11">
      <c r="A2527" s="2" t="s">
        <v>1662</v>
      </c>
      <c r="B2527" s="2" t="s">
        <v>3855</v>
      </c>
      <c r="C2527" s="9">
        <v>10100177</v>
      </c>
      <c r="D2527" s="2" t="s">
        <v>3858</v>
      </c>
      <c r="E2527" s="10">
        <v>2</v>
      </c>
      <c r="F2527" s="9" t="s">
        <v>997</v>
      </c>
      <c r="G2527" s="11">
        <v>46238</v>
      </c>
      <c r="H2527" s="12">
        <v>34.99</v>
      </c>
      <c r="I2527" s="12">
        <v>32.19</v>
      </c>
      <c r="J2527" s="9" t="s">
        <v>3</v>
      </c>
      <c r="K2527" s="8">
        <v>1</v>
      </c>
    </row>
    <row r="2528" spans="1:11">
      <c r="A2528" s="2" t="s">
        <v>851</v>
      </c>
      <c r="B2528" s="2" t="s">
        <v>2026</v>
      </c>
      <c r="C2528" s="9">
        <v>10100178</v>
      </c>
      <c r="D2528" s="2" t="s">
        <v>3859</v>
      </c>
      <c r="E2528" s="10">
        <v>2</v>
      </c>
      <c r="F2528" s="9" t="s">
        <v>863</v>
      </c>
      <c r="G2528" s="11">
        <v>46238</v>
      </c>
      <c r="H2528" s="12">
        <v>0</v>
      </c>
      <c r="I2528" s="12">
        <v>0</v>
      </c>
      <c r="J2528" s="9" t="s">
        <v>3</v>
      </c>
      <c r="K2528" s="8">
        <v>0</v>
      </c>
    </row>
    <row r="2529" spans="1:11">
      <c r="A2529" s="2" t="s">
        <v>663</v>
      </c>
      <c r="B2529" s="2" t="s">
        <v>3173</v>
      </c>
      <c r="C2529" s="9">
        <v>10100179</v>
      </c>
      <c r="D2529" s="2" t="s">
        <v>3860</v>
      </c>
      <c r="E2529" s="10">
        <v>12</v>
      </c>
      <c r="F2529" s="9" t="s">
        <v>1323</v>
      </c>
      <c r="G2529" s="11">
        <v>46238</v>
      </c>
      <c r="H2529" s="12">
        <v>54.56</v>
      </c>
      <c r="I2529" s="12">
        <v>48.56</v>
      </c>
      <c r="J2529" s="9" t="s">
        <v>3</v>
      </c>
      <c r="K2529" s="8">
        <v>0</v>
      </c>
    </row>
    <row r="2530" spans="1:11">
      <c r="A2530" s="2" t="s">
        <v>919</v>
      </c>
      <c r="B2530" s="2" t="s">
        <v>2514</v>
      </c>
      <c r="C2530" s="9">
        <v>10100180</v>
      </c>
      <c r="D2530" s="2" t="s">
        <v>3861</v>
      </c>
      <c r="E2530" s="10">
        <v>24</v>
      </c>
      <c r="F2530" s="9" t="s">
        <v>2452</v>
      </c>
      <c r="G2530" s="11">
        <v>46238</v>
      </c>
      <c r="H2530" s="12">
        <v>83.03</v>
      </c>
      <c r="I2530" s="12">
        <v>72.239999999999995</v>
      </c>
      <c r="J2530" s="9" t="s">
        <v>3</v>
      </c>
      <c r="K2530" s="8">
        <v>0</v>
      </c>
    </row>
    <row r="2531" spans="1:11">
      <c r="A2531" s="2" t="s">
        <v>919</v>
      </c>
      <c r="B2531" s="2" t="s">
        <v>2514</v>
      </c>
      <c r="C2531" s="9">
        <v>10100181</v>
      </c>
      <c r="D2531" s="2" t="s">
        <v>3862</v>
      </c>
      <c r="E2531" s="10">
        <v>24</v>
      </c>
      <c r="F2531" s="9" t="s">
        <v>2452</v>
      </c>
      <c r="G2531" s="11">
        <v>46238</v>
      </c>
      <c r="H2531" s="12">
        <v>83.03</v>
      </c>
      <c r="I2531" s="12">
        <v>72.239999999999995</v>
      </c>
      <c r="J2531" s="9" t="s">
        <v>3</v>
      </c>
      <c r="K2531" s="8">
        <v>0</v>
      </c>
    </row>
    <row r="2532" spans="1:11">
      <c r="A2532" s="2" t="s">
        <v>919</v>
      </c>
      <c r="B2532" s="2" t="s">
        <v>2514</v>
      </c>
      <c r="C2532" s="9">
        <v>10100182</v>
      </c>
      <c r="D2532" s="2" t="s">
        <v>3863</v>
      </c>
      <c r="E2532" s="10">
        <v>24</v>
      </c>
      <c r="F2532" s="9" t="s">
        <v>2516</v>
      </c>
      <c r="G2532" s="11">
        <v>46238</v>
      </c>
      <c r="H2532" s="12">
        <v>92.14</v>
      </c>
      <c r="I2532" s="12">
        <v>80.16</v>
      </c>
      <c r="J2532" s="9" t="s">
        <v>3</v>
      </c>
      <c r="K2532" s="8">
        <v>0</v>
      </c>
    </row>
    <row r="2533" spans="1:11">
      <c r="A2533" s="2" t="s">
        <v>919</v>
      </c>
      <c r="B2533" s="2" t="s">
        <v>2514</v>
      </c>
      <c r="C2533" s="9">
        <v>10100184</v>
      </c>
      <c r="D2533" s="2" t="s">
        <v>3864</v>
      </c>
      <c r="E2533" s="10">
        <v>24</v>
      </c>
      <c r="F2533" s="9" t="s">
        <v>2516</v>
      </c>
      <c r="G2533" s="11">
        <v>46238</v>
      </c>
      <c r="H2533" s="12">
        <v>88.55</v>
      </c>
      <c r="I2533" s="12">
        <v>77.040000000000006</v>
      </c>
      <c r="J2533" s="9" t="s">
        <v>3</v>
      </c>
      <c r="K2533" s="8">
        <v>0</v>
      </c>
    </row>
    <row r="2534" spans="1:11">
      <c r="A2534" s="2" t="s">
        <v>919</v>
      </c>
      <c r="B2534" s="2" t="s">
        <v>2514</v>
      </c>
      <c r="C2534" s="9">
        <v>10100185</v>
      </c>
      <c r="D2534" s="2" t="s">
        <v>3865</v>
      </c>
      <c r="E2534" s="10">
        <v>36</v>
      </c>
      <c r="F2534" s="9" t="s">
        <v>2541</v>
      </c>
      <c r="G2534" s="11">
        <v>46238</v>
      </c>
      <c r="H2534" s="12">
        <v>79.86</v>
      </c>
      <c r="I2534" s="12">
        <v>69.48</v>
      </c>
      <c r="J2534" s="9" t="s">
        <v>3</v>
      </c>
      <c r="K2534" s="8">
        <v>0</v>
      </c>
    </row>
    <row r="2535" spans="1:11">
      <c r="A2535" s="2" t="s">
        <v>919</v>
      </c>
      <c r="B2535" s="2" t="s">
        <v>2514</v>
      </c>
      <c r="C2535" s="9">
        <v>10100186</v>
      </c>
      <c r="D2535" s="2" t="s">
        <v>3866</v>
      </c>
      <c r="E2535" s="10">
        <v>36</v>
      </c>
      <c r="F2535" s="9" t="s">
        <v>2541</v>
      </c>
      <c r="G2535" s="11">
        <v>46238</v>
      </c>
      <c r="H2535" s="12">
        <v>80.69</v>
      </c>
      <c r="I2535" s="12">
        <v>70.2</v>
      </c>
      <c r="J2535" s="9" t="s">
        <v>3</v>
      </c>
      <c r="K2535" s="8">
        <v>0</v>
      </c>
    </row>
    <row r="2536" spans="1:11">
      <c r="A2536" s="2" t="s">
        <v>919</v>
      </c>
      <c r="B2536" s="2" t="s">
        <v>2514</v>
      </c>
      <c r="C2536" s="9">
        <v>10100187</v>
      </c>
      <c r="D2536" s="2" t="s">
        <v>3867</v>
      </c>
      <c r="E2536" s="10">
        <v>36</v>
      </c>
      <c r="F2536" s="9" t="s">
        <v>2541</v>
      </c>
      <c r="G2536" s="11">
        <v>46238</v>
      </c>
      <c r="H2536" s="12">
        <v>79.86</v>
      </c>
      <c r="I2536" s="12">
        <v>69.48</v>
      </c>
      <c r="J2536" s="9" t="s">
        <v>3</v>
      </c>
      <c r="K2536" s="8">
        <v>0</v>
      </c>
    </row>
    <row r="2537" spans="1:11">
      <c r="A2537" s="2" t="s">
        <v>687</v>
      </c>
      <c r="B2537" s="2" t="s">
        <v>3868</v>
      </c>
      <c r="C2537" s="9">
        <v>10100188</v>
      </c>
      <c r="D2537" s="2" t="s">
        <v>3869</v>
      </c>
      <c r="E2537" s="10">
        <v>6</v>
      </c>
      <c r="F2537" s="9" t="s">
        <v>1263</v>
      </c>
      <c r="G2537" s="11">
        <v>46238</v>
      </c>
      <c r="H2537" s="12">
        <v>48.62</v>
      </c>
      <c r="I2537" s="12">
        <v>42.3</v>
      </c>
      <c r="J2537" s="9" t="s">
        <v>3</v>
      </c>
      <c r="K2537" s="8">
        <v>0</v>
      </c>
    </row>
    <row r="2538" spans="1:11">
      <c r="A2538" s="2" t="s">
        <v>687</v>
      </c>
      <c r="B2538" s="2" t="s">
        <v>3868</v>
      </c>
      <c r="C2538" s="9">
        <v>10100189</v>
      </c>
      <c r="D2538" s="2" t="s">
        <v>3870</v>
      </c>
      <c r="E2538" s="10">
        <v>6</v>
      </c>
      <c r="F2538" s="9" t="s">
        <v>776</v>
      </c>
      <c r="G2538" s="11">
        <v>46238</v>
      </c>
      <c r="H2538" s="12">
        <v>54.06</v>
      </c>
      <c r="I2538" s="12">
        <v>47.03</v>
      </c>
      <c r="J2538" s="9" t="s">
        <v>3</v>
      </c>
      <c r="K2538" s="8">
        <v>0</v>
      </c>
    </row>
    <row r="2539" spans="1:11">
      <c r="A2539" s="2" t="s">
        <v>687</v>
      </c>
      <c r="B2539" s="2" t="s">
        <v>3868</v>
      </c>
      <c r="C2539" s="9">
        <v>10100190</v>
      </c>
      <c r="D2539" s="2" t="s">
        <v>3871</v>
      </c>
      <c r="E2539" s="10">
        <v>6</v>
      </c>
      <c r="F2539" s="9" t="s">
        <v>776</v>
      </c>
      <c r="G2539" s="11">
        <v>46238</v>
      </c>
      <c r="H2539" s="12">
        <v>54.06</v>
      </c>
      <c r="I2539" s="12">
        <v>47.03</v>
      </c>
      <c r="J2539" s="9" t="s">
        <v>3</v>
      </c>
      <c r="K2539" s="8">
        <v>0</v>
      </c>
    </row>
    <row r="2540" spans="1:11">
      <c r="A2540" s="2" t="s">
        <v>687</v>
      </c>
      <c r="B2540" s="2" t="s">
        <v>3868</v>
      </c>
      <c r="C2540" s="9">
        <v>10100191</v>
      </c>
      <c r="D2540" s="2" t="s">
        <v>3872</v>
      </c>
      <c r="E2540" s="10">
        <v>6</v>
      </c>
      <c r="F2540" s="9" t="s">
        <v>3873</v>
      </c>
      <c r="G2540" s="11">
        <v>46238</v>
      </c>
      <c r="H2540" s="12">
        <v>51.22</v>
      </c>
      <c r="I2540" s="12">
        <v>44.56</v>
      </c>
      <c r="J2540" s="9" t="s">
        <v>3</v>
      </c>
      <c r="K2540" s="8">
        <v>0</v>
      </c>
    </row>
    <row r="2541" spans="1:11">
      <c r="A2541" s="2" t="s">
        <v>687</v>
      </c>
      <c r="B2541" s="2" t="s">
        <v>3868</v>
      </c>
      <c r="C2541" s="9">
        <v>10100192</v>
      </c>
      <c r="D2541" s="2" t="s">
        <v>3874</v>
      </c>
      <c r="E2541" s="10">
        <v>6</v>
      </c>
      <c r="F2541" s="9" t="s">
        <v>3513</v>
      </c>
      <c r="G2541" s="11">
        <v>46238</v>
      </c>
      <c r="H2541" s="12">
        <v>48.62</v>
      </c>
      <c r="I2541" s="12">
        <v>42.3</v>
      </c>
      <c r="J2541" s="9" t="s">
        <v>3</v>
      </c>
      <c r="K2541" s="8">
        <v>0</v>
      </c>
    </row>
    <row r="2542" spans="1:11">
      <c r="A2542" s="2" t="s">
        <v>687</v>
      </c>
      <c r="B2542" s="2" t="s">
        <v>3868</v>
      </c>
      <c r="C2542" s="9">
        <v>10100193</v>
      </c>
      <c r="D2542" s="2" t="s">
        <v>3875</v>
      </c>
      <c r="E2542" s="10">
        <v>6</v>
      </c>
      <c r="F2542" s="9" t="s">
        <v>3513</v>
      </c>
      <c r="G2542" s="11">
        <v>46238</v>
      </c>
      <c r="H2542" s="12">
        <v>48.62</v>
      </c>
      <c r="I2542" s="12">
        <v>42.3</v>
      </c>
      <c r="J2542" s="9" t="s">
        <v>3</v>
      </c>
      <c r="K2542" s="8">
        <v>0</v>
      </c>
    </row>
    <row r="2543" spans="1:11">
      <c r="A2543" s="2" t="s">
        <v>851</v>
      </c>
      <c r="B2543" s="2" t="s">
        <v>2034</v>
      </c>
      <c r="C2543" s="9">
        <v>10100194</v>
      </c>
      <c r="D2543" s="2" t="s">
        <v>3876</v>
      </c>
      <c r="E2543" s="10">
        <v>8</v>
      </c>
      <c r="F2543" s="9" t="s">
        <v>2033</v>
      </c>
      <c r="G2543" s="11">
        <v>46238</v>
      </c>
      <c r="H2543" s="12">
        <v>169.38</v>
      </c>
      <c r="I2543" s="12">
        <v>169.38</v>
      </c>
      <c r="J2543" s="9" t="s">
        <v>3</v>
      </c>
      <c r="K2543" s="8">
        <v>0</v>
      </c>
    </row>
    <row r="2544" spans="1:11">
      <c r="A2544" s="2" t="s">
        <v>687</v>
      </c>
      <c r="B2544" s="2" t="s">
        <v>691</v>
      </c>
      <c r="C2544" s="9">
        <v>10100195</v>
      </c>
      <c r="D2544" s="2" t="s">
        <v>3877</v>
      </c>
      <c r="E2544" s="10">
        <v>6</v>
      </c>
      <c r="F2544" s="9" t="s">
        <v>2633</v>
      </c>
      <c r="G2544" s="11">
        <v>46238</v>
      </c>
      <c r="H2544" s="12">
        <v>0</v>
      </c>
      <c r="I2544" s="12">
        <v>0</v>
      </c>
      <c r="J2544" s="9" t="s">
        <v>3</v>
      </c>
      <c r="K2544" s="8">
        <v>0</v>
      </c>
    </row>
    <row r="2545" spans="1:11">
      <c r="A2545" s="2" t="s">
        <v>2740</v>
      </c>
      <c r="B2545" s="2" t="s">
        <v>2761</v>
      </c>
      <c r="C2545" s="9">
        <v>10100196</v>
      </c>
      <c r="D2545" s="2" t="s">
        <v>3878</v>
      </c>
      <c r="E2545" s="10">
        <v>6</v>
      </c>
      <c r="F2545" s="9" t="s">
        <v>1173</v>
      </c>
      <c r="G2545" s="11">
        <v>46238</v>
      </c>
      <c r="H2545" s="12">
        <v>113.56</v>
      </c>
      <c r="I2545" s="12">
        <v>101.07</v>
      </c>
      <c r="J2545" s="9" t="s">
        <v>3</v>
      </c>
      <c r="K2545" s="8">
        <v>0</v>
      </c>
    </row>
    <row r="2546" spans="1:11">
      <c r="A2546" s="2" t="s">
        <v>607</v>
      </c>
      <c r="B2546" s="2" t="s">
        <v>608</v>
      </c>
      <c r="C2546" s="9">
        <v>10100197</v>
      </c>
      <c r="D2546" s="2" t="s">
        <v>3879</v>
      </c>
      <c r="E2546" s="10">
        <v>1</v>
      </c>
      <c r="F2546" s="9" t="s">
        <v>707</v>
      </c>
      <c r="G2546" s="11">
        <v>46238</v>
      </c>
      <c r="H2546" s="12">
        <v>25</v>
      </c>
      <c r="I2546" s="12">
        <v>22.25</v>
      </c>
      <c r="J2546" s="9" t="s">
        <v>3</v>
      </c>
      <c r="K2546" s="8">
        <v>0</v>
      </c>
    </row>
    <row r="2547" spans="1:11">
      <c r="A2547" s="2" t="s">
        <v>925</v>
      </c>
      <c r="B2547" s="2" t="s">
        <v>3880</v>
      </c>
      <c r="C2547" s="9">
        <v>10100198</v>
      </c>
      <c r="D2547" s="2" t="s">
        <v>3881</v>
      </c>
      <c r="E2547" s="10">
        <v>12</v>
      </c>
      <c r="F2547" s="9" t="s">
        <v>3526</v>
      </c>
      <c r="G2547" s="11">
        <v>46238</v>
      </c>
      <c r="H2547" s="12">
        <v>47.87</v>
      </c>
      <c r="I2547" s="12">
        <v>42.6</v>
      </c>
      <c r="J2547" s="9" t="s">
        <v>3</v>
      </c>
      <c r="K2547" s="8">
        <v>0</v>
      </c>
    </row>
    <row r="2548" spans="1:11">
      <c r="A2548" s="2" t="s">
        <v>925</v>
      </c>
      <c r="B2548" s="2" t="s">
        <v>3880</v>
      </c>
      <c r="C2548" s="9">
        <v>10100199</v>
      </c>
      <c r="D2548" s="2" t="s">
        <v>3882</v>
      </c>
      <c r="E2548" s="10">
        <v>12</v>
      </c>
      <c r="F2548" s="9" t="s">
        <v>3526</v>
      </c>
      <c r="G2548" s="11">
        <v>46238</v>
      </c>
      <c r="H2548" s="12">
        <v>47.87</v>
      </c>
      <c r="I2548" s="12">
        <v>42.6</v>
      </c>
      <c r="J2548" s="9" t="s">
        <v>3</v>
      </c>
      <c r="K2548" s="8">
        <v>0</v>
      </c>
    </row>
    <row r="2549" spans="1:11">
      <c r="A2549" s="2" t="s">
        <v>925</v>
      </c>
      <c r="B2549" s="2" t="s">
        <v>3880</v>
      </c>
      <c r="C2549" s="9">
        <v>10100200</v>
      </c>
      <c r="D2549" s="2" t="s">
        <v>3883</v>
      </c>
      <c r="E2549" s="10">
        <v>12</v>
      </c>
      <c r="F2549" s="9" t="s">
        <v>3526</v>
      </c>
      <c r="G2549" s="11">
        <v>46238</v>
      </c>
      <c r="H2549" s="12">
        <v>47.87</v>
      </c>
      <c r="I2549" s="12">
        <v>42.6</v>
      </c>
      <c r="J2549" s="9" t="s">
        <v>3</v>
      </c>
      <c r="K2549" s="8">
        <v>0</v>
      </c>
    </row>
    <row r="2550" spans="1:11">
      <c r="A2550" s="2" t="s">
        <v>925</v>
      </c>
      <c r="B2550" s="2" t="s">
        <v>3880</v>
      </c>
      <c r="C2550" s="9">
        <v>10100201</v>
      </c>
      <c r="D2550" s="2" t="s">
        <v>3884</v>
      </c>
      <c r="E2550" s="10">
        <v>12</v>
      </c>
      <c r="F2550" s="9" t="s">
        <v>3526</v>
      </c>
      <c r="G2550" s="11">
        <v>46238</v>
      </c>
      <c r="H2550" s="12">
        <v>47.87</v>
      </c>
      <c r="I2550" s="12">
        <v>42.6</v>
      </c>
      <c r="J2550" s="9" t="s">
        <v>3</v>
      </c>
      <c r="K2550" s="8">
        <v>0</v>
      </c>
    </row>
    <row r="2551" spans="1:11">
      <c r="A2551" s="2" t="s">
        <v>925</v>
      </c>
      <c r="B2551" s="2" t="s">
        <v>3880</v>
      </c>
      <c r="C2551" s="9">
        <v>10100202</v>
      </c>
      <c r="D2551" s="2" t="s">
        <v>3885</v>
      </c>
      <c r="E2551" s="10">
        <v>12</v>
      </c>
      <c r="F2551" s="9" t="s">
        <v>3526</v>
      </c>
      <c r="G2551" s="11">
        <v>46238</v>
      </c>
      <c r="H2551" s="12">
        <v>47.87</v>
      </c>
      <c r="I2551" s="12">
        <v>42.6</v>
      </c>
      <c r="J2551" s="9" t="s">
        <v>3</v>
      </c>
      <c r="K2551" s="8">
        <v>0</v>
      </c>
    </row>
    <row r="2552" spans="1:11">
      <c r="A2552" s="2" t="s">
        <v>925</v>
      </c>
      <c r="B2552" s="2" t="s">
        <v>3880</v>
      </c>
      <c r="C2552" s="9">
        <v>10100203</v>
      </c>
      <c r="D2552" s="2" t="s">
        <v>3886</v>
      </c>
      <c r="E2552" s="10">
        <v>12</v>
      </c>
      <c r="F2552" s="9" t="s">
        <v>3526</v>
      </c>
      <c r="G2552" s="11">
        <v>46238</v>
      </c>
      <c r="H2552" s="12">
        <v>47.87</v>
      </c>
      <c r="I2552" s="12">
        <v>42.6</v>
      </c>
      <c r="J2552" s="9" t="s">
        <v>3</v>
      </c>
      <c r="K2552" s="8">
        <v>0</v>
      </c>
    </row>
    <row r="2553" spans="1:11">
      <c r="A2553" s="2" t="s">
        <v>925</v>
      </c>
      <c r="B2553" s="2" t="s">
        <v>3880</v>
      </c>
      <c r="C2553" s="9">
        <v>10100204</v>
      </c>
      <c r="D2553" s="2" t="s">
        <v>3887</v>
      </c>
      <c r="E2553" s="10">
        <v>12</v>
      </c>
      <c r="F2553" s="9" t="s">
        <v>3526</v>
      </c>
      <c r="G2553" s="11">
        <v>46238</v>
      </c>
      <c r="H2553" s="12">
        <v>54.47</v>
      </c>
      <c r="I2553" s="12">
        <v>48.48</v>
      </c>
      <c r="J2553" s="9" t="s">
        <v>3</v>
      </c>
      <c r="K2553" s="8">
        <v>0</v>
      </c>
    </row>
    <row r="2554" spans="1:11">
      <c r="A2554" s="2" t="s">
        <v>925</v>
      </c>
      <c r="B2554" s="2" t="s">
        <v>3880</v>
      </c>
      <c r="C2554" s="9">
        <v>10100205</v>
      </c>
      <c r="D2554" s="2" t="s">
        <v>3888</v>
      </c>
      <c r="E2554" s="10">
        <v>12</v>
      </c>
      <c r="F2554" s="9" t="s">
        <v>3526</v>
      </c>
      <c r="G2554" s="11">
        <v>46238</v>
      </c>
      <c r="H2554" s="12">
        <v>54.47</v>
      </c>
      <c r="I2554" s="12">
        <v>48.48</v>
      </c>
      <c r="J2554" s="9" t="s">
        <v>3</v>
      </c>
      <c r="K2554" s="8">
        <v>0</v>
      </c>
    </row>
    <row r="2555" spans="1:11">
      <c r="A2555" s="2" t="s">
        <v>925</v>
      </c>
      <c r="B2555" s="2" t="s">
        <v>3880</v>
      </c>
      <c r="C2555" s="9">
        <v>10100206</v>
      </c>
      <c r="D2555" s="2" t="s">
        <v>3889</v>
      </c>
      <c r="E2555" s="10">
        <v>12</v>
      </c>
      <c r="F2555" s="9" t="s">
        <v>3526</v>
      </c>
      <c r="G2555" s="11">
        <v>46238</v>
      </c>
      <c r="H2555" s="12">
        <v>54.47</v>
      </c>
      <c r="I2555" s="12">
        <v>48.48</v>
      </c>
      <c r="J2555" s="9" t="s">
        <v>3</v>
      </c>
      <c r="K2555" s="8">
        <v>0</v>
      </c>
    </row>
    <row r="2556" spans="1:11">
      <c r="A2556" s="2" t="s">
        <v>925</v>
      </c>
      <c r="B2556" s="2" t="s">
        <v>3880</v>
      </c>
      <c r="C2556" s="9">
        <v>10100207</v>
      </c>
      <c r="D2556" s="2" t="s">
        <v>3890</v>
      </c>
      <c r="E2556" s="10">
        <v>12</v>
      </c>
      <c r="F2556" s="9" t="s">
        <v>3526</v>
      </c>
      <c r="G2556" s="11">
        <v>46238</v>
      </c>
      <c r="H2556" s="12">
        <v>54.47</v>
      </c>
      <c r="I2556" s="12">
        <v>48.48</v>
      </c>
      <c r="J2556" s="9" t="s">
        <v>3</v>
      </c>
      <c r="K2556" s="8">
        <v>0</v>
      </c>
    </row>
    <row r="2557" spans="1:11">
      <c r="A2557" s="2" t="s">
        <v>925</v>
      </c>
      <c r="B2557" s="2" t="s">
        <v>3880</v>
      </c>
      <c r="C2557" s="9">
        <v>10100208</v>
      </c>
      <c r="D2557" s="2" t="s">
        <v>3891</v>
      </c>
      <c r="E2557" s="10">
        <v>12</v>
      </c>
      <c r="F2557" s="9" t="s">
        <v>3526</v>
      </c>
      <c r="G2557" s="11">
        <v>46238</v>
      </c>
      <c r="H2557" s="12">
        <v>54.47</v>
      </c>
      <c r="I2557" s="12">
        <v>48.48</v>
      </c>
      <c r="J2557" s="9" t="s">
        <v>3</v>
      </c>
      <c r="K2557" s="8">
        <v>0</v>
      </c>
    </row>
    <row r="2558" spans="1:11">
      <c r="A2558" s="2" t="s">
        <v>925</v>
      </c>
      <c r="B2558" s="2" t="s">
        <v>3880</v>
      </c>
      <c r="C2558" s="9">
        <v>10100209</v>
      </c>
      <c r="D2558" s="2" t="s">
        <v>3892</v>
      </c>
      <c r="E2558" s="10">
        <v>12</v>
      </c>
      <c r="F2558" s="9" t="s">
        <v>3526</v>
      </c>
      <c r="G2558" s="11">
        <v>46238</v>
      </c>
      <c r="H2558" s="12">
        <v>54.47</v>
      </c>
      <c r="I2558" s="12">
        <v>48.48</v>
      </c>
      <c r="J2558" s="9" t="s">
        <v>3</v>
      </c>
      <c r="K2558" s="8">
        <v>0</v>
      </c>
    </row>
    <row r="2559" spans="1:11">
      <c r="A2559" s="2" t="s">
        <v>925</v>
      </c>
      <c r="B2559" s="2" t="s">
        <v>3880</v>
      </c>
      <c r="C2559" s="9">
        <v>10100210</v>
      </c>
      <c r="D2559" s="2" t="s">
        <v>3893</v>
      </c>
      <c r="E2559" s="10">
        <v>12</v>
      </c>
      <c r="F2559" s="9" t="s">
        <v>3526</v>
      </c>
      <c r="G2559" s="11">
        <v>46238</v>
      </c>
      <c r="H2559" s="12">
        <v>54.47</v>
      </c>
      <c r="I2559" s="12">
        <v>48.48</v>
      </c>
      <c r="J2559" s="9" t="s">
        <v>3</v>
      </c>
      <c r="K2559" s="8">
        <v>0</v>
      </c>
    </row>
    <row r="2560" spans="1:11">
      <c r="A2560" s="2" t="s">
        <v>925</v>
      </c>
      <c r="B2560" s="2" t="s">
        <v>3880</v>
      </c>
      <c r="C2560" s="9">
        <v>10100211</v>
      </c>
      <c r="D2560" s="2" t="s">
        <v>3894</v>
      </c>
      <c r="E2560" s="10">
        <v>12</v>
      </c>
      <c r="F2560" s="9" t="s">
        <v>3526</v>
      </c>
      <c r="G2560" s="11">
        <v>46238</v>
      </c>
      <c r="H2560" s="12">
        <v>54.47</v>
      </c>
      <c r="I2560" s="12">
        <v>48.48</v>
      </c>
      <c r="J2560" s="9" t="s">
        <v>3</v>
      </c>
      <c r="K2560" s="8">
        <v>0</v>
      </c>
    </row>
    <row r="2561" spans="1:11">
      <c r="A2561" s="2" t="s">
        <v>925</v>
      </c>
      <c r="B2561" s="2" t="s">
        <v>3880</v>
      </c>
      <c r="C2561" s="9">
        <v>10100212</v>
      </c>
      <c r="D2561" s="2" t="s">
        <v>3895</v>
      </c>
      <c r="E2561" s="10">
        <v>12</v>
      </c>
      <c r="F2561" s="9" t="s">
        <v>3526</v>
      </c>
      <c r="G2561" s="11">
        <v>46238</v>
      </c>
      <c r="H2561" s="12">
        <v>54.47</v>
      </c>
      <c r="I2561" s="12">
        <v>48.48</v>
      </c>
      <c r="J2561" s="9" t="s">
        <v>3</v>
      </c>
      <c r="K2561" s="8">
        <v>0</v>
      </c>
    </row>
    <row r="2562" spans="1:11">
      <c r="A2562" s="2" t="s">
        <v>925</v>
      </c>
      <c r="B2562" s="2" t="s">
        <v>3880</v>
      </c>
      <c r="C2562" s="9">
        <v>10100213</v>
      </c>
      <c r="D2562" s="2" t="s">
        <v>3896</v>
      </c>
      <c r="E2562" s="10">
        <v>12</v>
      </c>
      <c r="F2562" s="9" t="s">
        <v>3526</v>
      </c>
      <c r="G2562" s="11">
        <v>46238</v>
      </c>
      <c r="H2562" s="12">
        <v>54.47</v>
      </c>
      <c r="I2562" s="12">
        <v>48.48</v>
      </c>
      <c r="J2562" s="9" t="s">
        <v>3</v>
      </c>
      <c r="K2562" s="8">
        <v>0</v>
      </c>
    </row>
    <row r="2563" spans="1:11">
      <c r="A2563" s="2" t="s">
        <v>925</v>
      </c>
      <c r="B2563" s="2" t="s">
        <v>3880</v>
      </c>
      <c r="C2563" s="9">
        <v>10100214</v>
      </c>
      <c r="D2563" s="2" t="s">
        <v>3897</v>
      </c>
      <c r="E2563" s="10">
        <v>12</v>
      </c>
      <c r="F2563" s="9" t="s">
        <v>3526</v>
      </c>
      <c r="G2563" s="11">
        <v>46238</v>
      </c>
      <c r="H2563" s="12">
        <v>54.47</v>
      </c>
      <c r="I2563" s="12">
        <v>48.48</v>
      </c>
      <c r="J2563" s="9" t="s">
        <v>3</v>
      </c>
      <c r="K2563" s="8">
        <v>0</v>
      </c>
    </row>
    <row r="2564" spans="1:11">
      <c r="A2564" s="2" t="s">
        <v>925</v>
      </c>
      <c r="B2564" s="2" t="s">
        <v>3880</v>
      </c>
      <c r="C2564" s="9">
        <v>10100215</v>
      </c>
      <c r="D2564" s="2" t="s">
        <v>3898</v>
      </c>
      <c r="E2564" s="10">
        <v>12</v>
      </c>
      <c r="F2564" s="9" t="s">
        <v>3526</v>
      </c>
      <c r="G2564" s="11">
        <v>46238</v>
      </c>
      <c r="H2564" s="12">
        <v>54.47</v>
      </c>
      <c r="I2564" s="12">
        <v>48.48</v>
      </c>
      <c r="J2564" s="9" t="s">
        <v>3</v>
      </c>
      <c r="K2564" s="8">
        <v>0</v>
      </c>
    </row>
    <row r="2565" spans="1:11">
      <c r="A2565" s="2" t="s">
        <v>925</v>
      </c>
      <c r="B2565" s="2" t="s">
        <v>3880</v>
      </c>
      <c r="C2565" s="9">
        <v>10100216</v>
      </c>
      <c r="D2565" s="2" t="s">
        <v>3899</v>
      </c>
      <c r="E2565" s="10">
        <v>12</v>
      </c>
      <c r="F2565" s="9" t="s">
        <v>3526</v>
      </c>
      <c r="G2565" s="11">
        <v>46238</v>
      </c>
      <c r="H2565" s="12">
        <v>54.47</v>
      </c>
      <c r="I2565" s="12">
        <v>48.48</v>
      </c>
      <c r="J2565" s="9" t="s">
        <v>3</v>
      </c>
      <c r="K2565" s="8">
        <v>0</v>
      </c>
    </row>
    <row r="2566" spans="1:11">
      <c r="A2566" s="2" t="s">
        <v>687</v>
      </c>
      <c r="B2566" s="2" t="s">
        <v>792</v>
      </c>
      <c r="C2566" s="9">
        <v>10100218</v>
      </c>
      <c r="D2566" s="2" t="s">
        <v>3900</v>
      </c>
      <c r="E2566" s="10">
        <v>144</v>
      </c>
      <c r="F2566" s="9" t="s">
        <v>738</v>
      </c>
      <c r="G2566" s="11">
        <v>46238</v>
      </c>
      <c r="H2566" s="12">
        <v>367.28</v>
      </c>
      <c r="I2566" s="12">
        <v>326.88</v>
      </c>
      <c r="J2566" s="9" t="s">
        <v>3</v>
      </c>
      <c r="K2566" s="8">
        <v>0</v>
      </c>
    </row>
    <row r="2567" spans="1:11">
      <c r="A2567" s="2" t="s">
        <v>687</v>
      </c>
      <c r="B2567" s="2" t="s">
        <v>792</v>
      </c>
      <c r="C2567" s="9">
        <v>10100219</v>
      </c>
      <c r="D2567" s="2" t="s">
        <v>3901</v>
      </c>
      <c r="E2567" s="10">
        <v>144</v>
      </c>
      <c r="F2567" s="9" t="s">
        <v>738</v>
      </c>
      <c r="G2567" s="11">
        <v>46238</v>
      </c>
      <c r="H2567" s="12">
        <v>367.28</v>
      </c>
      <c r="I2567" s="12">
        <v>326.88</v>
      </c>
      <c r="J2567" s="9" t="s">
        <v>3</v>
      </c>
      <c r="K2567" s="8">
        <v>0</v>
      </c>
    </row>
    <row r="2568" spans="1:11">
      <c r="A2568" s="2" t="s">
        <v>687</v>
      </c>
      <c r="B2568" s="2" t="s">
        <v>792</v>
      </c>
      <c r="C2568" s="9">
        <v>10100220</v>
      </c>
      <c r="D2568" s="2" t="s">
        <v>3902</v>
      </c>
      <c r="E2568" s="10">
        <v>144</v>
      </c>
      <c r="F2568" s="9" t="s">
        <v>794</v>
      </c>
      <c r="G2568" s="11">
        <v>46238</v>
      </c>
      <c r="H2568" s="12">
        <v>367.28</v>
      </c>
      <c r="I2568" s="12">
        <v>326.88</v>
      </c>
      <c r="J2568" s="9" t="s">
        <v>3</v>
      </c>
      <c r="K2568" s="8">
        <v>0</v>
      </c>
    </row>
    <row r="2569" spans="1:11">
      <c r="A2569" s="2" t="s">
        <v>687</v>
      </c>
      <c r="B2569" s="2" t="s">
        <v>792</v>
      </c>
      <c r="C2569" s="9">
        <v>10100221</v>
      </c>
      <c r="D2569" s="2" t="s">
        <v>3903</v>
      </c>
      <c r="E2569" s="10">
        <v>144</v>
      </c>
      <c r="F2569" s="9" t="s">
        <v>794</v>
      </c>
      <c r="G2569" s="11">
        <v>46238</v>
      </c>
      <c r="H2569" s="12">
        <v>367.28</v>
      </c>
      <c r="I2569" s="12">
        <v>326.88</v>
      </c>
      <c r="J2569" s="9" t="s">
        <v>3</v>
      </c>
      <c r="K2569" s="8">
        <v>0</v>
      </c>
    </row>
    <row r="2570" spans="1:11">
      <c r="A2570" s="2" t="s">
        <v>687</v>
      </c>
      <c r="B2570" s="2" t="s">
        <v>792</v>
      </c>
      <c r="C2570" s="9">
        <v>10100222</v>
      </c>
      <c r="D2570" s="2" t="s">
        <v>3904</v>
      </c>
      <c r="E2570" s="10">
        <v>144</v>
      </c>
      <c r="F2570" s="9" t="s">
        <v>794</v>
      </c>
      <c r="G2570" s="11">
        <v>46238</v>
      </c>
      <c r="H2570" s="12">
        <v>367.28</v>
      </c>
      <c r="I2570" s="12">
        <v>326.88</v>
      </c>
      <c r="J2570" s="9" t="s">
        <v>3</v>
      </c>
      <c r="K2570" s="8">
        <v>0</v>
      </c>
    </row>
    <row r="2571" spans="1:11">
      <c r="A2571" s="2" t="s">
        <v>687</v>
      </c>
      <c r="B2571" s="2" t="s">
        <v>792</v>
      </c>
      <c r="C2571" s="9">
        <v>10100223</v>
      </c>
      <c r="D2571" s="2" t="s">
        <v>3905</v>
      </c>
      <c r="E2571" s="10">
        <v>144</v>
      </c>
      <c r="F2571" s="9" t="s">
        <v>794</v>
      </c>
      <c r="G2571" s="11">
        <v>46238</v>
      </c>
      <c r="H2571" s="12">
        <v>367.28</v>
      </c>
      <c r="I2571" s="12">
        <v>326.88</v>
      </c>
      <c r="J2571" s="9" t="s">
        <v>3</v>
      </c>
      <c r="K2571" s="8">
        <v>0</v>
      </c>
    </row>
    <row r="2572" spans="1:11">
      <c r="A2572" s="2" t="s">
        <v>2740</v>
      </c>
      <c r="B2572" s="2" t="s">
        <v>2741</v>
      </c>
      <c r="C2572" s="9">
        <v>10100224</v>
      </c>
      <c r="D2572" s="2" t="s">
        <v>3906</v>
      </c>
      <c r="E2572" s="10">
        <v>12</v>
      </c>
      <c r="F2572" s="9" t="s">
        <v>2753</v>
      </c>
      <c r="G2572" s="11">
        <v>46238</v>
      </c>
      <c r="H2572" s="12">
        <v>41.24</v>
      </c>
      <c r="I2572" s="12">
        <v>36.700000000000003</v>
      </c>
      <c r="J2572" s="9" t="s">
        <v>3</v>
      </c>
      <c r="K2572" s="8">
        <v>0</v>
      </c>
    </row>
    <row r="2573" spans="1:11">
      <c r="A2573" s="2" t="s">
        <v>2740</v>
      </c>
      <c r="B2573" s="2" t="s">
        <v>2761</v>
      </c>
      <c r="C2573" s="9">
        <v>10100225</v>
      </c>
      <c r="D2573" s="2" t="s">
        <v>3907</v>
      </c>
      <c r="E2573" s="10">
        <v>6</v>
      </c>
      <c r="F2573" s="9" t="s">
        <v>1082</v>
      </c>
      <c r="G2573" s="11">
        <v>46238</v>
      </c>
      <c r="H2573" s="12">
        <v>44.83</v>
      </c>
      <c r="I2573" s="12">
        <v>39.9</v>
      </c>
      <c r="J2573" s="9" t="s">
        <v>3</v>
      </c>
      <c r="K2573" s="8">
        <v>0</v>
      </c>
    </row>
    <row r="2574" spans="1:11">
      <c r="A2574" s="2" t="s">
        <v>687</v>
      </c>
      <c r="B2574" s="2" t="s">
        <v>792</v>
      </c>
      <c r="C2574" s="9">
        <v>10100227</v>
      </c>
      <c r="D2574" s="2" t="s">
        <v>3908</v>
      </c>
      <c r="E2574" s="10">
        <v>144</v>
      </c>
      <c r="F2574" s="9" t="s">
        <v>738</v>
      </c>
      <c r="G2574" s="11">
        <v>46238</v>
      </c>
      <c r="H2574" s="12">
        <v>367.28</v>
      </c>
      <c r="I2574" s="12">
        <v>326.88</v>
      </c>
      <c r="J2574" s="9" t="s">
        <v>3</v>
      </c>
      <c r="K2574" s="8">
        <v>0</v>
      </c>
    </row>
    <row r="2575" spans="1:11">
      <c r="A2575" s="2" t="s">
        <v>687</v>
      </c>
      <c r="B2575" s="2" t="s">
        <v>792</v>
      </c>
      <c r="C2575" s="9">
        <v>10100228</v>
      </c>
      <c r="D2575" s="2" t="s">
        <v>3909</v>
      </c>
      <c r="E2575" s="10">
        <v>144</v>
      </c>
      <c r="F2575" s="9" t="s">
        <v>738</v>
      </c>
      <c r="G2575" s="11">
        <v>46238</v>
      </c>
      <c r="H2575" s="12">
        <v>367.28</v>
      </c>
      <c r="I2575" s="12">
        <v>326.88</v>
      </c>
      <c r="J2575" s="9" t="s">
        <v>3</v>
      </c>
      <c r="K2575" s="8">
        <v>0</v>
      </c>
    </row>
    <row r="2576" spans="1:11">
      <c r="A2576" s="2" t="s">
        <v>1662</v>
      </c>
      <c r="B2576" s="2" t="s">
        <v>3855</v>
      </c>
      <c r="C2576" s="9">
        <v>10100230</v>
      </c>
      <c r="D2576" s="2" t="s">
        <v>3910</v>
      </c>
      <c r="E2576" s="10">
        <v>10</v>
      </c>
      <c r="F2576" s="9" t="s">
        <v>774</v>
      </c>
      <c r="G2576" s="11">
        <v>46238</v>
      </c>
      <c r="H2576" s="12">
        <v>38.83</v>
      </c>
      <c r="I2576" s="12">
        <v>35.72</v>
      </c>
      <c r="J2576" s="9" t="s">
        <v>3</v>
      </c>
      <c r="K2576" s="8">
        <v>1</v>
      </c>
    </row>
    <row r="2577" spans="1:11">
      <c r="A2577" s="2" t="s">
        <v>1662</v>
      </c>
      <c r="B2577" s="2" t="s">
        <v>3855</v>
      </c>
      <c r="C2577" s="9">
        <v>10100231</v>
      </c>
      <c r="D2577" s="2" t="s">
        <v>3911</v>
      </c>
      <c r="E2577" s="10">
        <v>1</v>
      </c>
      <c r="F2577" s="9" t="s">
        <v>2985</v>
      </c>
      <c r="G2577" s="11">
        <v>46238</v>
      </c>
      <c r="H2577" s="12">
        <v>62.82</v>
      </c>
      <c r="I2577" s="12">
        <v>57.79</v>
      </c>
      <c r="J2577" s="9" t="s">
        <v>3</v>
      </c>
      <c r="K2577" s="8">
        <v>1</v>
      </c>
    </row>
    <row r="2578" spans="1:11">
      <c r="A2578" s="2" t="s">
        <v>708</v>
      </c>
      <c r="B2578" s="2" t="s">
        <v>743</v>
      </c>
      <c r="C2578" s="9">
        <v>10100233</v>
      </c>
      <c r="D2578" s="2" t="s">
        <v>3912</v>
      </c>
      <c r="E2578" s="10">
        <v>225</v>
      </c>
      <c r="F2578" s="9" t="s">
        <v>3913</v>
      </c>
      <c r="G2578" s="11">
        <v>46238</v>
      </c>
      <c r="H2578" s="12">
        <v>6556.61</v>
      </c>
      <c r="I2578" s="12">
        <v>5835.38</v>
      </c>
      <c r="J2578" s="9" t="s">
        <v>3</v>
      </c>
      <c r="K2578" s="8">
        <v>0</v>
      </c>
    </row>
    <row r="2579" spans="1:11">
      <c r="A2579" s="2" t="s">
        <v>708</v>
      </c>
      <c r="B2579" s="2" t="s">
        <v>1914</v>
      </c>
      <c r="C2579" s="9">
        <v>10100234</v>
      </c>
      <c r="D2579" s="2" t="s">
        <v>3914</v>
      </c>
      <c r="E2579" s="10">
        <v>4</v>
      </c>
      <c r="F2579" s="9" t="s">
        <v>1367</v>
      </c>
      <c r="G2579" s="11">
        <v>46238</v>
      </c>
      <c r="H2579" s="12">
        <v>30.11</v>
      </c>
      <c r="I2579" s="12">
        <v>26.8</v>
      </c>
      <c r="J2579" s="9" t="s">
        <v>3</v>
      </c>
      <c r="K2579" s="8">
        <v>0</v>
      </c>
    </row>
    <row r="2580" spans="1:11">
      <c r="A2580" s="2" t="s">
        <v>708</v>
      </c>
      <c r="B2580" s="2" t="s">
        <v>1914</v>
      </c>
      <c r="C2580" s="9">
        <v>10100235</v>
      </c>
      <c r="D2580" s="2" t="s">
        <v>3915</v>
      </c>
      <c r="E2580" s="10">
        <v>4</v>
      </c>
      <c r="F2580" s="9" t="s">
        <v>1367</v>
      </c>
      <c r="G2580" s="11">
        <v>46238</v>
      </c>
      <c r="H2580" s="12">
        <v>30.11</v>
      </c>
      <c r="I2580" s="12">
        <v>26.8</v>
      </c>
      <c r="J2580" s="9" t="s">
        <v>3</v>
      </c>
      <c r="K2580" s="8">
        <v>0</v>
      </c>
    </row>
    <row r="2581" spans="1:11">
      <c r="A2581" s="2" t="s">
        <v>708</v>
      </c>
      <c r="B2581" s="2" t="s">
        <v>1914</v>
      </c>
      <c r="C2581" s="9">
        <v>10100237</v>
      </c>
      <c r="D2581" s="2" t="s">
        <v>3916</v>
      </c>
      <c r="E2581" s="10">
        <v>6</v>
      </c>
      <c r="F2581" s="9" t="s">
        <v>697</v>
      </c>
      <c r="G2581" s="11">
        <v>46238</v>
      </c>
      <c r="H2581" s="12">
        <v>28.73</v>
      </c>
      <c r="I2581" s="12">
        <v>25.57</v>
      </c>
      <c r="J2581" s="9" t="s">
        <v>3</v>
      </c>
      <c r="K2581" s="8">
        <v>0</v>
      </c>
    </row>
    <row r="2582" spans="1:11">
      <c r="A2582" s="2" t="s">
        <v>919</v>
      </c>
      <c r="B2582" s="2" t="s">
        <v>2428</v>
      </c>
      <c r="C2582" s="9">
        <v>10100238</v>
      </c>
      <c r="D2582" s="2" t="s">
        <v>3917</v>
      </c>
      <c r="E2582" s="10">
        <v>4</v>
      </c>
      <c r="F2582" s="9" t="s">
        <v>2435</v>
      </c>
      <c r="G2582" s="11">
        <v>46238</v>
      </c>
      <c r="H2582" s="12">
        <v>0</v>
      </c>
      <c r="I2582" s="12">
        <v>0</v>
      </c>
      <c r="J2582" s="9" t="s">
        <v>3</v>
      </c>
      <c r="K2582" s="8">
        <v>0</v>
      </c>
    </row>
    <row r="2583" spans="1:11">
      <c r="A2583" s="2" t="s">
        <v>2740</v>
      </c>
      <c r="B2583" s="2" t="s">
        <v>2761</v>
      </c>
      <c r="C2583" s="9">
        <v>10100239</v>
      </c>
      <c r="D2583" s="2" t="s">
        <v>3918</v>
      </c>
      <c r="E2583" s="10">
        <v>200</v>
      </c>
      <c r="F2583" s="9" t="s">
        <v>2892</v>
      </c>
      <c r="G2583" s="11">
        <v>46238</v>
      </c>
      <c r="H2583" s="12">
        <v>22.04</v>
      </c>
      <c r="I2583" s="12">
        <v>19.62</v>
      </c>
      <c r="J2583" s="9" t="s">
        <v>3</v>
      </c>
      <c r="K2583" s="8">
        <v>0</v>
      </c>
    </row>
    <row r="2584" spans="1:11">
      <c r="A2584" s="2" t="s">
        <v>2740</v>
      </c>
      <c r="B2584" s="2" t="s">
        <v>2761</v>
      </c>
      <c r="C2584" s="9">
        <v>10100241</v>
      </c>
      <c r="D2584" s="2" t="s">
        <v>3919</v>
      </c>
      <c r="E2584" s="10">
        <v>1</v>
      </c>
      <c r="F2584" s="9" t="s">
        <v>3920</v>
      </c>
      <c r="G2584" s="11">
        <v>46238</v>
      </c>
      <c r="H2584" s="12">
        <v>77.430000000000007</v>
      </c>
      <c r="I2584" s="12">
        <v>68.91</v>
      </c>
      <c r="J2584" s="9" t="s">
        <v>3</v>
      </c>
      <c r="K2584" s="8">
        <v>0</v>
      </c>
    </row>
    <row r="2585" spans="1:11">
      <c r="A2585" s="2" t="s">
        <v>2740</v>
      </c>
      <c r="B2585" s="2" t="s">
        <v>2761</v>
      </c>
      <c r="C2585" s="9">
        <v>10100242</v>
      </c>
      <c r="D2585" s="2" t="s">
        <v>3921</v>
      </c>
      <c r="E2585" s="10">
        <v>6</v>
      </c>
      <c r="F2585" s="9" t="s">
        <v>3922</v>
      </c>
      <c r="G2585" s="11">
        <v>46238</v>
      </c>
      <c r="H2585" s="12">
        <v>56</v>
      </c>
      <c r="I2585" s="12">
        <v>49.84</v>
      </c>
      <c r="J2585" s="9" t="s">
        <v>3</v>
      </c>
      <c r="K2585" s="8">
        <v>0</v>
      </c>
    </row>
    <row r="2586" spans="1:11">
      <c r="A2586" s="2" t="s">
        <v>2740</v>
      </c>
      <c r="B2586" s="2" t="s">
        <v>2761</v>
      </c>
      <c r="C2586" s="9">
        <v>10100243</v>
      </c>
      <c r="D2586" s="2" t="s">
        <v>3923</v>
      </c>
      <c r="E2586" s="10">
        <v>12</v>
      </c>
      <c r="F2586" s="9" t="s">
        <v>3922</v>
      </c>
      <c r="G2586" s="11">
        <v>46238</v>
      </c>
      <c r="H2586" s="12">
        <v>0</v>
      </c>
      <c r="I2586" s="12">
        <v>0</v>
      </c>
      <c r="J2586" s="9" t="s">
        <v>3</v>
      </c>
      <c r="K2586" s="8">
        <v>0</v>
      </c>
    </row>
    <row r="2587" spans="1:11">
      <c r="A2587" s="2" t="s">
        <v>2740</v>
      </c>
      <c r="B2587" s="2" t="s">
        <v>2761</v>
      </c>
      <c r="C2587" s="9">
        <v>10100244</v>
      </c>
      <c r="D2587" s="2" t="s">
        <v>3924</v>
      </c>
      <c r="E2587" s="10">
        <v>6</v>
      </c>
      <c r="F2587" s="9" t="s">
        <v>1173</v>
      </c>
      <c r="G2587" s="11">
        <v>46238</v>
      </c>
      <c r="H2587" s="12">
        <v>137.66999999999999</v>
      </c>
      <c r="I2587" s="12">
        <v>122.53</v>
      </c>
      <c r="J2587" s="9" t="s">
        <v>3</v>
      </c>
      <c r="K2587" s="8">
        <v>0</v>
      </c>
    </row>
    <row r="2588" spans="1:11">
      <c r="A2588" s="2" t="s">
        <v>2740</v>
      </c>
      <c r="B2588" s="2" t="s">
        <v>2761</v>
      </c>
      <c r="C2588" s="9">
        <v>10100245</v>
      </c>
      <c r="D2588" s="2" t="s">
        <v>3925</v>
      </c>
      <c r="E2588" s="10">
        <v>6</v>
      </c>
      <c r="F2588" s="9" t="s">
        <v>1173</v>
      </c>
      <c r="G2588" s="11">
        <v>46238</v>
      </c>
      <c r="H2588" s="12">
        <v>112.39</v>
      </c>
      <c r="I2588" s="12">
        <v>100.03</v>
      </c>
      <c r="J2588" s="9" t="s">
        <v>3</v>
      </c>
      <c r="K2588" s="8">
        <v>0</v>
      </c>
    </row>
    <row r="2589" spans="1:11">
      <c r="A2589" s="2" t="s">
        <v>2740</v>
      </c>
      <c r="B2589" s="2" t="s">
        <v>2761</v>
      </c>
      <c r="C2589" s="9">
        <v>10100246</v>
      </c>
      <c r="D2589" s="2" t="s">
        <v>3926</v>
      </c>
      <c r="E2589" s="10">
        <v>6</v>
      </c>
      <c r="F2589" s="9" t="s">
        <v>1173</v>
      </c>
      <c r="G2589" s="11">
        <v>46238</v>
      </c>
      <c r="H2589" s="12">
        <v>80.650000000000006</v>
      </c>
      <c r="I2589" s="12">
        <v>71.78</v>
      </c>
      <c r="J2589" s="9" t="s">
        <v>3</v>
      </c>
      <c r="K2589" s="8">
        <v>0</v>
      </c>
    </row>
    <row r="2590" spans="1:11">
      <c r="A2590" s="2" t="s">
        <v>2740</v>
      </c>
      <c r="B2590" s="2" t="s">
        <v>2761</v>
      </c>
      <c r="C2590" s="9">
        <v>10100247</v>
      </c>
      <c r="D2590" s="2" t="s">
        <v>3927</v>
      </c>
      <c r="E2590" s="10">
        <v>1</v>
      </c>
      <c r="F2590" s="9" t="s">
        <v>3928</v>
      </c>
      <c r="G2590" s="11">
        <v>46238</v>
      </c>
      <c r="H2590" s="12">
        <v>83.31</v>
      </c>
      <c r="I2590" s="12">
        <v>74.150000000000006</v>
      </c>
      <c r="J2590" s="9" t="s">
        <v>3</v>
      </c>
      <c r="K2590" s="8">
        <v>0</v>
      </c>
    </row>
    <row r="2591" spans="1:11">
      <c r="A2591" s="2" t="s">
        <v>2740</v>
      </c>
      <c r="B2591" s="2" t="s">
        <v>2761</v>
      </c>
      <c r="C2591" s="9">
        <v>10100248</v>
      </c>
      <c r="D2591" s="2" t="s">
        <v>3929</v>
      </c>
      <c r="E2591" s="10">
        <v>6</v>
      </c>
      <c r="F2591" s="9" t="s">
        <v>1173</v>
      </c>
      <c r="G2591" s="11">
        <v>46238</v>
      </c>
      <c r="H2591" s="12">
        <v>77.52</v>
      </c>
      <c r="I2591" s="12">
        <v>68.989999999999995</v>
      </c>
      <c r="J2591" s="9" t="s">
        <v>3</v>
      </c>
      <c r="K2591" s="8">
        <v>0</v>
      </c>
    </row>
    <row r="2592" spans="1:11">
      <c r="A2592" s="2" t="s">
        <v>2740</v>
      </c>
      <c r="B2592" s="2" t="s">
        <v>2761</v>
      </c>
      <c r="C2592" s="9">
        <v>10100249</v>
      </c>
      <c r="D2592" s="2" t="s">
        <v>3930</v>
      </c>
      <c r="E2592" s="10">
        <v>6</v>
      </c>
      <c r="F2592" s="9" t="s">
        <v>3931</v>
      </c>
      <c r="G2592" s="11">
        <v>46238</v>
      </c>
      <c r="H2592" s="12">
        <v>112.39</v>
      </c>
      <c r="I2592" s="12">
        <v>100.03</v>
      </c>
      <c r="J2592" s="9" t="s">
        <v>3</v>
      </c>
      <c r="K2592" s="8">
        <v>0</v>
      </c>
    </row>
    <row r="2593" spans="1:11">
      <c r="A2593" s="2" t="s">
        <v>2740</v>
      </c>
      <c r="B2593" s="2" t="s">
        <v>2761</v>
      </c>
      <c r="C2593" s="9">
        <v>10100250</v>
      </c>
      <c r="D2593" s="2" t="s">
        <v>3932</v>
      </c>
      <c r="E2593" s="10">
        <v>4</v>
      </c>
      <c r="F2593" s="9" t="s">
        <v>3933</v>
      </c>
      <c r="G2593" s="11">
        <v>46238</v>
      </c>
      <c r="H2593" s="12">
        <v>0</v>
      </c>
      <c r="I2593" s="12">
        <v>0</v>
      </c>
      <c r="J2593" s="9" t="s">
        <v>3</v>
      </c>
      <c r="K2593" s="8">
        <v>0</v>
      </c>
    </row>
    <row r="2594" spans="1:11">
      <c r="A2594" s="2" t="s">
        <v>2740</v>
      </c>
      <c r="B2594" s="2" t="s">
        <v>2761</v>
      </c>
      <c r="C2594" s="9">
        <v>10100251</v>
      </c>
      <c r="D2594" s="2" t="s">
        <v>3934</v>
      </c>
      <c r="E2594" s="10">
        <v>4</v>
      </c>
      <c r="F2594" s="9" t="s">
        <v>2875</v>
      </c>
      <c r="G2594" s="11">
        <v>46238</v>
      </c>
      <c r="H2594" s="12">
        <v>58.43</v>
      </c>
      <c r="I2594" s="12">
        <v>52</v>
      </c>
      <c r="J2594" s="9" t="s">
        <v>3</v>
      </c>
      <c r="K2594" s="8">
        <v>0</v>
      </c>
    </row>
    <row r="2595" spans="1:11">
      <c r="A2595" s="2" t="s">
        <v>2740</v>
      </c>
      <c r="B2595" s="2" t="s">
        <v>2761</v>
      </c>
      <c r="C2595" s="9">
        <v>10100252</v>
      </c>
      <c r="D2595" s="2" t="s">
        <v>3935</v>
      </c>
      <c r="E2595" s="10">
        <v>1</v>
      </c>
      <c r="F2595" s="9" t="s">
        <v>3197</v>
      </c>
      <c r="G2595" s="11">
        <v>46238</v>
      </c>
      <c r="H2595" s="12">
        <v>55.34</v>
      </c>
      <c r="I2595" s="12">
        <v>49.25</v>
      </c>
      <c r="J2595" s="9" t="s">
        <v>3</v>
      </c>
      <c r="K2595" s="8">
        <v>0</v>
      </c>
    </row>
    <row r="2596" spans="1:11">
      <c r="A2596" s="2" t="s">
        <v>2740</v>
      </c>
      <c r="B2596" s="2" t="s">
        <v>2761</v>
      </c>
      <c r="C2596" s="9">
        <v>10100253</v>
      </c>
      <c r="D2596" s="2" t="s">
        <v>3936</v>
      </c>
      <c r="E2596" s="10">
        <v>1</v>
      </c>
      <c r="F2596" s="9" t="s">
        <v>3197</v>
      </c>
      <c r="G2596" s="11">
        <v>46238</v>
      </c>
      <c r="H2596" s="12">
        <v>80.45</v>
      </c>
      <c r="I2596" s="12">
        <v>71.599999999999994</v>
      </c>
      <c r="J2596" s="9" t="s">
        <v>3</v>
      </c>
      <c r="K2596" s="8">
        <v>0</v>
      </c>
    </row>
    <row r="2597" spans="1:11">
      <c r="A2597" s="2" t="s">
        <v>2740</v>
      </c>
      <c r="B2597" s="2" t="s">
        <v>2761</v>
      </c>
      <c r="C2597" s="9">
        <v>10100254</v>
      </c>
      <c r="D2597" s="2" t="s">
        <v>3937</v>
      </c>
      <c r="E2597" s="10">
        <v>6</v>
      </c>
      <c r="F2597" s="9" t="s">
        <v>1079</v>
      </c>
      <c r="G2597" s="11">
        <v>46238</v>
      </c>
      <c r="H2597" s="12">
        <v>91.42</v>
      </c>
      <c r="I2597" s="12">
        <v>81.36</v>
      </c>
      <c r="J2597" s="9" t="s">
        <v>3</v>
      </c>
      <c r="K2597" s="8">
        <v>0</v>
      </c>
    </row>
    <row r="2598" spans="1:11">
      <c r="A2598" s="2" t="s">
        <v>2740</v>
      </c>
      <c r="B2598" s="2" t="s">
        <v>2761</v>
      </c>
      <c r="C2598" s="9">
        <v>10100255</v>
      </c>
      <c r="D2598" s="2" t="s">
        <v>3938</v>
      </c>
      <c r="E2598" s="10">
        <v>6</v>
      </c>
      <c r="F2598" s="9" t="s">
        <v>3213</v>
      </c>
      <c r="G2598" s="11">
        <v>46238</v>
      </c>
      <c r="H2598" s="12">
        <v>74.27</v>
      </c>
      <c r="I2598" s="12">
        <v>66.099999999999994</v>
      </c>
      <c r="J2598" s="9" t="s">
        <v>3</v>
      </c>
      <c r="K2598" s="8">
        <v>0</v>
      </c>
    </row>
    <row r="2599" spans="1:11">
      <c r="A2599" s="2" t="s">
        <v>2740</v>
      </c>
      <c r="B2599" s="2" t="s">
        <v>2741</v>
      </c>
      <c r="C2599" s="9">
        <v>10100256</v>
      </c>
      <c r="D2599" s="2" t="s">
        <v>3939</v>
      </c>
      <c r="E2599" s="10">
        <v>6</v>
      </c>
      <c r="F2599" s="9" t="s">
        <v>2861</v>
      </c>
      <c r="G2599" s="11">
        <v>46238</v>
      </c>
      <c r="H2599" s="12">
        <v>65.22</v>
      </c>
      <c r="I2599" s="12">
        <v>58.05</v>
      </c>
      <c r="J2599" s="9" t="s">
        <v>3</v>
      </c>
      <c r="K2599" s="8">
        <v>0</v>
      </c>
    </row>
    <row r="2600" spans="1:11">
      <c r="A2600" s="2" t="s">
        <v>1255</v>
      </c>
      <c r="B2600" s="2" t="s">
        <v>3214</v>
      </c>
      <c r="C2600" s="9">
        <v>10100257</v>
      </c>
      <c r="D2600" s="2" t="s">
        <v>3940</v>
      </c>
      <c r="E2600" s="10">
        <v>12</v>
      </c>
      <c r="F2600" s="9" t="s">
        <v>1323</v>
      </c>
      <c r="G2600" s="11">
        <v>46238</v>
      </c>
      <c r="H2600" s="12">
        <v>40.200000000000003</v>
      </c>
      <c r="I2600" s="12">
        <v>40.200000000000003</v>
      </c>
      <c r="J2600" s="9" t="s">
        <v>3</v>
      </c>
      <c r="K2600" s="8">
        <v>0</v>
      </c>
    </row>
    <row r="2601" spans="1:11">
      <c r="A2601" s="2" t="s">
        <v>1255</v>
      </c>
      <c r="B2601" s="2" t="s">
        <v>3214</v>
      </c>
      <c r="C2601" s="9">
        <v>10100258</v>
      </c>
      <c r="D2601" s="2" t="s">
        <v>3941</v>
      </c>
      <c r="E2601" s="10">
        <v>12</v>
      </c>
      <c r="F2601" s="9" t="s">
        <v>1323</v>
      </c>
      <c r="G2601" s="11">
        <v>46238</v>
      </c>
      <c r="H2601" s="12">
        <v>40.200000000000003</v>
      </c>
      <c r="I2601" s="12">
        <v>40.200000000000003</v>
      </c>
      <c r="J2601" s="9" t="s">
        <v>3</v>
      </c>
      <c r="K2601" s="8">
        <v>0</v>
      </c>
    </row>
    <row r="2602" spans="1:11">
      <c r="A2602" s="2" t="s">
        <v>1319</v>
      </c>
      <c r="B2602" s="2" t="s">
        <v>1320</v>
      </c>
      <c r="C2602" s="9">
        <v>10100259</v>
      </c>
      <c r="D2602" s="2" t="s">
        <v>3942</v>
      </c>
      <c r="E2602" s="10">
        <v>1</v>
      </c>
      <c r="F2602" s="9" t="s">
        <v>837</v>
      </c>
      <c r="G2602" s="11">
        <v>46238</v>
      </c>
      <c r="H2602" s="12">
        <v>27.88</v>
      </c>
      <c r="I2602" s="12">
        <v>27.88</v>
      </c>
      <c r="J2602" s="9" t="s">
        <v>3</v>
      </c>
      <c r="K2602" s="8">
        <v>1</v>
      </c>
    </row>
    <row r="2603" spans="1:11">
      <c r="A2603" s="2" t="s">
        <v>906</v>
      </c>
      <c r="B2603" s="2" t="s">
        <v>2991</v>
      </c>
      <c r="C2603" s="9">
        <v>10100260</v>
      </c>
      <c r="D2603" s="2" t="s">
        <v>3943</v>
      </c>
      <c r="E2603" s="10">
        <v>4</v>
      </c>
      <c r="F2603" s="9" t="s">
        <v>2039</v>
      </c>
      <c r="G2603" s="11">
        <v>46238</v>
      </c>
      <c r="H2603" s="12">
        <v>113.75</v>
      </c>
      <c r="I2603" s="12">
        <v>98.96</v>
      </c>
      <c r="J2603" s="9" t="s">
        <v>3</v>
      </c>
      <c r="K2603" s="8">
        <v>0</v>
      </c>
    </row>
    <row r="2604" spans="1:11">
      <c r="A2604" s="2" t="s">
        <v>2740</v>
      </c>
      <c r="B2604" s="2" t="s">
        <v>2761</v>
      </c>
      <c r="C2604" s="9">
        <v>10100261</v>
      </c>
      <c r="D2604" s="2" t="s">
        <v>3944</v>
      </c>
      <c r="E2604" s="10">
        <v>1</v>
      </c>
      <c r="F2604" s="9" t="s">
        <v>3945</v>
      </c>
      <c r="G2604" s="11">
        <v>46238</v>
      </c>
      <c r="H2604" s="12">
        <v>160.57</v>
      </c>
      <c r="I2604" s="12">
        <v>142.91</v>
      </c>
      <c r="J2604" s="9" t="s">
        <v>3</v>
      </c>
      <c r="K2604" s="8">
        <v>0</v>
      </c>
    </row>
    <row r="2605" spans="1:11">
      <c r="A2605" s="2" t="s">
        <v>3946</v>
      </c>
      <c r="B2605" s="2" t="s">
        <v>3947</v>
      </c>
      <c r="C2605" s="9">
        <v>10100262</v>
      </c>
      <c r="D2605" s="2" t="s">
        <v>3948</v>
      </c>
      <c r="E2605" s="10">
        <v>14</v>
      </c>
      <c r="F2605" s="9" t="s">
        <v>3949</v>
      </c>
      <c r="G2605" s="11">
        <v>46238</v>
      </c>
      <c r="H2605" s="12">
        <v>96.21</v>
      </c>
      <c r="I2605" s="12">
        <v>83.7</v>
      </c>
      <c r="J2605" s="9" t="s">
        <v>3</v>
      </c>
      <c r="K2605" s="8">
        <v>0</v>
      </c>
    </row>
    <row r="2606" spans="1:11">
      <c r="A2606" s="2" t="s">
        <v>3946</v>
      </c>
      <c r="B2606" s="2" t="s">
        <v>3947</v>
      </c>
      <c r="C2606" s="9">
        <v>10100263</v>
      </c>
      <c r="D2606" s="2" t="s">
        <v>3950</v>
      </c>
      <c r="E2606" s="10">
        <v>14</v>
      </c>
      <c r="F2606" s="9" t="s">
        <v>3951</v>
      </c>
      <c r="G2606" s="11">
        <v>46238</v>
      </c>
      <c r="H2606" s="12">
        <v>96.21</v>
      </c>
      <c r="I2606" s="12">
        <v>83.7</v>
      </c>
      <c r="J2606" s="9" t="s">
        <v>3</v>
      </c>
      <c r="K2606" s="8">
        <v>0</v>
      </c>
    </row>
    <row r="2607" spans="1:11">
      <c r="A2607" s="2" t="s">
        <v>3946</v>
      </c>
      <c r="B2607" s="2" t="s">
        <v>3947</v>
      </c>
      <c r="C2607" s="9">
        <v>10100264</v>
      </c>
      <c r="D2607" s="2" t="s">
        <v>3952</v>
      </c>
      <c r="E2607" s="10">
        <v>14</v>
      </c>
      <c r="F2607" s="9" t="s">
        <v>3953</v>
      </c>
      <c r="G2607" s="11">
        <v>46238</v>
      </c>
      <c r="H2607" s="12">
        <v>96.21</v>
      </c>
      <c r="I2607" s="12">
        <v>83.7</v>
      </c>
      <c r="J2607" s="9" t="s">
        <v>3</v>
      </c>
      <c r="K2607" s="8">
        <v>0</v>
      </c>
    </row>
    <row r="2608" spans="1:11">
      <c r="A2608" s="2" t="s">
        <v>3946</v>
      </c>
      <c r="B2608" s="2" t="s">
        <v>3954</v>
      </c>
      <c r="C2608" s="9">
        <v>10100265</v>
      </c>
      <c r="D2608" s="2" t="s">
        <v>3955</v>
      </c>
      <c r="E2608" s="10">
        <v>9</v>
      </c>
      <c r="F2608" s="9" t="s">
        <v>2138</v>
      </c>
      <c r="G2608" s="11">
        <v>46238</v>
      </c>
      <c r="H2608" s="12">
        <v>70.23</v>
      </c>
      <c r="I2608" s="12">
        <v>61.1</v>
      </c>
      <c r="J2608" s="9" t="s">
        <v>3</v>
      </c>
      <c r="K2608" s="8">
        <v>0</v>
      </c>
    </row>
    <row r="2609" spans="1:11">
      <c r="A2609" s="2" t="s">
        <v>3946</v>
      </c>
      <c r="B2609" s="2" t="s">
        <v>3947</v>
      </c>
      <c r="C2609" s="9">
        <v>10100266</v>
      </c>
      <c r="D2609" s="2" t="s">
        <v>3956</v>
      </c>
      <c r="E2609" s="10">
        <v>14</v>
      </c>
      <c r="F2609" s="9" t="s">
        <v>3957</v>
      </c>
      <c r="G2609" s="11">
        <v>46238</v>
      </c>
      <c r="H2609" s="12">
        <v>96.21</v>
      </c>
      <c r="I2609" s="12">
        <v>83.7</v>
      </c>
      <c r="J2609" s="9" t="s">
        <v>3</v>
      </c>
      <c r="K2609" s="8">
        <v>0</v>
      </c>
    </row>
    <row r="2610" spans="1:11">
      <c r="A2610" s="2" t="s">
        <v>3946</v>
      </c>
      <c r="B2610" s="2" t="s">
        <v>3947</v>
      </c>
      <c r="C2610" s="9">
        <v>10100267</v>
      </c>
      <c r="D2610" s="2" t="s">
        <v>3958</v>
      </c>
      <c r="E2610" s="10">
        <v>16</v>
      </c>
      <c r="F2610" s="9" t="s">
        <v>3959</v>
      </c>
      <c r="G2610" s="11">
        <v>46238</v>
      </c>
      <c r="H2610" s="12">
        <v>85.46</v>
      </c>
      <c r="I2610" s="12">
        <v>74.349999999999994</v>
      </c>
      <c r="J2610" s="9" t="s">
        <v>3</v>
      </c>
      <c r="K2610" s="8">
        <v>0</v>
      </c>
    </row>
    <row r="2611" spans="1:11">
      <c r="A2611" s="2" t="s">
        <v>3946</v>
      </c>
      <c r="B2611" s="2" t="s">
        <v>3947</v>
      </c>
      <c r="C2611" s="9">
        <v>10100269</v>
      </c>
      <c r="D2611" s="2" t="s">
        <v>3960</v>
      </c>
      <c r="E2611" s="10">
        <v>16</v>
      </c>
      <c r="F2611" s="9" t="s">
        <v>3961</v>
      </c>
      <c r="G2611" s="11">
        <v>46238</v>
      </c>
      <c r="H2611" s="12">
        <v>85.46</v>
      </c>
      <c r="I2611" s="12">
        <v>74.349999999999994</v>
      </c>
      <c r="J2611" s="9" t="s">
        <v>3</v>
      </c>
      <c r="K2611" s="8">
        <v>0</v>
      </c>
    </row>
    <row r="2612" spans="1:11">
      <c r="A2612" s="2" t="s">
        <v>3946</v>
      </c>
      <c r="B2612" s="2" t="s">
        <v>3947</v>
      </c>
      <c r="C2612" s="9">
        <v>10100276</v>
      </c>
      <c r="D2612" s="2" t="s">
        <v>3962</v>
      </c>
      <c r="E2612" s="10">
        <v>12</v>
      </c>
      <c r="F2612" s="9" t="s">
        <v>3963</v>
      </c>
      <c r="G2612" s="11">
        <v>46238</v>
      </c>
      <c r="H2612" s="12">
        <v>55</v>
      </c>
      <c r="I2612" s="12">
        <v>47.85</v>
      </c>
      <c r="J2612" s="9" t="s">
        <v>3</v>
      </c>
      <c r="K2612" s="8">
        <v>0</v>
      </c>
    </row>
    <row r="2613" spans="1:11">
      <c r="A2613" s="2" t="s">
        <v>3946</v>
      </c>
      <c r="B2613" s="2" t="s">
        <v>3947</v>
      </c>
      <c r="C2613" s="9">
        <v>10100277</v>
      </c>
      <c r="D2613" s="2" t="s">
        <v>3964</v>
      </c>
      <c r="E2613" s="10">
        <v>12</v>
      </c>
      <c r="F2613" s="9" t="s">
        <v>3965</v>
      </c>
      <c r="G2613" s="11">
        <v>46238</v>
      </c>
      <c r="H2613" s="12">
        <v>55</v>
      </c>
      <c r="I2613" s="12">
        <v>47.85</v>
      </c>
      <c r="J2613" s="9" t="s">
        <v>3</v>
      </c>
      <c r="K2613" s="8">
        <v>0</v>
      </c>
    </row>
    <row r="2614" spans="1:11">
      <c r="A2614" s="2" t="s">
        <v>3946</v>
      </c>
      <c r="B2614" s="2" t="s">
        <v>3947</v>
      </c>
      <c r="C2614" s="9">
        <v>10100278</v>
      </c>
      <c r="D2614" s="2" t="s">
        <v>3966</v>
      </c>
      <c r="E2614" s="10">
        <v>12</v>
      </c>
      <c r="F2614" s="9" t="s">
        <v>3963</v>
      </c>
      <c r="G2614" s="11">
        <v>46238</v>
      </c>
      <c r="H2614" s="12">
        <v>55</v>
      </c>
      <c r="I2614" s="12">
        <v>47.85</v>
      </c>
      <c r="J2614" s="9" t="s">
        <v>3</v>
      </c>
      <c r="K2614" s="8">
        <v>0</v>
      </c>
    </row>
    <row r="2615" spans="1:11">
      <c r="A2615" s="2" t="s">
        <v>3946</v>
      </c>
      <c r="B2615" s="2" t="s">
        <v>3947</v>
      </c>
      <c r="C2615" s="9">
        <v>10100279</v>
      </c>
      <c r="D2615" s="2" t="s">
        <v>3967</v>
      </c>
      <c r="E2615" s="10">
        <v>16</v>
      </c>
      <c r="F2615" s="9" t="s">
        <v>3965</v>
      </c>
      <c r="G2615" s="11">
        <v>46238</v>
      </c>
      <c r="H2615" s="12">
        <v>85.46</v>
      </c>
      <c r="I2615" s="12">
        <v>74.349999999999994</v>
      </c>
      <c r="J2615" s="9" t="s">
        <v>3</v>
      </c>
      <c r="K2615" s="8">
        <v>0</v>
      </c>
    </row>
    <row r="2616" spans="1:11">
      <c r="A2616" s="2" t="s">
        <v>3946</v>
      </c>
      <c r="B2616" s="2" t="s">
        <v>3947</v>
      </c>
      <c r="C2616" s="9">
        <v>10100280</v>
      </c>
      <c r="D2616" s="2" t="s">
        <v>3968</v>
      </c>
      <c r="E2616" s="10">
        <v>16</v>
      </c>
      <c r="F2616" s="9" t="s">
        <v>3969</v>
      </c>
      <c r="G2616" s="11">
        <v>46238</v>
      </c>
      <c r="H2616" s="12">
        <v>85.46</v>
      </c>
      <c r="I2616" s="12">
        <v>74.349999999999994</v>
      </c>
      <c r="J2616" s="9" t="s">
        <v>3</v>
      </c>
      <c r="K2616" s="8">
        <v>0</v>
      </c>
    </row>
    <row r="2617" spans="1:11">
      <c r="A2617" s="2" t="s">
        <v>3946</v>
      </c>
      <c r="B2617" s="2" t="s">
        <v>3947</v>
      </c>
      <c r="C2617" s="9">
        <v>10100281</v>
      </c>
      <c r="D2617" s="2" t="s">
        <v>3970</v>
      </c>
      <c r="E2617" s="10">
        <v>16</v>
      </c>
      <c r="F2617" s="9" t="s">
        <v>3971</v>
      </c>
      <c r="G2617" s="11">
        <v>46238</v>
      </c>
      <c r="H2617" s="12">
        <v>85.46</v>
      </c>
      <c r="I2617" s="12">
        <v>74.349999999999994</v>
      </c>
      <c r="J2617" s="9" t="s">
        <v>3</v>
      </c>
      <c r="K2617" s="8">
        <v>0</v>
      </c>
    </row>
    <row r="2618" spans="1:11">
      <c r="A2618" s="2" t="s">
        <v>3946</v>
      </c>
      <c r="B2618" s="2" t="s">
        <v>3947</v>
      </c>
      <c r="C2618" s="9">
        <v>10100282</v>
      </c>
      <c r="D2618" s="2" t="s">
        <v>3972</v>
      </c>
      <c r="E2618" s="10">
        <v>14</v>
      </c>
      <c r="F2618" s="9" t="s">
        <v>3973</v>
      </c>
      <c r="G2618" s="11">
        <v>46238</v>
      </c>
      <c r="H2618" s="12">
        <v>113.28</v>
      </c>
      <c r="I2618" s="12">
        <v>98.55</v>
      </c>
      <c r="J2618" s="9" t="s">
        <v>3</v>
      </c>
      <c r="K2618" s="8">
        <v>0</v>
      </c>
    </row>
    <row r="2619" spans="1:11">
      <c r="A2619" s="2" t="s">
        <v>3946</v>
      </c>
      <c r="B2619" s="2" t="s">
        <v>3947</v>
      </c>
      <c r="C2619" s="9">
        <v>10100283</v>
      </c>
      <c r="D2619" s="2" t="s">
        <v>3974</v>
      </c>
      <c r="E2619" s="10">
        <v>14</v>
      </c>
      <c r="F2619" s="9" t="s">
        <v>3975</v>
      </c>
      <c r="G2619" s="11">
        <v>46238</v>
      </c>
      <c r="H2619" s="12">
        <v>113.28</v>
      </c>
      <c r="I2619" s="12">
        <v>98.55</v>
      </c>
      <c r="J2619" s="9" t="s">
        <v>3</v>
      </c>
      <c r="K2619" s="8">
        <v>0</v>
      </c>
    </row>
    <row r="2620" spans="1:11">
      <c r="A2620" s="2" t="s">
        <v>3946</v>
      </c>
      <c r="B2620" s="2" t="s">
        <v>3947</v>
      </c>
      <c r="C2620" s="9">
        <v>10100284</v>
      </c>
      <c r="D2620" s="2" t="s">
        <v>3976</v>
      </c>
      <c r="E2620" s="10">
        <v>16</v>
      </c>
      <c r="F2620" s="9" t="s">
        <v>3977</v>
      </c>
      <c r="G2620" s="11">
        <v>46238</v>
      </c>
      <c r="H2620" s="12">
        <v>85.46</v>
      </c>
      <c r="I2620" s="12">
        <v>74.349999999999994</v>
      </c>
      <c r="J2620" s="9" t="s">
        <v>3</v>
      </c>
      <c r="K2620" s="8">
        <v>0</v>
      </c>
    </row>
    <row r="2621" spans="1:11">
      <c r="A2621" s="2" t="s">
        <v>3946</v>
      </c>
      <c r="B2621" s="2" t="s">
        <v>3954</v>
      </c>
      <c r="C2621" s="9">
        <v>10100285</v>
      </c>
      <c r="D2621" s="2" t="s">
        <v>3978</v>
      </c>
      <c r="E2621" s="10">
        <v>9</v>
      </c>
      <c r="F2621" s="9" t="s">
        <v>2138</v>
      </c>
      <c r="G2621" s="11">
        <v>46238</v>
      </c>
      <c r="H2621" s="12">
        <v>70.23</v>
      </c>
      <c r="I2621" s="12">
        <v>61.1</v>
      </c>
      <c r="J2621" s="9" t="s">
        <v>3</v>
      </c>
      <c r="K2621" s="8">
        <v>0</v>
      </c>
    </row>
    <row r="2622" spans="1:11">
      <c r="A2622" s="2" t="s">
        <v>3946</v>
      </c>
      <c r="B2622" s="2" t="s">
        <v>3954</v>
      </c>
      <c r="C2622" s="9">
        <v>10100286</v>
      </c>
      <c r="D2622" s="2" t="s">
        <v>3979</v>
      </c>
      <c r="E2622" s="10">
        <v>9</v>
      </c>
      <c r="F2622" s="9" t="s">
        <v>2138</v>
      </c>
      <c r="G2622" s="11">
        <v>46238</v>
      </c>
      <c r="H2622" s="12">
        <v>70.23</v>
      </c>
      <c r="I2622" s="12">
        <v>61.1</v>
      </c>
      <c r="J2622" s="9" t="s">
        <v>3</v>
      </c>
      <c r="K2622" s="8">
        <v>0</v>
      </c>
    </row>
    <row r="2623" spans="1:11">
      <c r="A2623" s="2" t="s">
        <v>3946</v>
      </c>
      <c r="B2623" s="2" t="s">
        <v>3954</v>
      </c>
      <c r="C2623" s="9">
        <v>10100287</v>
      </c>
      <c r="D2623" s="2" t="s">
        <v>3980</v>
      </c>
      <c r="E2623" s="10">
        <v>9</v>
      </c>
      <c r="F2623" s="9" t="s">
        <v>2138</v>
      </c>
      <c r="G2623" s="11">
        <v>46238</v>
      </c>
      <c r="H2623" s="12">
        <v>70.23</v>
      </c>
      <c r="I2623" s="12">
        <v>61.1</v>
      </c>
      <c r="J2623" s="9" t="s">
        <v>3</v>
      </c>
      <c r="K2623" s="8">
        <v>0</v>
      </c>
    </row>
    <row r="2624" spans="1:11">
      <c r="A2624" s="2" t="s">
        <v>3946</v>
      </c>
      <c r="B2624" s="2" t="s">
        <v>3954</v>
      </c>
      <c r="C2624" s="9">
        <v>10100288</v>
      </c>
      <c r="D2624" s="2" t="s">
        <v>3981</v>
      </c>
      <c r="E2624" s="10">
        <v>9</v>
      </c>
      <c r="F2624" s="9" t="s">
        <v>3982</v>
      </c>
      <c r="G2624" s="11">
        <v>46238</v>
      </c>
      <c r="H2624" s="12">
        <v>35.17</v>
      </c>
      <c r="I2624" s="12">
        <v>30.6</v>
      </c>
      <c r="J2624" s="9" t="s">
        <v>3</v>
      </c>
      <c r="K2624" s="8">
        <v>0</v>
      </c>
    </row>
    <row r="2625" spans="1:11">
      <c r="A2625" s="2" t="s">
        <v>3946</v>
      </c>
      <c r="B2625" s="2" t="s">
        <v>3954</v>
      </c>
      <c r="C2625" s="9">
        <v>10100289</v>
      </c>
      <c r="D2625" s="2" t="s">
        <v>3983</v>
      </c>
      <c r="E2625" s="10">
        <v>9</v>
      </c>
      <c r="F2625" s="9" t="s">
        <v>3982</v>
      </c>
      <c r="G2625" s="11">
        <v>46238</v>
      </c>
      <c r="H2625" s="12">
        <v>35.17</v>
      </c>
      <c r="I2625" s="12">
        <v>30.6</v>
      </c>
      <c r="J2625" s="9" t="s">
        <v>3</v>
      </c>
      <c r="K2625" s="8">
        <v>0</v>
      </c>
    </row>
    <row r="2626" spans="1:11">
      <c r="A2626" s="2" t="s">
        <v>906</v>
      </c>
      <c r="B2626" s="2" t="s">
        <v>983</v>
      </c>
      <c r="C2626" s="9">
        <v>10100290</v>
      </c>
      <c r="D2626" s="2" t="s">
        <v>3984</v>
      </c>
      <c r="E2626" s="10">
        <v>12</v>
      </c>
      <c r="F2626" s="9" t="s">
        <v>982</v>
      </c>
      <c r="G2626" s="11">
        <v>46238</v>
      </c>
      <c r="H2626" s="12">
        <v>52.37</v>
      </c>
      <c r="I2626" s="12">
        <v>48.18</v>
      </c>
      <c r="J2626" s="9" t="s">
        <v>3</v>
      </c>
      <c r="K2626" s="8">
        <v>0</v>
      </c>
    </row>
    <row r="2627" spans="1:11">
      <c r="A2627" s="2" t="s">
        <v>906</v>
      </c>
      <c r="B2627" s="2" t="s">
        <v>983</v>
      </c>
      <c r="C2627" s="9">
        <v>10100291</v>
      </c>
      <c r="D2627" s="2" t="s">
        <v>3985</v>
      </c>
      <c r="E2627" s="10">
        <v>12</v>
      </c>
      <c r="F2627" s="9" t="s">
        <v>982</v>
      </c>
      <c r="G2627" s="11">
        <v>46238</v>
      </c>
      <c r="H2627" s="12">
        <v>47.98</v>
      </c>
      <c r="I2627" s="12">
        <v>44.14</v>
      </c>
      <c r="J2627" s="9" t="s">
        <v>3</v>
      </c>
      <c r="K2627" s="8">
        <v>0</v>
      </c>
    </row>
    <row r="2628" spans="1:11">
      <c r="A2628" s="2" t="s">
        <v>906</v>
      </c>
      <c r="B2628" s="2" t="s">
        <v>1130</v>
      </c>
      <c r="C2628" s="9">
        <v>10100292</v>
      </c>
      <c r="D2628" s="2" t="s">
        <v>3986</v>
      </c>
      <c r="E2628" s="10">
        <v>12</v>
      </c>
      <c r="F2628" s="9" t="s">
        <v>985</v>
      </c>
      <c r="G2628" s="11">
        <v>46238</v>
      </c>
      <c r="H2628" s="12">
        <v>46.88</v>
      </c>
      <c r="I2628" s="12">
        <v>43.13</v>
      </c>
      <c r="J2628" s="9" t="s">
        <v>3</v>
      </c>
      <c r="K2628" s="8">
        <v>0</v>
      </c>
    </row>
    <row r="2629" spans="1:11">
      <c r="A2629" s="2" t="s">
        <v>906</v>
      </c>
      <c r="B2629" s="2" t="s">
        <v>983</v>
      </c>
      <c r="C2629" s="9">
        <v>10100293</v>
      </c>
      <c r="D2629" s="2" t="s">
        <v>3987</v>
      </c>
      <c r="E2629" s="10">
        <v>12</v>
      </c>
      <c r="F2629" s="9" t="s">
        <v>985</v>
      </c>
      <c r="G2629" s="11">
        <v>46238</v>
      </c>
      <c r="H2629" s="12">
        <v>55.52</v>
      </c>
      <c r="I2629" s="12">
        <v>51.08</v>
      </c>
      <c r="J2629" s="9" t="s">
        <v>3</v>
      </c>
      <c r="K2629" s="8">
        <v>0</v>
      </c>
    </row>
    <row r="2630" spans="1:11">
      <c r="A2630" s="2" t="s">
        <v>906</v>
      </c>
      <c r="B2630" s="2" t="s">
        <v>983</v>
      </c>
      <c r="C2630" s="9">
        <v>10100294</v>
      </c>
      <c r="D2630" s="2" t="s">
        <v>3988</v>
      </c>
      <c r="E2630" s="10">
        <v>12</v>
      </c>
      <c r="F2630" s="9" t="s">
        <v>982</v>
      </c>
      <c r="G2630" s="11">
        <v>46238</v>
      </c>
      <c r="H2630" s="12">
        <v>47.98</v>
      </c>
      <c r="I2630" s="12">
        <v>44.14</v>
      </c>
      <c r="J2630" s="9" t="s">
        <v>3</v>
      </c>
      <c r="K2630" s="8">
        <v>0</v>
      </c>
    </row>
    <row r="2631" spans="1:11">
      <c r="A2631" s="2" t="s">
        <v>2740</v>
      </c>
      <c r="B2631" s="2" t="s">
        <v>3441</v>
      </c>
      <c r="C2631" s="9">
        <v>10100295</v>
      </c>
      <c r="D2631" s="2" t="s">
        <v>3989</v>
      </c>
      <c r="E2631" s="10">
        <v>240</v>
      </c>
      <c r="F2631" s="9" t="s">
        <v>738</v>
      </c>
      <c r="G2631" s="11">
        <v>46238</v>
      </c>
      <c r="H2631" s="12">
        <v>138.88</v>
      </c>
      <c r="I2631" s="12">
        <v>123.6</v>
      </c>
      <c r="J2631" s="9" t="s">
        <v>3</v>
      </c>
      <c r="K2631" s="8">
        <v>0</v>
      </c>
    </row>
    <row r="2632" spans="1:11">
      <c r="A2632" s="2" t="s">
        <v>2740</v>
      </c>
      <c r="B2632" s="2" t="s">
        <v>3441</v>
      </c>
      <c r="C2632" s="9">
        <v>10100296</v>
      </c>
      <c r="D2632" s="2" t="s">
        <v>3990</v>
      </c>
      <c r="E2632" s="10">
        <v>60</v>
      </c>
      <c r="F2632" s="9" t="s">
        <v>1695</v>
      </c>
      <c r="G2632" s="11">
        <v>46238</v>
      </c>
      <c r="H2632" s="12">
        <v>60.22</v>
      </c>
      <c r="I2632" s="12">
        <v>53.6</v>
      </c>
      <c r="J2632" s="9" t="s">
        <v>3</v>
      </c>
      <c r="K2632" s="8">
        <v>0</v>
      </c>
    </row>
    <row r="2633" spans="1:11">
      <c r="A2633" s="2" t="s">
        <v>2740</v>
      </c>
      <c r="B2633" s="2" t="s">
        <v>3441</v>
      </c>
      <c r="C2633" s="9">
        <v>10100297</v>
      </c>
      <c r="D2633" s="2" t="s">
        <v>3991</v>
      </c>
      <c r="E2633" s="10">
        <v>60</v>
      </c>
      <c r="F2633" s="9" t="s">
        <v>1695</v>
      </c>
      <c r="G2633" s="11">
        <v>46238</v>
      </c>
      <c r="H2633" s="12">
        <v>60.22</v>
      </c>
      <c r="I2633" s="12">
        <v>53.6</v>
      </c>
      <c r="J2633" s="9" t="s">
        <v>3</v>
      </c>
      <c r="K2633" s="8">
        <v>0</v>
      </c>
    </row>
    <row r="2634" spans="1:11">
      <c r="A2634" s="2" t="s">
        <v>2740</v>
      </c>
      <c r="B2634" s="2" t="s">
        <v>3441</v>
      </c>
      <c r="C2634" s="9">
        <v>10100298</v>
      </c>
      <c r="D2634" s="2" t="s">
        <v>3992</v>
      </c>
      <c r="E2634" s="10">
        <v>8</v>
      </c>
      <c r="F2634" s="9" t="s">
        <v>1940</v>
      </c>
      <c r="G2634" s="11">
        <v>46238</v>
      </c>
      <c r="H2634" s="12">
        <v>149.08000000000001</v>
      </c>
      <c r="I2634" s="12">
        <v>132.68</v>
      </c>
      <c r="J2634" s="9" t="s">
        <v>3</v>
      </c>
      <c r="K2634" s="8">
        <v>0</v>
      </c>
    </row>
    <row r="2635" spans="1:11">
      <c r="A2635" s="2" t="s">
        <v>906</v>
      </c>
      <c r="B2635" s="2" t="s">
        <v>1183</v>
      </c>
      <c r="C2635" s="9">
        <v>10100300</v>
      </c>
      <c r="D2635" s="2" t="s">
        <v>3993</v>
      </c>
      <c r="E2635" s="10">
        <v>12</v>
      </c>
      <c r="F2635" s="9" t="s">
        <v>3994</v>
      </c>
      <c r="G2635" s="11">
        <v>46238</v>
      </c>
      <c r="H2635" s="12">
        <v>223.97</v>
      </c>
      <c r="I2635" s="12">
        <v>206.05</v>
      </c>
      <c r="J2635" s="9" t="s">
        <v>3</v>
      </c>
      <c r="K2635" s="8">
        <v>0</v>
      </c>
    </row>
    <row r="2636" spans="1:11">
      <c r="A2636" s="2" t="s">
        <v>708</v>
      </c>
      <c r="B2636" s="2" t="s">
        <v>743</v>
      </c>
      <c r="C2636" s="9">
        <v>10100301</v>
      </c>
      <c r="D2636" s="2" t="s">
        <v>3995</v>
      </c>
      <c r="E2636" s="10">
        <v>24</v>
      </c>
      <c r="F2636" s="9" t="s">
        <v>781</v>
      </c>
      <c r="G2636" s="11">
        <v>46238</v>
      </c>
      <c r="H2636" s="12">
        <v>238.79</v>
      </c>
      <c r="I2636" s="12">
        <v>212.52</v>
      </c>
      <c r="J2636" s="9" t="s">
        <v>3</v>
      </c>
      <c r="K2636" s="8">
        <v>0</v>
      </c>
    </row>
    <row r="2637" spans="1:11">
      <c r="A2637" s="2" t="s">
        <v>708</v>
      </c>
      <c r="B2637" s="2" t="s">
        <v>743</v>
      </c>
      <c r="C2637" s="9">
        <v>10100302</v>
      </c>
      <c r="D2637" s="2" t="s">
        <v>3996</v>
      </c>
      <c r="E2637" s="10">
        <v>24</v>
      </c>
      <c r="F2637" s="9" t="s">
        <v>781</v>
      </c>
      <c r="G2637" s="11">
        <v>46238</v>
      </c>
      <c r="H2637" s="12">
        <v>192.2</v>
      </c>
      <c r="I2637" s="12">
        <v>171.06</v>
      </c>
      <c r="J2637" s="9" t="s">
        <v>3</v>
      </c>
      <c r="K2637" s="8">
        <v>0</v>
      </c>
    </row>
    <row r="2638" spans="1:11">
      <c r="A2638" s="2" t="s">
        <v>708</v>
      </c>
      <c r="B2638" s="2" t="s">
        <v>743</v>
      </c>
      <c r="C2638" s="9">
        <v>10100303</v>
      </c>
      <c r="D2638" s="2" t="s">
        <v>3997</v>
      </c>
      <c r="E2638" s="10">
        <v>24</v>
      </c>
      <c r="F2638" s="9" t="s">
        <v>781</v>
      </c>
      <c r="G2638" s="11">
        <v>46238</v>
      </c>
      <c r="H2638" s="12">
        <v>283.24</v>
      </c>
      <c r="I2638" s="12">
        <v>252.08</v>
      </c>
      <c r="J2638" s="9" t="s">
        <v>3</v>
      </c>
      <c r="K2638" s="8">
        <v>0</v>
      </c>
    </row>
    <row r="2639" spans="1:11">
      <c r="A2639" s="2" t="s">
        <v>2740</v>
      </c>
      <c r="B2639" s="2" t="s">
        <v>3441</v>
      </c>
      <c r="C2639" s="9">
        <v>10100304</v>
      </c>
      <c r="D2639" s="2" t="s">
        <v>3998</v>
      </c>
      <c r="E2639" s="10">
        <v>6</v>
      </c>
      <c r="F2639" s="9" t="s">
        <v>1263</v>
      </c>
      <c r="G2639" s="11">
        <v>46238</v>
      </c>
      <c r="H2639" s="12">
        <v>87.01</v>
      </c>
      <c r="I2639" s="12">
        <v>77.44</v>
      </c>
      <c r="J2639" s="9" t="s">
        <v>3</v>
      </c>
      <c r="K2639" s="8">
        <v>0</v>
      </c>
    </row>
    <row r="2640" spans="1:11">
      <c r="A2640" s="2" t="s">
        <v>3546</v>
      </c>
      <c r="B2640" s="2" t="s">
        <v>3999</v>
      </c>
      <c r="C2640" s="9">
        <v>10100307</v>
      </c>
      <c r="D2640" s="2" t="s">
        <v>4000</v>
      </c>
      <c r="E2640" s="10">
        <v>6</v>
      </c>
      <c r="F2640" s="9" t="s">
        <v>776</v>
      </c>
      <c r="G2640" s="11">
        <v>46238</v>
      </c>
      <c r="H2640" s="12">
        <v>29.77</v>
      </c>
      <c r="I2640" s="12">
        <v>27.39</v>
      </c>
      <c r="J2640" s="9" t="s">
        <v>3</v>
      </c>
      <c r="K2640" s="8">
        <v>0</v>
      </c>
    </row>
    <row r="2641" spans="1:11">
      <c r="A2641" s="2" t="s">
        <v>3546</v>
      </c>
      <c r="B2641" s="2" t="s">
        <v>3999</v>
      </c>
      <c r="C2641" s="9">
        <v>10100308</v>
      </c>
      <c r="D2641" s="2" t="s">
        <v>4001</v>
      </c>
      <c r="E2641" s="10">
        <v>6</v>
      </c>
      <c r="F2641" s="9" t="s">
        <v>776</v>
      </c>
      <c r="G2641" s="11">
        <v>46238</v>
      </c>
      <c r="H2641" s="12">
        <v>29.77</v>
      </c>
      <c r="I2641" s="12">
        <v>27.39</v>
      </c>
      <c r="J2641" s="9" t="s">
        <v>3</v>
      </c>
      <c r="K2641" s="8">
        <v>0</v>
      </c>
    </row>
    <row r="2642" spans="1:11">
      <c r="A2642" s="2" t="s">
        <v>3546</v>
      </c>
      <c r="B2642" s="2" t="s">
        <v>3999</v>
      </c>
      <c r="C2642" s="9">
        <v>10100309</v>
      </c>
      <c r="D2642" s="2" t="s">
        <v>4002</v>
      </c>
      <c r="E2642" s="10">
        <v>6</v>
      </c>
      <c r="F2642" s="9" t="s">
        <v>776</v>
      </c>
      <c r="G2642" s="11">
        <v>46238</v>
      </c>
      <c r="H2642" s="12">
        <v>29.77</v>
      </c>
      <c r="I2642" s="12">
        <v>27.39</v>
      </c>
      <c r="J2642" s="9" t="s">
        <v>3</v>
      </c>
      <c r="K2642" s="8">
        <v>0</v>
      </c>
    </row>
    <row r="2643" spans="1:11">
      <c r="A2643" s="2" t="s">
        <v>3546</v>
      </c>
      <c r="B2643" s="2" t="s">
        <v>3999</v>
      </c>
      <c r="C2643" s="9">
        <v>10100310</v>
      </c>
      <c r="D2643" s="2" t="s">
        <v>4003</v>
      </c>
      <c r="E2643" s="10">
        <v>6</v>
      </c>
      <c r="F2643" s="9" t="s">
        <v>776</v>
      </c>
      <c r="G2643" s="11">
        <v>46238</v>
      </c>
      <c r="H2643" s="12">
        <v>29.77</v>
      </c>
      <c r="I2643" s="12">
        <v>27.39</v>
      </c>
      <c r="J2643" s="9" t="s">
        <v>3</v>
      </c>
      <c r="K2643" s="8">
        <v>0</v>
      </c>
    </row>
    <row r="2644" spans="1:11">
      <c r="A2644" s="2" t="s">
        <v>3546</v>
      </c>
      <c r="B2644" s="2" t="s">
        <v>3999</v>
      </c>
      <c r="C2644" s="9">
        <v>10100311</v>
      </c>
      <c r="D2644" s="2" t="s">
        <v>4004</v>
      </c>
      <c r="E2644" s="10">
        <v>6</v>
      </c>
      <c r="F2644" s="9" t="s">
        <v>4005</v>
      </c>
      <c r="G2644" s="11">
        <v>46238</v>
      </c>
      <c r="H2644" s="12">
        <v>29.77</v>
      </c>
      <c r="I2644" s="12">
        <v>27.39</v>
      </c>
      <c r="J2644" s="9" t="s">
        <v>3</v>
      </c>
      <c r="K2644" s="8">
        <v>0</v>
      </c>
    </row>
    <row r="2645" spans="1:11">
      <c r="A2645" s="2" t="s">
        <v>3546</v>
      </c>
      <c r="B2645" s="2" t="s">
        <v>3999</v>
      </c>
      <c r="C2645" s="9">
        <v>10100312</v>
      </c>
      <c r="D2645" s="2" t="s">
        <v>4006</v>
      </c>
      <c r="E2645" s="10">
        <v>6</v>
      </c>
      <c r="F2645" s="9" t="s">
        <v>4005</v>
      </c>
      <c r="G2645" s="11">
        <v>46238</v>
      </c>
      <c r="H2645" s="12">
        <v>29.77</v>
      </c>
      <c r="I2645" s="12">
        <v>27.39</v>
      </c>
      <c r="J2645" s="9" t="s">
        <v>3</v>
      </c>
      <c r="K2645" s="8">
        <v>0</v>
      </c>
    </row>
    <row r="2646" spans="1:11">
      <c r="A2646" s="2" t="s">
        <v>3546</v>
      </c>
      <c r="B2646" s="2" t="s">
        <v>3999</v>
      </c>
      <c r="C2646" s="9">
        <v>10100313</v>
      </c>
      <c r="D2646" s="2" t="s">
        <v>4007</v>
      </c>
      <c r="E2646" s="10">
        <v>6</v>
      </c>
      <c r="F2646" s="9" t="s">
        <v>4005</v>
      </c>
      <c r="G2646" s="11">
        <v>46238</v>
      </c>
      <c r="H2646" s="12">
        <v>29.77</v>
      </c>
      <c r="I2646" s="12">
        <v>27.39</v>
      </c>
      <c r="J2646" s="9" t="s">
        <v>3</v>
      </c>
      <c r="K2646" s="8">
        <v>0</v>
      </c>
    </row>
    <row r="2647" spans="1:11">
      <c r="A2647" s="2" t="s">
        <v>3546</v>
      </c>
      <c r="B2647" s="2" t="s">
        <v>3999</v>
      </c>
      <c r="C2647" s="9">
        <v>10100314</v>
      </c>
      <c r="D2647" s="2" t="s">
        <v>4008</v>
      </c>
      <c r="E2647" s="10">
        <v>6</v>
      </c>
      <c r="F2647" s="9" t="s">
        <v>4005</v>
      </c>
      <c r="G2647" s="11">
        <v>46238</v>
      </c>
      <c r="H2647" s="12">
        <v>36.450000000000003</v>
      </c>
      <c r="I2647" s="12">
        <v>33.53</v>
      </c>
      <c r="J2647" s="9" t="s">
        <v>3</v>
      </c>
      <c r="K2647" s="8">
        <v>0</v>
      </c>
    </row>
    <row r="2648" spans="1:11">
      <c r="A2648" s="2" t="s">
        <v>3546</v>
      </c>
      <c r="B2648" s="2" t="s">
        <v>3999</v>
      </c>
      <c r="C2648" s="9">
        <v>10100315</v>
      </c>
      <c r="D2648" s="2" t="s">
        <v>4009</v>
      </c>
      <c r="E2648" s="10">
        <v>6</v>
      </c>
      <c r="F2648" s="9" t="s">
        <v>4005</v>
      </c>
      <c r="G2648" s="11">
        <v>46238</v>
      </c>
      <c r="H2648" s="12">
        <v>29.77</v>
      </c>
      <c r="I2648" s="12">
        <v>27.39</v>
      </c>
      <c r="J2648" s="9" t="s">
        <v>3</v>
      </c>
      <c r="K2648" s="8">
        <v>0</v>
      </c>
    </row>
    <row r="2649" spans="1:11">
      <c r="A2649" s="2" t="s">
        <v>3546</v>
      </c>
      <c r="B2649" s="2" t="s">
        <v>3999</v>
      </c>
      <c r="C2649" s="9">
        <v>10100316</v>
      </c>
      <c r="D2649" s="2" t="s">
        <v>4010</v>
      </c>
      <c r="E2649" s="10">
        <v>6</v>
      </c>
      <c r="F2649" s="9" t="s">
        <v>4005</v>
      </c>
      <c r="G2649" s="11">
        <v>46238</v>
      </c>
      <c r="H2649" s="12">
        <v>29.77</v>
      </c>
      <c r="I2649" s="12">
        <v>27.39</v>
      </c>
      <c r="J2649" s="9" t="s">
        <v>3</v>
      </c>
      <c r="K2649" s="8">
        <v>0</v>
      </c>
    </row>
    <row r="2650" spans="1:11">
      <c r="A2650" s="2" t="s">
        <v>3546</v>
      </c>
      <c r="B2650" s="2" t="s">
        <v>3999</v>
      </c>
      <c r="C2650" s="9">
        <v>10100317</v>
      </c>
      <c r="D2650" s="2" t="s">
        <v>4011</v>
      </c>
      <c r="E2650" s="10">
        <v>6</v>
      </c>
      <c r="F2650" s="9" t="s">
        <v>4005</v>
      </c>
      <c r="G2650" s="11">
        <v>46238</v>
      </c>
      <c r="H2650" s="12">
        <v>29.77</v>
      </c>
      <c r="I2650" s="12">
        <v>27.39</v>
      </c>
      <c r="J2650" s="9" t="s">
        <v>3</v>
      </c>
      <c r="K2650" s="8">
        <v>0</v>
      </c>
    </row>
    <row r="2651" spans="1:11">
      <c r="A2651" s="2" t="s">
        <v>3546</v>
      </c>
      <c r="B2651" s="2" t="s">
        <v>3999</v>
      </c>
      <c r="C2651" s="9">
        <v>10100318</v>
      </c>
      <c r="D2651" s="2" t="s">
        <v>4012</v>
      </c>
      <c r="E2651" s="10">
        <v>6</v>
      </c>
      <c r="F2651" s="9" t="s">
        <v>811</v>
      </c>
      <c r="G2651" s="11">
        <v>46238</v>
      </c>
      <c r="H2651" s="12">
        <v>36.450000000000003</v>
      </c>
      <c r="I2651" s="12">
        <v>33.53</v>
      </c>
      <c r="J2651" s="9" t="s">
        <v>3</v>
      </c>
      <c r="K2651" s="8">
        <v>0</v>
      </c>
    </row>
    <row r="2652" spans="1:11">
      <c r="A2652" s="2" t="s">
        <v>3546</v>
      </c>
      <c r="B2652" s="2" t="s">
        <v>3999</v>
      </c>
      <c r="C2652" s="9">
        <v>10100320</v>
      </c>
      <c r="D2652" s="2" t="s">
        <v>4013</v>
      </c>
      <c r="E2652" s="10">
        <v>6</v>
      </c>
      <c r="F2652" s="9" t="s">
        <v>4014</v>
      </c>
      <c r="G2652" s="11">
        <v>46238</v>
      </c>
      <c r="H2652" s="12">
        <v>93.2</v>
      </c>
      <c r="I2652" s="12">
        <v>85.74</v>
      </c>
      <c r="J2652" s="9" t="s">
        <v>3</v>
      </c>
      <c r="K2652" s="8">
        <v>0</v>
      </c>
    </row>
    <row r="2653" spans="1:11">
      <c r="A2653" s="2" t="s">
        <v>3546</v>
      </c>
      <c r="B2653" s="2" t="s">
        <v>3999</v>
      </c>
      <c r="C2653" s="9">
        <v>10100321</v>
      </c>
      <c r="D2653" s="2" t="s">
        <v>4015</v>
      </c>
      <c r="E2653" s="10">
        <v>6</v>
      </c>
      <c r="F2653" s="9" t="s">
        <v>4014</v>
      </c>
      <c r="G2653" s="11">
        <v>46238</v>
      </c>
      <c r="H2653" s="12">
        <v>93.2</v>
      </c>
      <c r="I2653" s="12">
        <v>85.74</v>
      </c>
      <c r="J2653" s="9" t="s">
        <v>3</v>
      </c>
      <c r="K2653" s="8">
        <v>0</v>
      </c>
    </row>
    <row r="2654" spans="1:11">
      <c r="A2654" s="2" t="s">
        <v>3546</v>
      </c>
      <c r="B2654" s="2" t="s">
        <v>3999</v>
      </c>
      <c r="C2654" s="9">
        <v>10100322</v>
      </c>
      <c r="D2654" s="2" t="s">
        <v>4016</v>
      </c>
      <c r="E2654" s="10">
        <v>6</v>
      </c>
      <c r="F2654" s="9" t="s">
        <v>763</v>
      </c>
      <c r="G2654" s="11">
        <v>46238</v>
      </c>
      <c r="H2654" s="12">
        <v>46.58</v>
      </c>
      <c r="I2654" s="12">
        <v>42.85</v>
      </c>
      <c r="J2654" s="9" t="s">
        <v>3</v>
      </c>
      <c r="K2654" s="8">
        <v>0</v>
      </c>
    </row>
    <row r="2655" spans="1:11">
      <c r="A2655" s="2" t="s">
        <v>3546</v>
      </c>
      <c r="B2655" s="2" t="s">
        <v>3999</v>
      </c>
      <c r="C2655" s="9">
        <v>10100323</v>
      </c>
      <c r="D2655" s="2" t="s">
        <v>4017</v>
      </c>
      <c r="E2655" s="10">
        <v>6</v>
      </c>
      <c r="F2655" s="9" t="s">
        <v>763</v>
      </c>
      <c r="G2655" s="11">
        <v>46238</v>
      </c>
      <c r="H2655" s="12">
        <v>46.58</v>
      </c>
      <c r="I2655" s="12">
        <v>42.85</v>
      </c>
      <c r="J2655" s="9" t="s">
        <v>3</v>
      </c>
      <c r="K2655" s="8">
        <v>0</v>
      </c>
    </row>
    <row r="2656" spans="1:11">
      <c r="A2656" s="2" t="s">
        <v>3546</v>
      </c>
      <c r="B2656" s="2" t="s">
        <v>3999</v>
      </c>
      <c r="C2656" s="9">
        <v>10100324</v>
      </c>
      <c r="D2656" s="2" t="s">
        <v>4018</v>
      </c>
      <c r="E2656" s="10">
        <v>6</v>
      </c>
      <c r="F2656" s="9" t="s">
        <v>759</v>
      </c>
      <c r="G2656" s="11">
        <v>46238</v>
      </c>
      <c r="H2656" s="12">
        <v>46.59</v>
      </c>
      <c r="I2656" s="12">
        <v>42.86</v>
      </c>
      <c r="J2656" s="9" t="s">
        <v>3</v>
      </c>
      <c r="K2656" s="8">
        <v>0</v>
      </c>
    </row>
    <row r="2657" spans="1:11">
      <c r="A2657" s="2" t="s">
        <v>3546</v>
      </c>
      <c r="B2657" s="2" t="s">
        <v>3999</v>
      </c>
      <c r="C2657" s="9">
        <v>10100325</v>
      </c>
      <c r="D2657" s="2" t="s">
        <v>4019</v>
      </c>
      <c r="E2657" s="10">
        <v>6</v>
      </c>
      <c r="F2657" s="9" t="s">
        <v>759</v>
      </c>
      <c r="G2657" s="11">
        <v>46238</v>
      </c>
      <c r="H2657" s="12">
        <v>46.59</v>
      </c>
      <c r="I2657" s="12">
        <v>42.86</v>
      </c>
      <c r="J2657" s="9" t="s">
        <v>3</v>
      </c>
      <c r="K2657" s="8">
        <v>0</v>
      </c>
    </row>
    <row r="2658" spans="1:11">
      <c r="A2658" s="2" t="s">
        <v>3546</v>
      </c>
      <c r="B2658" s="2" t="s">
        <v>3999</v>
      </c>
      <c r="C2658" s="9">
        <v>10100326</v>
      </c>
      <c r="D2658" s="2" t="s">
        <v>4020</v>
      </c>
      <c r="E2658" s="10">
        <v>6</v>
      </c>
      <c r="F2658" s="9" t="s">
        <v>759</v>
      </c>
      <c r="G2658" s="11">
        <v>46238</v>
      </c>
      <c r="H2658" s="12">
        <v>46.59</v>
      </c>
      <c r="I2658" s="12">
        <v>42.86</v>
      </c>
      <c r="J2658" s="9" t="s">
        <v>3</v>
      </c>
      <c r="K2658" s="8">
        <v>0</v>
      </c>
    </row>
    <row r="2659" spans="1:11">
      <c r="A2659" s="2" t="s">
        <v>3546</v>
      </c>
      <c r="B2659" s="2" t="s">
        <v>3999</v>
      </c>
      <c r="C2659" s="9">
        <v>10100327</v>
      </c>
      <c r="D2659" s="2" t="s">
        <v>4021</v>
      </c>
      <c r="E2659" s="10">
        <v>6</v>
      </c>
      <c r="F2659" s="9" t="s">
        <v>759</v>
      </c>
      <c r="G2659" s="11">
        <v>46238</v>
      </c>
      <c r="H2659" s="12">
        <v>46.59</v>
      </c>
      <c r="I2659" s="12">
        <v>42.86</v>
      </c>
      <c r="J2659" s="9" t="s">
        <v>3</v>
      </c>
      <c r="K2659" s="8">
        <v>0</v>
      </c>
    </row>
    <row r="2660" spans="1:11">
      <c r="A2660" s="2" t="s">
        <v>3546</v>
      </c>
      <c r="B2660" s="2" t="s">
        <v>3999</v>
      </c>
      <c r="C2660" s="9">
        <v>10100328</v>
      </c>
      <c r="D2660" s="2" t="s">
        <v>4022</v>
      </c>
      <c r="E2660" s="10">
        <v>6</v>
      </c>
      <c r="F2660" s="9" t="s">
        <v>759</v>
      </c>
      <c r="G2660" s="11">
        <v>46238</v>
      </c>
      <c r="H2660" s="12">
        <v>46.59</v>
      </c>
      <c r="I2660" s="12">
        <v>42.86</v>
      </c>
      <c r="J2660" s="9" t="s">
        <v>3</v>
      </c>
      <c r="K2660" s="8">
        <v>0</v>
      </c>
    </row>
    <row r="2661" spans="1:11">
      <c r="A2661" s="2" t="s">
        <v>1120</v>
      </c>
      <c r="B2661" s="2" t="s">
        <v>1121</v>
      </c>
      <c r="C2661" s="9">
        <v>10100329</v>
      </c>
      <c r="D2661" s="2" t="s">
        <v>4023</v>
      </c>
      <c r="E2661" s="10">
        <v>1</v>
      </c>
      <c r="F2661" s="9" t="s">
        <v>1129</v>
      </c>
      <c r="G2661" s="11">
        <v>46238</v>
      </c>
      <c r="H2661" s="12">
        <v>43.93</v>
      </c>
      <c r="I2661" s="12">
        <v>39.1</v>
      </c>
      <c r="J2661" s="9" t="s">
        <v>3</v>
      </c>
      <c r="K2661" s="8">
        <v>0</v>
      </c>
    </row>
    <row r="2662" spans="1:11">
      <c r="A2662" s="2" t="s">
        <v>3583</v>
      </c>
      <c r="B2662" s="2" t="s">
        <v>3584</v>
      </c>
      <c r="C2662" s="9">
        <v>10100330</v>
      </c>
      <c r="D2662" s="2" t="s">
        <v>4024</v>
      </c>
      <c r="E2662" s="10">
        <v>5</v>
      </c>
      <c r="F2662" s="9" t="s">
        <v>2201</v>
      </c>
      <c r="G2662" s="11">
        <v>46238</v>
      </c>
      <c r="H2662" s="12">
        <v>101.69</v>
      </c>
      <c r="I2662" s="12">
        <v>90.5</v>
      </c>
      <c r="J2662" s="9" t="s">
        <v>3</v>
      </c>
      <c r="K2662" s="8">
        <v>0</v>
      </c>
    </row>
    <row r="2663" spans="1:11">
      <c r="A2663" s="2" t="s">
        <v>3583</v>
      </c>
      <c r="B2663" s="2" t="s">
        <v>3584</v>
      </c>
      <c r="C2663" s="9">
        <v>10100331</v>
      </c>
      <c r="D2663" s="2" t="s">
        <v>4025</v>
      </c>
      <c r="E2663" s="10">
        <v>5</v>
      </c>
      <c r="F2663" s="9" t="s">
        <v>2201</v>
      </c>
      <c r="G2663" s="11">
        <v>46238</v>
      </c>
      <c r="H2663" s="12">
        <v>101.69</v>
      </c>
      <c r="I2663" s="12">
        <v>90.5</v>
      </c>
      <c r="J2663" s="9" t="s">
        <v>3</v>
      </c>
      <c r="K2663" s="8">
        <v>0</v>
      </c>
    </row>
    <row r="2664" spans="1:11">
      <c r="A2664" s="2" t="s">
        <v>891</v>
      </c>
      <c r="B2664" s="2" t="s">
        <v>2637</v>
      </c>
      <c r="C2664" s="9">
        <v>10100332</v>
      </c>
      <c r="D2664" s="2" t="s">
        <v>2667</v>
      </c>
      <c r="E2664" s="10">
        <v>1</v>
      </c>
      <c r="F2664" s="9" t="s">
        <v>2357</v>
      </c>
      <c r="G2664" s="11">
        <v>46238</v>
      </c>
      <c r="H2664" s="12">
        <v>57.94</v>
      </c>
      <c r="I2664" s="12">
        <v>51.57</v>
      </c>
      <c r="J2664" s="9" t="s">
        <v>3</v>
      </c>
      <c r="K2664" s="8">
        <v>0</v>
      </c>
    </row>
    <row r="2665" spans="1:11">
      <c r="A2665" s="2" t="s">
        <v>891</v>
      </c>
      <c r="B2665" s="2" t="s">
        <v>2637</v>
      </c>
      <c r="C2665" s="9">
        <v>10100333</v>
      </c>
      <c r="D2665" s="2" t="s">
        <v>4026</v>
      </c>
      <c r="E2665" s="10">
        <v>1</v>
      </c>
      <c r="F2665" s="9" t="s">
        <v>2655</v>
      </c>
      <c r="G2665" s="11">
        <v>46238</v>
      </c>
      <c r="H2665" s="12">
        <v>45.84</v>
      </c>
      <c r="I2665" s="12">
        <v>40.799999999999997</v>
      </c>
      <c r="J2665" s="9" t="s">
        <v>3</v>
      </c>
      <c r="K2665" s="8">
        <v>0</v>
      </c>
    </row>
    <row r="2666" spans="1:11">
      <c r="A2666" s="2" t="s">
        <v>891</v>
      </c>
      <c r="B2666" s="2" t="s">
        <v>2637</v>
      </c>
      <c r="C2666" s="9">
        <v>10100334</v>
      </c>
      <c r="D2666" s="2" t="s">
        <v>4027</v>
      </c>
      <c r="E2666" s="10">
        <v>1</v>
      </c>
      <c r="F2666" s="9" t="s">
        <v>2655</v>
      </c>
      <c r="G2666" s="11">
        <v>46238</v>
      </c>
      <c r="H2666" s="12">
        <v>47.57</v>
      </c>
      <c r="I2666" s="12">
        <v>42.34</v>
      </c>
      <c r="J2666" s="9" t="s">
        <v>3</v>
      </c>
      <c r="K2666" s="8">
        <v>0</v>
      </c>
    </row>
    <row r="2667" spans="1:11">
      <c r="A2667" s="2" t="s">
        <v>834</v>
      </c>
      <c r="B2667" s="2" t="s">
        <v>3793</v>
      </c>
      <c r="C2667" s="9">
        <v>10100335</v>
      </c>
      <c r="D2667" s="2" t="s">
        <v>4028</v>
      </c>
      <c r="E2667" s="10">
        <v>2</v>
      </c>
      <c r="F2667" s="9" t="s">
        <v>863</v>
      </c>
      <c r="G2667" s="11">
        <v>46238</v>
      </c>
      <c r="H2667" s="12">
        <v>35.36</v>
      </c>
      <c r="I2667" s="12">
        <v>31.47</v>
      </c>
      <c r="J2667" s="9" t="s">
        <v>3</v>
      </c>
      <c r="K2667" s="8">
        <v>1</v>
      </c>
    </row>
    <row r="2668" spans="1:11">
      <c r="A2668" s="2" t="s">
        <v>2740</v>
      </c>
      <c r="B2668" s="2" t="s">
        <v>2761</v>
      </c>
      <c r="C2668" s="9">
        <v>10100337</v>
      </c>
      <c r="D2668" s="2" t="s">
        <v>4029</v>
      </c>
      <c r="E2668" s="10">
        <v>1</v>
      </c>
      <c r="F2668" s="9" t="s">
        <v>4030</v>
      </c>
      <c r="G2668" s="11">
        <v>46238</v>
      </c>
      <c r="H2668" s="12">
        <v>0</v>
      </c>
      <c r="I2668" s="12">
        <v>0</v>
      </c>
      <c r="J2668" s="9" t="s">
        <v>3</v>
      </c>
      <c r="K2668" s="8">
        <v>0</v>
      </c>
    </row>
    <row r="2669" spans="1:11">
      <c r="A2669" s="2" t="s">
        <v>891</v>
      </c>
      <c r="B2669" s="2" t="s">
        <v>3248</v>
      </c>
      <c r="C2669" s="9">
        <v>10100338</v>
      </c>
      <c r="D2669" s="2" t="s">
        <v>4031</v>
      </c>
      <c r="E2669" s="10">
        <v>80</v>
      </c>
      <c r="F2669" s="9" t="s">
        <v>979</v>
      </c>
      <c r="G2669" s="11">
        <v>46238</v>
      </c>
      <c r="H2669" s="12">
        <v>141.47</v>
      </c>
      <c r="I2669" s="12">
        <v>123.08</v>
      </c>
      <c r="J2669" s="9" t="s">
        <v>3</v>
      </c>
      <c r="K2669" s="8">
        <v>0</v>
      </c>
    </row>
    <row r="2670" spans="1:11">
      <c r="A2670" s="2" t="s">
        <v>663</v>
      </c>
      <c r="B2670" s="2" t="s">
        <v>664</v>
      </c>
      <c r="C2670" s="9">
        <v>10100339</v>
      </c>
      <c r="D2670" s="2" t="s">
        <v>4032</v>
      </c>
      <c r="E2670" s="10">
        <v>12</v>
      </c>
      <c r="F2670" s="9" t="s">
        <v>666</v>
      </c>
      <c r="G2670" s="11">
        <v>46238</v>
      </c>
      <c r="H2670" s="12">
        <v>41.09</v>
      </c>
      <c r="I2670" s="12">
        <v>36.57</v>
      </c>
      <c r="J2670" s="9" t="s">
        <v>3</v>
      </c>
      <c r="K2670" s="8">
        <v>0</v>
      </c>
    </row>
    <row r="2671" spans="1:11">
      <c r="A2671" s="2" t="s">
        <v>663</v>
      </c>
      <c r="B2671" s="2" t="s">
        <v>664</v>
      </c>
      <c r="C2671" s="9">
        <v>10100340</v>
      </c>
      <c r="D2671" s="2" t="s">
        <v>4033</v>
      </c>
      <c r="E2671" s="10">
        <v>12</v>
      </c>
      <c r="F2671" s="9" t="s">
        <v>666</v>
      </c>
      <c r="G2671" s="11">
        <v>46238</v>
      </c>
      <c r="H2671" s="12">
        <v>41.09</v>
      </c>
      <c r="I2671" s="12">
        <v>36.57</v>
      </c>
      <c r="J2671" s="9" t="s">
        <v>3</v>
      </c>
      <c r="K2671" s="8">
        <v>0</v>
      </c>
    </row>
    <row r="2672" spans="1:11">
      <c r="A2672" s="2" t="s">
        <v>663</v>
      </c>
      <c r="B2672" s="2" t="s">
        <v>664</v>
      </c>
      <c r="C2672" s="9">
        <v>10100341</v>
      </c>
      <c r="D2672" s="2" t="s">
        <v>4034</v>
      </c>
      <c r="E2672" s="10">
        <v>12</v>
      </c>
      <c r="F2672" s="9" t="s">
        <v>666</v>
      </c>
      <c r="G2672" s="11">
        <v>46238</v>
      </c>
      <c r="H2672" s="12">
        <v>41.09</v>
      </c>
      <c r="I2672" s="12">
        <v>36.57</v>
      </c>
      <c r="J2672" s="9" t="s">
        <v>3</v>
      </c>
      <c r="K2672" s="8">
        <v>0</v>
      </c>
    </row>
    <row r="2673" spans="1:11">
      <c r="A2673" s="2" t="s">
        <v>663</v>
      </c>
      <c r="B2673" s="2" t="s">
        <v>664</v>
      </c>
      <c r="C2673" s="9">
        <v>10100342</v>
      </c>
      <c r="D2673" s="2" t="s">
        <v>4035</v>
      </c>
      <c r="E2673" s="10">
        <v>12</v>
      </c>
      <c r="F2673" s="9" t="s">
        <v>666</v>
      </c>
      <c r="G2673" s="11">
        <v>46238</v>
      </c>
      <c r="H2673" s="12">
        <v>41.09</v>
      </c>
      <c r="I2673" s="12">
        <v>36.57</v>
      </c>
      <c r="J2673" s="9" t="s">
        <v>3</v>
      </c>
      <c r="K2673" s="8">
        <v>0</v>
      </c>
    </row>
    <row r="2674" spans="1:11">
      <c r="A2674" s="2" t="s">
        <v>663</v>
      </c>
      <c r="B2674" s="2" t="s">
        <v>664</v>
      </c>
      <c r="C2674" s="9">
        <v>10100343</v>
      </c>
      <c r="D2674" s="2" t="s">
        <v>4036</v>
      </c>
      <c r="E2674" s="10">
        <v>12</v>
      </c>
      <c r="F2674" s="9" t="s">
        <v>666</v>
      </c>
      <c r="G2674" s="11">
        <v>46238</v>
      </c>
      <c r="H2674" s="12">
        <v>41.09</v>
      </c>
      <c r="I2674" s="12">
        <v>36.57</v>
      </c>
      <c r="J2674" s="9" t="s">
        <v>3</v>
      </c>
      <c r="K2674" s="8">
        <v>0</v>
      </c>
    </row>
    <row r="2675" spans="1:11">
      <c r="A2675" s="2" t="s">
        <v>663</v>
      </c>
      <c r="B2675" s="2" t="s">
        <v>664</v>
      </c>
      <c r="C2675" s="9">
        <v>10100344</v>
      </c>
      <c r="D2675" s="2" t="s">
        <v>4037</v>
      </c>
      <c r="E2675" s="10">
        <v>12</v>
      </c>
      <c r="F2675" s="9" t="s">
        <v>666</v>
      </c>
      <c r="G2675" s="11">
        <v>46238</v>
      </c>
      <c r="H2675" s="12">
        <v>41.09</v>
      </c>
      <c r="I2675" s="12">
        <v>36.57</v>
      </c>
      <c r="J2675" s="9" t="s">
        <v>3</v>
      </c>
      <c r="K2675" s="8">
        <v>0</v>
      </c>
    </row>
    <row r="2676" spans="1:11">
      <c r="A2676" s="2" t="s">
        <v>906</v>
      </c>
      <c r="B2676" s="2" t="s">
        <v>983</v>
      </c>
      <c r="C2676" s="9">
        <v>10100345</v>
      </c>
      <c r="D2676" s="2" t="s">
        <v>4038</v>
      </c>
      <c r="E2676" s="10">
        <v>12</v>
      </c>
      <c r="F2676" s="9" t="s">
        <v>985</v>
      </c>
      <c r="G2676" s="11">
        <v>46238</v>
      </c>
      <c r="H2676" s="12">
        <v>55.25</v>
      </c>
      <c r="I2676" s="12">
        <v>50.83</v>
      </c>
      <c r="J2676" s="9" t="s">
        <v>3</v>
      </c>
      <c r="K2676" s="8">
        <v>0</v>
      </c>
    </row>
    <row r="2677" spans="1:11">
      <c r="A2677" s="2" t="s">
        <v>906</v>
      </c>
      <c r="B2677" s="2" t="s">
        <v>983</v>
      </c>
      <c r="C2677" s="9">
        <v>10100346</v>
      </c>
      <c r="D2677" s="2" t="s">
        <v>4039</v>
      </c>
      <c r="E2677" s="10">
        <v>12</v>
      </c>
      <c r="F2677" s="9" t="s">
        <v>985</v>
      </c>
      <c r="G2677" s="11">
        <v>46238</v>
      </c>
      <c r="H2677" s="12">
        <v>56.35</v>
      </c>
      <c r="I2677" s="12">
        <v>51.84</v>
      </c>
      <c r="J2677" s="9" t="s">
        <v>3</v>
      </c>
      <c r="K2677" s="8">
        <v>0</v>
      </c>
    </row>
    <row r="2678" spans="1:11">
      <c r="A2678" s="2" t="s">
        <v>906</v>
      </c>
      <c r="B2678" s="2" t="s">
        <v>983</v>
      </c>
      <c r="C2678" s="9">
        <v>10100347</v>
      </c>
      <c r="D2678" s="2" t="s">
        <v>4040</v>
      </c>
      <c r="E2678" s="10">
        <v>12</v>
      </c>
      <c r="F2678" s="9" t="s">
        <v>1158</v>
      </c>
      <c r="G2678" s="11">
        <v>46238</v>
      </c>
      <c r="H2678" s="12">
        <v>117.76</v>
      </c>
      <c r="I2678" s="12">
        <v>108.34</v>
      </c>
      <c r="J2678" s="9" t="s">
        <v>3</v>
      </c>
      <c r="K2678" s="8">
        <v>0</v>
      </c>
    </row>
    <row r="2679" spans="1:11">
      <c r="A2679" s="2" t="s">
        <v>906</v>
      </c>
      <c r="B2679" s="2" t="s">
        <v>983</v>
      </c>
      <c r="C2679" s="9">
        <v>10100348</v>
      </c>
      <c r="D2679" s="2" t="s">
        <v>4041</v>
      </c>
      <c r="E2679" s="10">
        <v>12</v>
      </c>
      <c r="F2679" s="9" t="s">
        <v>1158</v>
      </c>
      <c r="G2679" s="11">
        <v>46238</v>
      </c>
      <c r="H2679" s="12">
        <v>122.01</v>
      </c>
      <c r="I2679" s="12">
        <v>112.25</v>
      </c>
      <c r="J2679" s="9" t="s">
        <v>3</v>
      </c>
      <c r="K2679" s="8">
        <v>0</v>
      </c>
    </row>
    <row r="2680" spans="1:11">
      <c r="A2680" s="2" t="s">
        <v>949</v>
      </c>
      <c r="B2680" s="2" t="s">
        <v>1003</v>
      </c>
      <c r="C2680" s="9">
        <v>10100349</v>
      </c>
      <c r="D2680" s="2" t="s">
        <v>4042</v>
      </c>
      <c r="E2680" s="10">
        <v>12</v>
      </c>
      <c r="F2680" s="9" t="s">
        <v>955</v>
      </c>
      <c r="G2680" s="11">
        <v>46238</v>
      </c>
      <c r="H2680" s="12">
        <v>102.03</v>
      </c>
      <c r="I2680" s="12">
        <v>90.81</v>
      </c>
      <c r="J2680" s="9" t="s">
        <v>3</v>
      </c>
      <c r="K2680" s="8">
        <v>0</v>
      </c>
    </row>
    <row r="2681" spans="1:11">
      <c r="A2681" s="2" t="s">
        <v>906</v>
      </c>
      <c r="B2681" s="2" t="s">
        <v>4043</v>
      </c>
      <c r="C2681" s="9">
        <v>10100350</v>
      </c>
      <c r="D2681" s="2" t="s">
        <v>4044</v>
      </c>
      <c r="E2681" s="10">
        <v>6</v>
      </c>
      <c r="F2681" s="9" t="s">
        <v>1584</v>
      </c>
      <c r="G2681" s="11">
        <v>46238</v>
      </c>
      <c r="H2681" s="12">
        <v>33.78</v>
      </c>
      <c r="I2681" s="12">
        <v>31.08</v>
      </c>
      <c r="J2681" s="9" t="s">
        <v>3</v>
      </c>
      <c r="K2681" s="8">
        <v>1</v>
      </c>
    </row>
    <row r="2682" spans="1:11">
      <c r="A2682" s="2" t="s">
        <v>906</v>
      </c>
      <c r="B2682" s="2" t="s">
        <v>4043</v>
      </c>
      <c r="C2682" s="9">
        <v>10100351</v>
      </c>
      <c r="D2682" s="2" t="s">
        <v>4045</v>
      </c>
      <c r="E2682" s="10">
        <v>12</v>
      </c>
      <c r="F2682" s="9" t="s">
        <v>776</v>
      </c>
      <c r="G2682" s="11">
        <v>46238</v>
      </c>
      <c r="H2682" s="12">
        <v>31.57</v>
      </c>
      <c r="I2682" s="12">
        <v>29.04</v>
      </c>
      <c r="J2682" s="9" t="s">
        <v>3</v>
      </c>
      <c r="K2682" s="8">
        <v>1</v>
      </c>
    </row>
    <row r="2683" spans="1:11">
      <c r="A2683" s="2" t="s">
        <v>906</v>
      </c>
      <c r="B2683" s="2" t="s">
        <v>4043</v>
      </c>
      <c r="C2683" s="9">
        <v>10100352</v>
      </c>
      <c r="D2683" s="2" t="s">
        <v>4046</v>
      </c>
      <c r="E2683" s="10">
        <v>6</v>
      </c>
      <c r="F2683" s="9" t="s">
        <v>1584</v>
      </c>
      <c r="G2683" s="11">
        <v>46238</v>
      </c>
      <c r="H2683" s="12">
        <v>31.37</v>
      </c>
      <c r="I2683" s="12">
        <v>28.86</v>
      </c>
      <c r="J2683" s="9" t="s">
        <v>3</v>
      </c>
      <c r="K2683" s="8">
        <v>1</v>
      </c>
    </row>
    <row r="2684" spans="1:11">
      <c r="A2684" s="2" t="s">
        <v>2740</v>
      </c>
      <c r="B2684" s="2" t="s">
        <v>2761</v>
      </c>
      <c r="C2684" s="9">
        <v>10100353</v>
      </c>
      <c r="D2684" s="2" t="s">
        <v>4047</v>
      </c>
      <c r="E2684" s="10">
        <v>1</v>
      </c>
      <c r="F2684" s="9" t="s">
        <v>4048</v>
      </c>
      <c r="G2684" s="11">
        <v>46238</v>
      </c>
      <c r="H2684" s="12">
        <v>0</v>
      </c>
      <c r="I2684" s="12">
        <v>0</v>
      </c>
      <c r="J2684" s="9" t="s">
        <v>3</v>
      </c>
      <c r="K2684" s="8">
        <v>0</v>
      </c>
    </row>
    <row r="2685" spans="1:11">
      <c r="A2685" s="2" t="s">
        <v>1319</v>
      </c>
      <c r="B2685" s="2" t="s">
        <v>1320</v>
      </c>
      <c r="C2685" s="9">
        <v>10100355</v>
      </c>
      <c r="D2685" s="2" t="s">
        <v>4049</v>
      </c>
      <c r="E2685" s="10">
        <v>1</v>
      </c>
      <c r="F2685" s="9" t="s">
        <v>837</v>
      </c>
      <c r="G2685" s="11">
        <v>46238</v>
      </c>
      <c r="H2685" s="12">
        <v>21.82</v>
      </c>
      <c r="I2685" s="12">
        <v>21.82</v>
      </c>
      <c r="J2685" s="9" t="s">
        <v>3</v>
      </c>
      <c r="K2685" s="8">
        <v>1</v>
      </c>
    </row>
    <row r="2686" spans="1:11">
      <c r="A2686" s="2" t="s">
        <v>1319</v>
      </c>
      <c r="B2686" s="2" t="s">
        <v>1320</v>
      </c>
      <c r="C2686" s="9">
        <v>10100356</v>
      </c>
      <c r="D2686" s="2" t="s">
        <v>4050</v>
      </c>
      <c r="E2686" s="10">
        <v>1</v>
      </c>
      <c r="F2686" s="9" t="s">
        <v>837</v>
      </c>
      <c r="G2686" s="11">
        <v>46238</v>
      </c>
      <c r="H2686" s="12">
        <v>23.02</v>
      </c>
      <c r="I2686" s="12">
        <v>23.02</v>
      </c>
      <c r="J2686" s="9" t="s">
        <v>3</v>
      </c>
      <c r="K2686" s="8">
        <v>1</v>
      </c>
    </row>
    <row r="2687" spans="1:11">
      <c r="A2687" s="2" t="s">
        <v>1319</v>
      </c>
      <c r="B2687" s="2" t="s">
        <v>1320</v>
      </c>
      <c r="C2687" s="9">
        <v>10100357</v>
      </c>
      <c r="D2687" s="2" t="s">
        <v>4051</v>
      </c>
      <c r="E2687" s="10">
        <v>1</v>
      </c>
      <c r="F2687" s="9" t="s">
        <v>837</v>
      </c>
      <c r="G2687" s="11">
        <v>46238</v>
      </c>
      <c r="H2687" s="12">
        <v>23.02</v>
      </c>
      <c r="I2687" s="12">
        <v>23.02</v>
      </c>
      <c r="J2687" s="9" t="s">
        <v>3</v>
      </c>
      <c r="K2687" s="8">
        <v>1</v>
      </c>
    </row>
    <row r="2688" spans="1:11">
      <c r="A2688" s="2" t="s">
        <v>1319</v>
      </c>
      <c r="B2688" s="2" t="s">
        <v>1320</v>
      </c>
      <c r="C2688" s="9">
        <v>10100358</v>
      </c>
      <c r="D2688" s="2" t="s">
        <v>4052</v>
      </c>
      <c r="E2688" s="10">
        <v>1</v>
      </c>
      <c r="F2688" s="9" t="s">
        <v>837</v>
      </c>
      <c r="G2688" s="11">
        <v>46238</v>
      </c>
      <c r="H2688" s="12">
        <v>26.3</v>
      </c>
      <c r="I2688" s="12">
        <v>26.3</v>
      </c>
      <c r="J2688" s="9" t="s">
        <v>3</v>
      </c>
      <c r="K2688" s="8">
        <v>1</v>
      </c>
    </row>
    <row r="2689" spans="1:11">
      <c r="A2689" s="2" t="s">
        <v>1319</v>
      </c>
      <c r="B2689" s="2" t="s">
        <v>1320</v>
      </c>
      <c r="C2689" s="9">
        <v>10100359</v>
      </c>
      <c r="D2689" s="2" t="s">
        <v>4053</v>
      </c>
      <c r="E2689" s="10">
        <v>2</v>
      </c>
      <c r="F2689" s="9" t="s">
        <v>4054</v>
      </c>
      <c r="G2689" s="11">
        <v>46238</v>
      </c>
      <c r="H2689" s="12">
        <v>29.54</v>
      </c>
      <c r="I2689" s="12">
        <v>29.54</v>
      </c>
      <c r="J2689" s="9" t="s">
        <v>3</v>
      </c>
      <c r="K2689" s="8">
        <v>1</v>
      </c>
    </row>
    <row r="2690" spans="1:11">
      <c r="A2690" s="2" t="s">
        <v>1319</v>
      </c>
      <c r="B2690" s="2" t="s">
        <v>1320</v>
      </c>
      <c r="C2690" s="9">
        <v>10100360</v>
      </c>
      <c r="D2690" s="2" t="s">
        <v>4055</v>
      </c>
      <c r="E2690" s="10">
        <v>2</v>
      </c>
      <c r="F2690" s="9" t="s">
        <v>997</v>
      </c>
      <c r="G2690" s="11">
        <v>46238</v>
      </c>
      <c r="H2690" s="12">
        <v>41.82</v>
      </c>
      <c r="I2690" s="12">
        <v>41.82</v>
      </c>
      <c r="J2690" s="9" t="s">
        <v>3</v>
      </c>
      <c r="K2690" s="8">
        <v>1</v>
      </c>
    </row>
    <row r="2691" spans="1:11">
      <c r="A2691" s="2" t="s">
        <v>1319</v>
      </c>
      <c r="B2691" s="2" t="s">
        <v>1320</v>
      </c>
      <c r="C2691" s="9">
        <v>10100361</v>
      </c>
      <c r="D2691" s="2" t="s">
        <v>4056</v>
      </c>
      <c r="E2691" s="10">
        <v>2</v>
      </c>
      <c r="F2691" s="9" t="s">
        <v>1434</v>
      </c>
      <c r="G2691" s="11">
        <v>46238</v>
      </c>
      <c r="H2691" s="12">
        <v>20.64</v>
      </c>
      <c r="I2691" s="12">
        <v>20.64</v>
      </c>
      <c r="J2691" s="9" t="s">
        <v>3</v>
      </c>
      <c r="K2691" s="8">
        <v>1</v>
      </c>
    </row>
    <row r="2692" spans="1:11">
      <c r="A2692" s="2" t="s">
        <v>1319</v>
      </c>
      <c r="B2692" s="2" t="s">
        <v>1320</v>
      </c>
      <c r="C2692" s="9">
        <v>10100363</v>
      </c>
      <c r="D2692" s="2" t="s">
        <v>4057</v>
      </c>
      <c r="E2692" s="10">
        <v>12</v>
      </c>
      <c r="F2692" s="9" t="s">
        <v>985</v>
      </c>
      <c r="G2692" s="11">
        <v>46238</v>
      </c>
      <c r="H2692" s="12">
        <v>66.12</v>
      </c>
      <c r="I2692" s="12">
        <v>66.12</v>
      </c>
      <c r="J2692" s="9" t="s">
        <v>3</v>
      </c>
      <c r="K2692" s="8">
        <v>0</v>
      </c>
    </row>
    <row r="2693" spans="1:11">
      <c r="A2693" s="2" t="s">
        <v>1319</v>
      </c>
      <c r="B2693" s="2" t="s">
        <v>1320</v>
      </c>
      <c r="C2693" s="9">
        <v>10100364</v>
      </c>
      <c r="D2693" s="2" t="s">
        <v>4058</v>
      </c>
      <c r="E2693" s="10">
        <v>8</v>
      </c>
      <c r="F2693" s="9" t="s">
        <v>1045</v>
      </c>
      <c r="G2693" s="11">
        <v>46238</v>
      </c>
      <c r="H2693" s="12">
        <v>32.32</v>
      </c>
      <c r="I2693" s="12">
        <v>32.32</v>
      </c>
      <c r="J2693" s="9" t="s">
        <v>3</v>
      </c>
      <c r="K2693" s="8">
        <v>0</v>
      </c>
    </row>
    <row r="2694" spans="1:11">
      <c r="A2694" s="2" t="s">
        <v>834</v>
      </c>
      <c r="B2694" s="2" t="s">
        <v>835</v>
      </c>
      <c r="C2694" s="9">
        <v>10100366</v>
      </c>
      <c r="D2694" s="2" t="s">
        <v>4059</v>
      </c>
      <c r="E2694" s="10">
        <v>1</v>
      </c>
      <c r="F2694" s="9" t="s">
        <v>837</v>
      </c>
      <c r="G2694" s="11">
        <v>46238</v>
      </c>
      <c r="H2694" s="12">
        <v>37.700000000000003</v>
      </c>
      <c r="I2694" s="12">
        <v>34.68</v>
      </c>
      <c r="J2694" s="9" t="s">
        <v>3</v>
      </c>
      <c r="K2694" s="8">
        <v>1</v>
      </c>
    </row>
    <row r="2695" spans="1:11">
      <c r="A2695" s="2" t="s">
        <v>925</v>
      </c>
      <c r="B2695" s="2" t="s">
        <v>2298</v>
      </c>
      <c r="C2695" s="9">
        <v>10100367</v>
      </c>
      <c r="D2695" s="2" t="s">
        <v>4060</v>
      </c>
      <c r="E2695" s="10">
        <v>6</v>
      </c>
      <c r="F2695" s="9" t="s">
        <v>866</v>
      </c>
      <c r="G2695" s="11">
        <v>46238</v>
      </c>
      <c r="H2695" s="12">
        <v>22.18</v>
      </c>
      <c r="I2695" s="12">
        <v>19.739999999999998</v>
      </c>
      <c r="J2695" s="9" t="s">
        <v>3</v>
      </c>
      <c r="K2695" s="8">
        <v>0</v>
      </c>
    </row>
    <row r="2696" spans="1:11">
      <c r="A2696" s="2" t="s">
        <v>925</v>
      </c>
      <c r="B2696" s="2" t="s">
        <v>2681</v>
      </c>
      <c r="C2696" s="9">
        <v>10100368</v>
      </c>
      <c r="D2696" s="2" t="s">
        <v>4061</v>
      </c>
      <c r="E2696" s="10">
        <v>8</v>
      </c>
      <c r="F2696" s="9" t="s">
        <v>781</v>
      </c>
      <c r="G2696" s="11">
        <v>46238</v>
      </c>
      <c r="H2696" s="12">
        <v>44.78</v>
      </c>
      <c r="I2696" s="12">
        <v>39.85</v>
      </c>
      <c r="J2696" s="9" t="s">
        <v>3</v>
      </c>
      <c r="K2696" s="8">
        <v>0</v>
      </c>
    </row>
    <row r="2697" spans="1:11">
      <c r="A2697" s="2" t="s">
        <v>708</v>
      </c>
      <c r="B2697" s="2" t="s">
        <v>1914</v>
      </c>
      <c r="C2697" s="9">
        <v>10100369</v>
      </c>
      <c r="D2697" s="2" t="s">
        <v>4062</v>
      </c>
      <c r="E2697" s="10">
        <v>8</v>
      </c>
      <c r="F2697" s="9" t="s">
        <v>1367</v>
      </c>
      <c r="G2697" s="11">
        <v>46238</v>
      </c>
      <c r="H2697" s="12">
        <v>56.38</v>
      </c>
      <c r="I2697" s="12">
        <v>50.18</v>
      </c>
      <c r="J2697" s="9" t="s">
        <v>3</v>
      </c>
      <c r="K2697" s="8">
        <v>0</v>
      </c>
    </row>
    <row r="2698" spans="1:11">
      <c r="A2698" s="2" t="s">
        <v>708</v>
      </c>
      <c r="B2698" s="2" t="s">
        <v>1914</v>
      </c>
      <c r="C2698" s="9">
        <v>10100370</v>
      </c>
      <c r="D2698" s="2" t="s">
        <v>4063</v>
      </c>
      <c r="E2698" s="10">
        <v>8</v>
      </c>
      <c r="F2698" s="9" t="s">
        <v>1367</v>
      </c>
      <c r="G2698" s="11">
        <v>46238</v>
      </c>
      <c r="H2698" s="12">
        <v>56.38</v>
      </c>
      <c r="I2698" s="12">
        <v>50.18</v>
      </c>
      <c r="J2698" s="9" t="s">
        <v>3</v>
      </c>
      <c r="K2698" s="8">
        <v>0</v>
      </c>
    </row>
    <row r="2699" spans="1:11">
      <c r="A2699" s="2" t="s">
        <v>708</v>
      </c>
      <c r="B2699" s="2" t="s">
        <v>1914</v>
      </c>
      <c r="C2699" s="9">
        <v>10100371</v>
      </c>
      <c r="D2699" s="2" t="s">
        <v>4064</v>
      </c>
      <c r="E2699" s="10">
        <v>8</v>
      </c>
      <c r="F2699" s="9" t="s">
        <v>1367</v>
      </c>
      <c r="G2699" s="11">
        <v>46238</v>
      </c>
      <c r="H2699" s="12">
        <v>56.38</v>
      </c>
      <c r="I2699" s="12">
        <v>50.18</v>
      </c>
      <c r="J2699" s="9" t="s">
        <v>3</v>
      </c>
      <c r="K2699" s="8">
        <v>0</v>
      </c>
    </row>
    <row r="2700" spans="1:11">
      <c r="A2700" s="2" t="s">
        <v>842</v>
      </c>
      <c r="B2700" s="2" t="s">
        <v>1791</v>
      </c>
      <c r="C2700" s="9">
        <v>10100373</v>
      </c>
      <c r="D2700" s="2" t="s">
        <v>4065</v>
      </c>
      <c r="E2700" s="10">
        <v>4</v>
      </c>
      <c r="F2700" s="9" t="s">
        <v>1079</v>
      </c>
      <c r="G2700" s="11">
        <v>46238</v>
      </c>
      <c r="H2700" s="12">
        <v>28.02</v>
      </c>
      <c r="I2700" s="12">
        <v>25.92</v>
      </c>
      <c r="J2700" s="9" t="s">
        <v>3</v>
      </c>
      <c r="K2700" s="8">
        <v>1</v>
      </c>
    </row>
    <row r="2701" spans="1:11">
      <c r="A2701" s="2" t="s">
        <v>842</v>
      </c>
      <c r="B2701" s="2" t="s">
        <v>1791</v>
      </c>
      <c r="C2701" s="9">
        <v>10100374</v>
      </c>
      <c r="D2701" s="2" t="s">
        <v>4066</v>
      </c>
      <c r="E2701" s="10">
        <v>2</v>
      </c>
      <c r="F2701" s="9" t="s">
        <v>3408</v>
      </c>
      <c r="G2701" s="11">
        <v>46238</v>
      </c>
      <c r="H2701" s="12">
        <v>28.02</v>
      </c>
      <c r="I2701" s="12">
        <v>25.78</v>
      </c>
      <c r="J2701" s="9" t="s">
        <v>3</v>
      </c>
      <c r="K2701" s="8">
        <v>1</v>
      </c>
    </row>
    <row r="2702" spans="1:11">
      <c r="A2702" s="2" t="s">
        <v>1319</v>
      </c>
      <c r="B2702" s="2" t="s">
        <v>1320</v>
      </c>
      <c r="C2702" s="9">
        <v>10100375</v>
      </c>
      <c r="D2702" s="2" t="s">
        <v>4067</v>
      </c>
      <c r="E2702" s="10">
        <v>12</v>
      </c>
      <c r="F2702" s="9" t="s">
        <v>982</v>
      </c>
      <c r="G2702" s="11">
        <v>46238</v>
      </c>
      <c r="H2702" s="12">
        <v>52.32</v>
      </c>
      <c r="I2702" s="12">
        <v>52.32</v>
      </c>
      <c r="J2702" s="9" t="s">
        <v>3</v>
      </c>
      <c r="K2702" s="8">
        <v>0</v>
      </c>
    </row>
    <row r="2703" spans="1:11">
      <c r="A2703" s="2" t="s">
        <v>891</v>
      </c>
      <c r="B2703" s="2" t="s">
        <v>3245</v>
      </c>
      <c r="C2703" s="9">
        <v>10100376</v>
      </c>
      <c r="D2703" s="2" t="s">
        <v>4068</v>
      </c>
      <c r="E2703" s="10">
        <v>2</v>
      </c>
      <c r="F2703" s="9" t="s">
        <v>979</v>
      </c>
      <c r="G2703" s="11">
        <v>46238</v>
      </c>
      <c r="H2703" s="12">
        <v>0</v>
      </c>
      <c r="I2703" s="12">
        <v>0</v>
      </c>
      <c r="J2703" s="9" t="s">
        <v>3</v>
      </c>
      <c r="K2703" s="8">
        <v>0</v>
      </c>
    </row>
    <row r="2704" spans="1:11">
      <c r="A2704" s="2" t="s">
        <v>919</v>
      </c>
      <c r="B2704" s="2" t="s">
        <v>4069</v>
      </c>
      <c r="C2704" s="9">
        <v>10100378</v>
      </c>
      <c r="D2704" s="2" t="s">
        <v>4070</v>
      </c>
      <c r="E2704" s="10">
        <v>4</v>
      </c>
      <c r="F2704" s="9" t="s">
        <v>4071</v>
      </c>
      <c r="G2704" s="11">
        <v>46238</v>
      </c>
      <c r="H2704" s="12">
        <v>0</v>
      </c>
      <c r="I2704" s="12">
        <v>0</v>
      </c>
      <c r="J2704" s="9" t="s">
        <v>3</v>
      </c>
      <c r="K2704" s="8">
        <v>0</v>
      </c>
    </row>
    <row r="2705" spans="1:11">
      <c r="A2705" s="2" t="s">
        <v>607</v>
      </c>
      <c r="B2705" s="2" t="s">
        <v>1207</v>
      </c>
      <c r="C2705" s="9">
        <v>10100379</v>
      </c>
      <c r="D2705" s="2" t="s">
        <v>4072</v>
      </c>
      <c r="E2705" s="10">
        <v>5</v>
      </c>
      <c r="F2705" s="9" t="s">
        <v>4073</v>
      </c>
      <c r="G2705" s="11">
        <v>46238</v>
      </c>
      <c r="H2705" s="12">
        <v>0</v>
      </c>
      <c r="I2705" s="12">
        <v>0</v>
      </c>
      <c r="J2705" s="9" t="s">
        <v>3</v>
      </c>
      <c r="K2705" s="8">
        <v>0</v>
      </c>
    </row>
    <row r="2706" spans="1:11">
      <c r="A2706" s="2" t="s">
        <v>607</v>
      </c>
      <c r="B2706" s="2" t="s">
        <v>1207</v>
      </c>
      <c r="C2706" s="9">
        <v>10100380</v>
      </c>
      <c r="D2706" s="2" t="s">
        <v>4074</v>
      </c>
      <c r="E2706" s="10">
        <v>5</v>
      </c>
      <c r="F2706" s="9" t="s">
        <v>1235</v>
      </c>
      <c r="G2706" s="11">
        <v>46238</v>
      </c>
      <c r="H2706" s="12">
        <v>0</v>
      </c>
      <c r="I2706" s="12">
        <v>0</v>
      </c>
      <c r="J2706" s="9" t="s">
        <v>3</v>
      </c>
      <c r="K2706" s="8">
        <v>0</v>
      </c>
    </row>
    <row r="2707" spans="1:11">
      <c r="A2707" s="2" t="s">
        <v>607</v>
      </c>
      <c r="B2707" s="2" t="s">
        <v>1207</v>
      </c>
      <c r="C2707" s="9">
        <v>10100383</v>
      </c>
      <c r="D2707" s="2" t="s">
        <v>4075</v>
      </c>
      <c r="E2707" s="10">
        <v>5</v>
      </c>
      <c r="F2707" s="9" t="s">
        <v>1235</v>
      </c>
      <c r="G2707" s="11">
        <v>46238</v>
      </c>
      <c r="H2707" s="12">
        <v>0</v>
      </c>
      <c r="I2707" s="12">
        <v>0</v>
      </c>
      <c r="J2707" s="9" t="s">
        <v>3</v>
      </c>
      <c r="K2707" s="8">
        <v>0</v>
      </c>
    </row>
    <row r="2708" spans="1:11">
      <c r="A2708" s="2" t="s">
        <v>851</v>
      </c>
      <c r="B2708" s="2" t="s">
        <v>2034</v>
      </c>
      <c r="C2708" s="9">
        <v>10100384</v>
      </c>
      <c r="D2708" s="2" t="s">
        <v>4076</v>
      </c>
      <c r="E2708" s="10">
        <v>12</v>
      </c>
      <c r="F2708" s="9" t="s">
        <v>2047</v>
      </c>
      <c r="G2708" s="11">
        <v>46238</v>
      </c>
      <c r="H2708" s="12">
        <v>286.77</v>
      </c>
      <c r="I2708" s="12">
        <v>286.77</v>
      </c>
      <c r="J2708" s="9" t="s">
        <v>3</v>
      </c>
      <c r="K2708" s="8">
        <v>0</v>
      </c>
    </row>
    <row r="2709" spans="1:11">
      <c r="A2709" s="2" t="s">
        <v>851</v>
      </c>
      <c r="B2709" s="2" t="s">
        <v>2034</v>
      </c>
      <c r="C2709" s="9">
        <v>10100385</v>
      </c>
      <c r="D2709" s="2" t="s">
        <v>4077</v>
      </c>
      <c r="E2709" s="10">
        <v>12</v>
      </c>
      <c r="F2709" s="9" t="s">
        <v>2047</v>
      </c>
      <c r="G2709" s="11">
        <v>46238</v>
      </c>
      <c r="H2709" s="12">
        <v>279.83</v>
      </c>
      <c r="I2709" s="12">
        <v>279.83</v>
      </c>
      <c r="J2709" s="9" t="s">
        <v>3</v>
      </c>
      <c r="K2709" s="8">
        <v>0</v>
      </c>
    </row>
    <row r="2710" spans="1:11">
      <c r="A2710" s="2" t="s">
        <v>851</v>
      </c>
      <c r="B2710" s="2" t="s">
        <v>2034</v>
      </c>
      <c r="C2710" s="9">
        <v>10100386</v>
      </c>
      <c r="D2710" s="2" t="s">
        <v>4078</v>
      </c>
      <c r="E2710" s="10">
        <v>12</v>
      </c>
      <c r="F2710" s="9" t="s">
        <v>2047</v>
      </c>
      <c r="G2710" s="11">
        <v>46238</v>
      </c>
      <c r="H2710" s="12">
        <v>252.69</v>
      </c>
      <c r="I2710" s="12">
        <v>252.69</v>
      </c>
      <c r="J2710" s="9" t="s">
        <v>3</v>
      </c>
      <c r="K2710" s="8">
        <v>0</v>
      </c>
    </row>
    <row r="2711" spans="1:11">
      <c r="A2711" s="2" t="s">
        <v>851</v>
      </c>
      <c r="B2711" s="2" t="s">
        <v>2034</v>
      </c>
      <c r="C2711" s="9">
        <v>10100387</v>
      </c>
      <c r="D2711" s="2" t="s">
        <v>4079</v>
      </c>
      <c r="E2711" s="10">
        <v>12</v>
      </c>
      <c r="F2711" s="9" t="s">
        <v>4080</v>
      </c>
      <c r="G2711" s="11">
        <v>46238</v>
      </c>
      <c r="H2711" s="12">
        <v>52.83</v>
      </c>
      <c r="I2711" s="12">
        <v>47.02</v>
      </c>
      <c r="J2711" s="9" t="s">
        <v>3</v>
      </c>
      <c r="K2711" s="8">
        <v>0</v>
      </c>
    </row>
    <row r="2712" spans="1:11">
      <c r="A2712" s="2" t="s">
        <v>925</v>
      </c>
      <c r="B2712" s="2" t="s">
        <v>2224</v>
      </c>
      <c r="C2712" s="9">
        <v>10100388</v>
      </c>
      <c r="D2712" s="2" t="s">
        <v>4081</v>
      </c>
      <c r="E2712" s="10">
        <v>60</v>
      </c>
      <c r="F2712" s="9" t="s">
        <v>1323</v>
      </c>
      <c r="G2712" s="11">
        <v>46238</v>
      </c>
      <c r="H2712" s="12">
        <v>391.13</v>
      </c>
      <c r="I2712" s="12">
        <v>348.11</v>
      </c>
      <c r="J2712" s="9" t="s">
        <v>3</v>
      </c>
      <c r="K2712" s="8">
        <v>0</v>
      </c>
    </row>
    <row r="2713" spans="1:11">
      <c r="A2713" s="2" t="s">
        <v>834</v>
      </c>
      <c r="B2713" s="2" t="s">
        <v>835</v>
      </c>
      <c r="C2713" s="9">
        <v>10100389</v>
      </c>
      <c r="D2713" s="2" t="s">
        <v>4082</v>
      </c>
      <c r="E2713" s="10">
        <v>1</v>
      </c>
      <c r="F2713" s="9" t="s">
        <v>1428</v>
      </c>
      <c r="G2713" s="11">
        <v>46238</v>
      </c>
      <c r="H2713" s="12">
        <v>34.51</v>
      </c>
      <c r="I2713" s="12">
        <v>31.75</v>
      </c>
      <c r="J2713" s="9" t="s">
        <v>3</v>
      </c>
      <c r="K2713" s="8">
        <v>1</v>
      </c>
    </row>
    <row r="2714" spans="1:11">
      <c r="A2714" s="2" t="s">
        <v>834</v>
      </c>
      <c r="B2714" s="2" t="s">
        <v>835</v>
      </c>
      <c r="C2714" s="9">
        <v>10100390</v>
      </c>
      <c r="D2714" s="2" t="s">
        <v>4083</v>
      </c>
      <c r="E2714" s="10">
        <v>12</v>
      </c>
      <c r="F2714" s="9" t="s">
        <v>985</v>
      </c>
      <c r="G2714" s="11">
        <v>46238</v>
      </c>
      <c r="H2714" s="12">
        <v>39.89</v>
      </c>
      <c r="I2714" s="12">
        <v>36.700000000000003</v>
      </c>
      <c r="J2714" s="9" t="s">
        <v>3</v>
      </c>
      <c r="K2714" s="8">
        <v>1</v>
      </c>
    </row>
    <row r="2715" spans="1:11">
      <c r="A2715" s="2" t="s">
        <v>834</v>
      </c>
      <c r="B2715" s="2" t="s">
        <v>835</v>
      </c>
      <c r="C2715" s="9">
        <v>10100391</v>
      </c>
      <c r="D2715" s="2" t="s">
        <v>4084</v>
      </c>
      <c r="E2715" s="10">
        <v>12</v>
      </c>
      <c r="F2715" s="9" t="s">
        <v>866</v>
      </c>
      <c r="G2715" s="11">
        <v>46238</v>
      </c>
      <c r="H2715" s="12">
        <v>32.9</v>
      </c>
      <c r="I2715" s="12">
        <v>30.27</v>
      </c>
      <c r="J2715" s="9" t="s">
        <v>3</v>
      </c>
      <c r="K2715" s="8">
        <v>1</v>
      </c>
    </row>
    <row r="2716" spans="1:11">
      <c r="A2716" s="2" t="s">
        <v>834</v>
      </c>
      <c r="B2716" s="2" t="s">
        <v>835</v>
      </c>
      <c r="C2716" s="9">
        <v>10100392</v>
      </c>
      <c r="D2716" s="2" t="s">
        <v>4085</v>
      </c>
      <c r="E2716" s="10">
        <v>12</v>
      </c>
      <c r="F2716" s="9" t="s">
        <v>985</v>
      </c>
      <c r="G2716" s="11">
        <v>46238</v>
      </c>
      <c r="H2716" s="12">
        <v>62.37</v>
      </c>
      <c r="I2716" s="12">
        <v>57.38</v>
      </c>
      <c r="J2716" s="9" t="s">
        <v>3</v>
      </c>
      <c r="K2716" s="8">
        <v>1</v>
      </c>
    </row>
    <row r="2717" spans="1:11">
      <c r="A2717" s="2" t="s">
        <v>2740</v>
      </c>
      <c r="B2717" s="2" t="s">
        <v>3441</v>
      </c>
      <c r="C2717" s="9">
        <v>10100393</v>
      </c>
      <c r="D2717" s="2" t="s">
        <v>4086</v>
      </c>
      <c r="E2717" s="10">
        <v>12</v>
      </c>
      <c r="F2717" s="9" t="s">
        <v>697</v>
      </c>
      <c r="G2717" s="11">
        <v>46238</v>
      </c>
      <c r="H2717" s="12">
        <v>82.66</v>
      </c>
      <c r="I2717" s="12">
        <v>73.569999999999993</v>
      </c>
      <c r="J2717" s="9" t="s">
        <v>3</v>
      </c>
      <c r="K2717" s="8">
        <v>0</v>
      </c>
    </row>
    <row r="2718" spans="1:11">
      <c r="A2718" s="2" t="s">
        <v>2740</v>
      </c>
      <c r="B2718" s="2" t="s">
        <v>3441</v>
      </c>
      <c r="C2718" s="9">
        <v>10100394</v>
      </c>
      <c r="D2718" s="2" t="s">
        <v>4087</v>
      </c>
      <c r="E2718" s="10">
        <v>12</v>
      </c>
      <c r="F2718" s="9" t="s">
        <v>697</v>
      </c>
      <c r="G2718" s="11">
        <v>46238</v>
      </c>
      <c r="H2718" s="12">
        <v>82.66</v>
      </c>
      <c r="I2718" s="12">
        <v>73.569999999999993</v>
      </c>
      <c r="J2718" s="9" t="s">
        <v>3</v>
      </c>
      <c r="K2718" s="8">
        <v>0</v>
      </c>
    </row>
    <row r="2719" spans="1:11">
      <c r="A2719" s="2" t="s">
        <v>2740</v>
      </c>
      <c r="B2719" s="2" t="s">
        <v>3441</v>
      </c>
      <c r="C2719" s="9">
        <v>10100395</v>
      </c>
      <c r="D2719" s="2" t="s">
        <v>4088</v>
      </c>
      <c r="E2719" s="10">
        <v>12</v>
      </c>
      <c r="F2719" s="9" t="s">
        <v>697</v>
      </c>
      <c r="G2719" s="11">
        <v>46238</v>
      </c>
      <c r="H2719" s="12">
        <v>82.66</v>
      </c>
      <c r="I2719" s="12">
        <v>73.569999999999993</v>
      </c>
      <c r="J2719" s="9" t="s">
        <v>3</v>
      </c>
      <c r="K2719" s="8">
        <v>0</v>
      </c>
    </row>
    <row r="2720" spans="1:11">
      <c r="A2720" s="2" t="s">
        <v>2740</v>
      </c>
      <c r="B2720" s="2" t="s">
        <v>3441</v>
      </c>
      <c r="C2720" s="9">
        <v>10100396</v>
      </c>
      <c r="D2720" s="2" t="s">
        <v>4089</v>
      </c>
      <c r="E2720" s="10">
        <v>12</v>
      </c>
      <c r="F2720" s="9" t="s">
        <v>697</v>
      </c>
      <c r="G2720" s="11">
        <v>46238</v>
      </c>
      <c r="H2720" s="12">
        <v>82.66</v>
      </c>
      <c r="I2720" s="12">
        <v>73.569999999999993</v>
      </c>
      <c r="J2720" s="9" t="s">
        <v>3</v>
      </c>
      <c r="K2720" s="8">
        <v>0</v>
      </c>
    </row>
    <row r="2721" spans="1:11">
      <c r="A2721" s="2" t="s">
        <v>2740</v>
      </c>
      <c r="B2721" s="2" t="s">
        <v>3441</v>
      </c>
      <c r="C2721" s="9">
        <v>10100397</v>
      </c>
      <c r="D2721" s="2" t="s">
        <v>4090</v>
      </c>
      <c r="E2721" s="10">
        <v>12</v>
      </c>
      <c r="F2721" s="9" t="s">
        <v>866</v>
      </c>
      <c r="G2721" s="11">
        <v>46238</v>
      </c>
      <c r="H2721" s="12">
        <v>88.57</v>
      </c>
      <c r="I2721" s="12">
        <v>78.83</v>
      </c>
      <c r="J2721" s="9" t="s">
        <v>3</v>
      </c>
      <c r="K2721" s="8">
        <v>0</v>
      </c>
    </row>
    <row r="2722" spans="1:11">
      <c r="A2722" s="2" t="s">
        <v>906</v>
      </c>
      <c r="B2722" s="2" t="s">
        <v>1019</v>
      </c>
      <c r="C2722" s="9">
        <v>10100398</v>
      </c>
      <c r="D2722" s="2" t="s">
        <v>4091</v>
      </c>
      <c r="E2722" s="10">
        <v>2</v>
      </c>
      <c r="F2722" s="9" t="s">
        <v>989</v>
      </c>
      <c r="G2722" s="11">
        <v>46238</v>
      </c>
      <c r="H2722" s="12">
        <v>44.35</v>
      </c>
      <c r="I2722" s="12">
        <v>40.799999999999997</v>
      </c>
      <c r="J2722" s="9" t="s">
        <v>3</v>
      </c>
      <c r="K2722" s="8">
        <v>1</v>
      </c>
    </row>
    <row r="2723" spans="1:11">
      <c r="A2723" s="2" t="s">
        <v>708</v>
      </c>
      <c r="B2723" s="2" t="s">
        <v>743</v>
      </c>
      <c r="C2723" s="9">
        <v>10100399</v>
      </c>
      <c r="D2723" s="2" t="s">
        <v>4092</v>
      </c>
      <c r="E2723" s="10">
        <v>4</v>
      </c>
      <c r="F2723" s="9" t="s">
        <v>1536</v>
      </c>
      <c r="G2723" s="11">
        <v>46238</v>
      </c>
      <c r="H2723" s="12">
        <v>33.26</v>
      </c>
      <c r="I2723" s="12">
        <v>29.6</v>
      </c>
      <c r="J2723" s="9" t="s">
        <v>3</v>
      </c>
      <c r="K2723" s="8">
        <v>0</v>
      </c>
    </row>
    <row r="2724" spans="1:11">
      <c r="A2724" s="2" t="s">
        <v>906</v>
      </c>
      <c r="B2724" s="2" t="s">
        <v>1019</v>
      </c>
      <c r="C2724" s="9">
        <v>10100400</v>
      </c>
      <c r="D2724" s="2" t="s">
        <v>4093</v>
      </c>
      <c r="E2724" s="10">
        <v>2</v>
      </c>
      <c r="F2724" s="9" t="s">
        <v>989</v>
      </c>
      <c r="G2724" s="11">
        <v>46238</v>
      </c>
      <c r="H2724" s="12">
        <v>44.97</v>
      </c>
      <c r="I2724" s="12">
        <v>41.37</v>
      </c>
      <c r="J2724" s="9" t="s">
        <v>3</v>
      </c>
      <c r="K2724" s="8">
        <v>1</v>
      </c>
    </row>
    <row r="2725" spans="1:11">
      <c r="A2725" s="2" t="s">
        <v>906</v>
      </c>
      <c r="B2725" s="2" t="s">
        <v>1019</v>
      </c>
      <c r="C2725" s="9">
        <v>10100401</v>
      </c>
      <c r="D2725" s="2" t="s">
        <v>4094</v>
      </c>
      <c r="E2725" s="10">
        <v>2</v>
      </c>
      <c r="F2725" s="9" t="s">
        <v>989</v>
      </c>
      <c r="G2725" s="11">
        <v>46238</v>
      </c>
      <c r="H2725" s="12">
        <v>42.29</v>
      </c>
      <c r="I2725" s="12">
        <v>38.909999999999997</v>
      </c>
      <c r="J2725" s="9" t="s">
        <v>3</v>
      </c>
      <c r="K2725" s="8">
        <v>1</v>
      </c>
    </row>
    <row r="2726" spans="1:11">
      <c r="A2726" s="2" t="s">
        <v>2740</v>
      </c>
      <c r="B2726" s="2" t="s">
        <v>3441</v>
      </c>
      <c r="C2726" s="9">
        <v>10100402</v>
      </c>
      <c r="D2726" s="2" t="s">
        <v>4095</v>
      </c>
      <c r="E2726" s="10">
        <v>24</v>
      </c>
      <c r="F2726" s="9" t="s">
        <v>1675</v>
      </c>
      <c r="G2726" s="11">
        <v>46238</v>
      </c>
      <c r="H2726" s="12">
        <v>62.35</v>
      </c>
      <c r="I2726" s="12">
        <v>55.49</v>
      </c>
      <c r="J2726" s="9" t="s">
        <v>3</v>
      </c>
      <c r="K2726" s="8">
        <v>0</v>
      </c>
    </row>
    <row r="2727" spans="1:11">
      <c r="A2727" s="2" t="s">
        <v>834</v>
      </c>
      <c r="B2727" s="2" t="s">
        <v>4096</v>
      </c>
      <c r="C2727" s="9">
        <v>10100403</v>
      </c>
      <c r="D2727" s="2" t="s">
        <v>4097</v>
      </c>
      <c r="E2727" s="10">
        <v>15</v>
      </c>
      <c r="F2727" s="9" t="s">
        <v>982</v>
      </c>
      <c r="G2727" s="11">
        <v>46238</v>
      </c>
      <c r="H2727" s="12">
        <v>73.86</v>
      </c>
      <c r="I2727" s="12">
        <v>67.95</v>
      </c>
      <c r="J2727" s="9" t="s">
        <v>3</v>
      </c>
      <c r="K2727" s="8">
        <v>0</v>
      </c>
    </row>
    <row r="2728" spans="1:11">
      <c r="A2728" s="2" t="s">
        <v>834</v>
      </c>
      <c r="B2728" s="2" t="s">
        <v>4096</v>
      </c>
      <c r="C2728" s="9">
        <v>10100404</v>
      </c>
      <c r="D2728" s="2" t="s">
        <v>4098</v>
      </c>
      <c r="E2728" s="10">
        <v>6</v>
      </c>
      <c r="F2728" s="9" t="s">
        <v>991</v>
      </c>
      <c r="G2728" s="11">
        <v>46238</v>
      </c>
      <c r="H2728" s="12">
        <v>152.77000000000001</v>
      </c>
      <c r="I2728" s="12">
        <v>140.55000000000001</v>
      </c>
      <c r="J2728" s="9" t="s">
        <v>3</v>
      </c>
      <c r="K2728" s="8">
        <v>0</v>
      </c>
    </row>
    <row r="2729" spans="1:11">
      <c r="A2729" s="2" t="s">
        <v>834</v>
      </c>
      <c r="B2729" s="2" t="s">
        <v>4096</v>
      </c>
      <c r="C2729" s="9">
        <v>10100405</v>
      </c>
      <c r="D2729" s="2" t="s">
        <v>4099</v>
      </c>
      <c r="E2729" s="10">
        <v>1</v>
      </c>
      <c r="F2729" s="9" t="s">
        <v>4100</v>
      </c>
      <c r="G2729" s="11">
        <v>46238</v>
      </c>
      <c r="H2729" s="12">
        <v>25.02</v>
      </c>
      <c r="I2729" s="12">
        <v>23.02</v>
      </c>
      <c r="J2729" s="9" t="s">
        <v>3</v>
      </c>
      <c r="K2729" s="8">
        <v>1</v>
      </c>
    </row>
    <row r="2730" spans="1:11">
      <c r="A2730" s="2" t="s">
        <v>834</v>
      </c>
      <c r="B2730" s="2" t="s">
        <v>4096</v>
      </c>
      <c r="C2730" s="9">
        <v>10100406</v>
      </c>
      <c r="D2730" s="2" t="s">
        <v>4101</v>
      </c>
      <c r="E2730" s="10">
        <v>2</v>
      </c>
      <c r="F2730" s="9" t="s">
        <v>1377</v>
      </c>
      <c r="G2730" s="11">
        <v>46238</v>
      </c>
      <c r="H2730" s="12">
        <v>26.37</v>
      </c>
      <c r="I2730" s="12">
        <v>24.26</v>
      </c>
      <c r="J2730" s="9" t="s">
        <v>3</v>
      </c>
      <c r="K2730" s="8">
        <v>1</v>
      </c>
    </row>
    <row r="2731" spans="1:11">
      <c r="A2731" s="2" t="s">
        <v>834</v>
      </c>
      <c r="B2731" s="2" t="s">
        <v>4096</v>
      </c>
      <c r="C2731" s="9">
        <v>10100407</v>
      </c>
      <c r="D2731" s="2" t="s">
        <v>4102</v>
      </c>
      <c r="E2731" s="10">
        <v>9</v>
      </c>
      <c r="F2731" s="9" t="s">
        <v>1638</v>
      </c>
      <c r="G2731" s="11">
        <v>46238</v>
      </c>
      <c r="H2731" s="12">
        <v>41.74</v>
      </c>
      <c r="I2731" s="12">
        <v>38.4</v>
      </c>
      <c r="J2731" s="9" t="s">
        <v>3</v>
      </c>
      <c r="K2731" s="8">
        <v>1</v>
      </c>
    </row>
    <row r="2732" spans="1:11">
      <c r="A2732" s="2" t="s">
        <v>834</v>
      </c>
      <c r="B2732" s="2" t="s">
        <v>4096</v>
      </c>
      <c r="C2732" s="9">
        <v>10100408</v>
      </c>
      <c r="D2732" s="2" t="s">
        <v>4103</v>
      </c>
      <c r="E2732" s="10">
        <v>1</v>
      </c>
      <c r="F2732" s="9" t="s">
        <v>2978</v>
      </c>
      <c r="G2732" s="11">
        <v>46238</v>
      </c>
      <c r="H2732" s="12">
        <v>43.14</v>
      </c>
      <c r="I2732" s="12">
        <v>39.69</v>
      </c>
      <c r="J2732" s="9" t="s">
        <v>3</v>
      </c>
      <c r="K2732" s="8">
        <v>1</v>
      </c>
    </row>
    <row r="2733" spans="1:11">
      <c r="A2733" s="2" t="s">
        <v>834</v>
      </c>
      <c r="B2733" s="2" t="s">
        <v>4096</v>
      </c>
      <c r="C2733" s="9">
        <v>10100409</v>
      </c>
      <c r="D2733" s="2" t="s">
        <v>4104</v>
      </c>
      <c r="E2733" s="10">
        <v>2</v>
      </c>
      <c r="F2733" s="9" t="s">
        <v>1377</v>
      </c>
      <c r="G2733" s="11">
        <v>46238</v>
      </c>
      <c r="H2733" s="12">
        <v>45.04</v>
      </c>
      <c r="I2733" s="12">
        <v>41.44</v>
      </c>
      <c r="J2733" s="9" t="s">
        <v>3</v>
      </c>
      <c r="K2733" s="8">
        <v>1</v>
      </c>
    </row>
    <row r="2734" spans="1:11">
      <c r="A2734" s="2" t="s">
        <v>834</v>
      </c>
      <c r="B2734" s="2" t="s">
        <v>4096</v>
      </c>
      <c r="C2734" s="9">
        <v>10100410</v>
      </c>
      <c r="D2734" s="2" t="s">
        <v>4105</v>
      </c>
      <c r="E2734" s="10">
        <v>1</v>
      </c>
      <c r="F2734" s="9" t="s">
        <v>3795</v>
      </c>
      <c r="G2734" s="11">
        <v>46238</v>
      </c>
      <c r="H2734" s="12">
        <v>30.6</v>
      </c>
      <c r="I2734" s="12">
        <v>28.15</v>
      </c>
      <c r="J2734" s="9" t="s">
        <v>3</v>
      </c>
      <c r="K2734" s="8">
        <v>1</v>
      </c>
    </row>
    <row r="2735" spans="1:11">
      <c r="A2735" s="2" t="s">
        <v>834</v>
      </c>
      <c r="B2735" s="2" t="s">
        <v>4096</v>
      </c>
      <c r="C2735" s="9">
        <v>10100411</v>
      </c>
      <c r="D2735" s="2" t="s">
        <v>4106</v>
      </c>
      <c r="E2735" s="10">
        <v>4</v>
      </c>
      <c r="F2735" s="9" t="s">
        <v>2193</v>
      </c>
      <c r="G2735" s="11">
        <v>46238</v>
      </c>
      <c r="H2735" s="12">
        <v>27.07</v>
      </c>
      <c r="I2735" s="12">
        <v>24.9</v>
      </c>
      <c r="J2735" s="9" t="s">
        <v>3</v>
      </c>
      <c r="K2735" s="8">
        <v>1</v>
      </c>
    </row>
    <row r="2736" spans="1:11">
      <c r="A2736" s="2" t="s">
        <v>2740</v>
      </c>
      <c r="B2736" s="2" t="s">
        <v>3441</v>
      </c>
      <c r="C2736" s="9">
        <v>10100412</v>
      </c>
      <c r="D2736" s="2" t="s">
        <v>4107</v>
      </c>
      <c r="E2736" s="10">
        <v>10</v>
      </c>
      <c r="F2736" s="9" t="s">
        <v>982</v>
      </c>
      <c r="G2736" s="11">
        <v>46238</v>
      </c>
      <c r="H2736" s="12">
        <v>47.62</v>
      </c>
      <c r="I2736" s="12">
        <v>42.38</v>
      </c>
      <c r="J2736" s="9" t="s">
        <v>3</v>
      </c>
      <c r="K2736" s="8">
        <v>0</v>
      </c>
    </row>
    <row r="2737" spans="1:11">
      <c r="A2737" s="2" t="s">
        <v>1662</v>
      </c>
      <c r="B2737" s="2" t="s">
        <v>3842</v>
      </c>
      <c r="C2737" s="9">
        <v>10100416</v>
      </c>
      <c r="D2737" s="2" t="s">
        <v>4108</v>
      </c>
      <c r="E2737" s="10">
        <v>4</v>
      </c>
      <c r="F2737" s="9" t="s">
        <v>991</v>
      </c>
      <c r="G2737" s="11">
        <v>46238</v>
      </c>
      <c r="H2737" s="12">
        <v>13.57</v>
      </c>
      <c r="I2737" s="12">
        <v>12.48</v>
      </c>
      <c r="J2737" s="9" t="s">
        <v>3</v>
      </c>
      <c r="K2737" s="8">
        <v>1</v>
      </c>
    </row>
    <row r="2738" spans="1:11">
      <c r="A2738" s="2" t="s">
        <v>1662</v>
      </c>
      <c r="B2738" s="2" t="s">
        <v>3842</v>
      </c>
      <c r="C2738" s="9">
        <v>10100417</v>
      </c>
      <c r="D2738" s="2" t="s">
        <v>4109</v>
      </c>
      <c r="E2738" s="10">
        <v>4</v>
      </c>
      <c r="F2738" s="9" t="s">
        <v>991</v>
      </c>
      <c r="G2738" s="11">
        <v>46238</v>
      </c>
      <c r="H2738" s="12">
        <v>13.57</v>
      </c>
      <c r="I2738" s="12">
        <v>12.48</v>
      </c>
      <c r="J2738" s="9" t="s">
        <v>3</v>
      </c>
      <c r="K2738" s="8">
        <v>1</v>
      </c>
    </row>
    <row r="2739" spans="1:11">
      <c r="A2739" s="2" t="s">
        <v>919</v>
      </c>
      <c r="B2739" s="2" t="s">
        <v>4110</v>
      </c>
      <c r="C2739" s="9">
        <v>10100419</v>
      </c>
      <c r="D2739" s="2" t="s">
        <v>4111</v>
      </c>
      <c r="E2739" s="10">
        <v>12</v>
      </c>
      <c r="F2739" s="9" t="s">
        <v>4112</v>
      </c>
      <c r="G2739" s="11">
        <v>46238</v>
      </c>
      <c r="H2739" s="12">
        <v>0</v>
      </c>
      <c r="I2739" s="12">
        <v>0</v>
      </c>
      <c r="J2739" s="9" t="s">
        <v>3</v>
      </c>
      <c r="K2739" s="8">
        <v>0</v>
      </c>
    </row>
    <row r="2740" spans="1:11">
      <c r="A2740" s="2" t="s">
        <v>2740</v>
      </c>
      <c r="B2740" s="2" t="s">
        <v>3441</v>
      </c>
      <c r="C2740" s="9">
        <v>10100420</v>
      </c>
      <c r="D2740" s="2" t="s">
        <v>4113</v>
      </c>
      <c r="E2740" s="10">
        <v>12</v>
      </c>
      <c r="F2740" s="9" t="s">
        <v>1367</v>
      </c>
      <c r="G2740" s="11">
        <v>46238</v>
      </c>
      <c r="H2740" s="12">
        <v>135.80000000000001</v>
      </c>
      <c r="I2740" s="12">
        <v>120.86</v>
      </c>
      <c r="J2740" s="9" t="s">
        <v>3</v>
      </c>
      <c r="K2740" s="8">
        <v>0</v>
      </c>
    </row>
    <row r="2741" spans="1:11">
      <c r="A2741" s="2" t="s">
        <v>2740</v>
      </c>
      <c r="B2741" s="2" t="s">
        <v>3441</v>
      </c>
      <c r="C2741" s="9">
        <v>10100421</v>
      </c>
      <c r="D2741" s="2" t="s">
        <v>4114</v>
      </c>
      <c r="E2741" s="10">
        <v>12</v>
      </c>
      <c r="F2741" s="9" t="s">
        <v>697</v>
      </c>
      <c r="G2741" s="11">
        <v>46238</v>
      </c>
      <c r="H2741" s="12">
        <v>39.97</v>
      </c>
      <c r="I2741" s="12">
        <v>35.57</v>
      </c>
      <c r="J2741" s="9" t="s">
        <v>3</v>
      </c>
      <c r="K2741" s="8">
        <v>0</v>
      </c>
    </row>
    <row r="2742" spans="1:11">
      <c r="A2742" s="2" t="s">
        <v>834</v>
      </c>
      <c r="B2742" s="2" t="s">
        <v>3667</v>
      </c>
      <c r="C2742" s="9">
        <v>10100422</v>
      </c>
      <c r="D2742" s="2" t="s">
        <v>4115</v>
      </c>
      <c r="E2742" s="10">
        <v>4</v>
      </c>
      <c r="F2742" s="9" t="s">
        <v>1638</v>
      </c>
      <c r="G2742" s="11">
        <v>46238</v>
      </c>
      <c r="H2742" s="12">
        <v>66.430000000000007</v>
      </c>
      <c r="I2742" s="12">
        <v>59.12</v>
      </c>
      <c r="J2742" s="9" t="s">
        <v>3</v>
      </c>
      <c r="K2742" s="8">
        <v>0</v>
      </c>
    </row>
    <row r="2743" spans="1:11">
      <c r="A2743" s="2" t="s">
        <v>834</v>
      </c>
      <c r="B2743" s="2" t="s">
        <v>3667</v>
      </c>
      <c r="C2743" s="9">
        <v>10100423</v>
      </c>
      <c r="D2743" s="2" t="s">
        <v>4116</v>
      </c>
      <c r="E2743" s="10">
        <v>4</v>
      </c>
      <c r="F2743" s="9" t="s">
        <v>2039</v>
      </c>
      <c r="G2743" s="11">
        <v>46238</v>
      </c>
      <c r="H2743" s="12">
        <v>74.39</v>
      </c>
      <c r="I2743" s="12">
        <v>66.209999999999994</v>
      </c>
      <c r="J2743" s="9" t="s">
        <v>3</v>
      </c>
      <c r="K2743" s="8">
        <v>0</v>
      </c>
    </row>
    <row r="2744" spans="1:11">
      <c r="A2744" s="2" t="s">
        <v>663</v>
      </c>
      <c r="B2744" s="2" t="s">
        <v>2712</v>
      </c>
      <c r="C2744" s="9">
        <v>10100424</v>
      </c>
      <c r="D2744" s="2" t="s">
        <v>4117</v>
      </c>
      <c r="E2744" s="10">
        <v>12</v>
      </c>
      <c r="F2744" s="9" t="s">
        <v>666</v>
      </c>
      <c r="G2744" s="11">
        <v>46238</v>
      </c>
      <c r="H2744" s="12">
        <v>78.37</v>
      </c>
      <c r="I2744" s="12">
        <v>69.75</v>
      </c>
      <c r="J2744" s="9" t="s">
        <v>3</v>
      </c>
      <c r="K2744" s="8">
        <v>0</v>
      </c>
    </row>
    <row r="2745" spans="1:11">
      <c r="A2745" s="2" t="s">
        <v>663</v>
      </c>
      <c r="B2745" s="2" t="s">
        <v>2712</v>
      </c>
      <c r="C2745" s="9">
        <v>10100425</v>
      </c>
      <c r="D2745" s="2" t="s">
        <v>4118</v>
      </c>
      <c r="E2745" s="10">
        <v>6</v>
      </c>
      <c r="F2745" s="9" t="s">
        <v>666</v>
      </c>
      <c r="G2745" s="11">
        <v>46238</v>
      </c>
      <c r="H2745" s="12">
        <v>44.1</v>
      </c>
      <c r="I2745" s="12">
        <v>39.25</v>
      </c>
      <c r="J2745" s="9" t="s">
        <v>3</v>
      </c>
      <c r="K2745" s="8">
        <v>0</v>
      </c>
    </row>
    <row r="2746" spans="1:11">
      <c r="A2746" s="2" t="s">
        <v>663</v>
      </c>
      <c r="B2746" s="2" t="s">
        <v>2712</v>
      </c>
      <c r="C2746" s="9">
        <v>10100427</v>
      </c>
      <c r="D2746" s="2" t="s">
        <v>4119</v>
      </c>
      <c r="E2746" s="10">
        <v>6</v>
      </c>
      <c r="F2746" s="9" t="s">
        <v>666</v>
      </c>
      <c r="G2746" s="11">
        <v>46238</v>
      </c>
      <c r="H2746" s="12">
        <v>44.1</v>
      </c>
      <c r="I2746" s="12">
        <v>39.25</v>
      </c>
      <c r="J2746" s="9" t="s">
        <v>3</v>
      </c>
      <c r="K2746" s="8">
        <v>0</v>
      </c>
    </row>
    <row r="2747" spans="1:11">
      <c r="A2747" s="2" t="s">
        <v>663</v>
      </c>
      <c r="B2747" s="2" t="s">
        <v>2712</v>
      </c>
      <c r="C2747" s="9">
        <v>10100430</v>
      </c>
      <c r="D2747" s="2" t="s">
        <v>4120</v>
      </c>
      <c r="E2747" s="10">
        <v>6</v>
      </c>
      <c r="F2747" s="9" t="s">
        <v>666</v>
      </c>
      <c r="G2747" s="11">
        <v>46238</v>
      </c>
      <c r="H2747" s="12">
        <v>44.1</v>
      </c>
      <c r="I2747" s="12">
        <v>39.25</v>
      </c>
      <c r="J2747" s="9" t="s">
        <v>3</v>
      </c>
      <c r="K2747" s="8">
        <v>0</v>
      </c>
    </row>
    <row r="2748" spans="1:11">
      <c r="A2748" s="2" t="s">
        <v>663</v>
      </c>
      <c r="B2748" s="2" t="s">
        <v>2712</v>
      </c>
      <c r="C2748" s="9">
        <v>10100431</v>
      </c>
      <c r="D2748" s="2" t="s">
        <v>4121</v>
      </c>
      <c r="E2748" s="10">
        <v>6</v>
      </c>
      <c r="F2748" s="9" t="s">
        <v>666</v>
      </c>
      <c r="G2748" s="11">
        <v>46238</v>
      </c>
      <c r="H2748" s="12">
        <v>44.1</v>
      </c>
      <c r="I2748" s="12">
        <v>39.25</v>
      </c>
      <c r="J2748" s="9" t="s">
        <v>3</v>
      </c>
      <c r="K2748" s="8">
        <v>0</v>
      </c>
    </row>
    <row r="2749" spans="1:11">
      <c r="A2749" s="2" t="s">
        <v>2740</v>
      </c>
      <c r="B2749" s="2" t="s">
        <v>2741</v>
      </c>
      <c r="C2749" s="9">
        <v>10100432</v>
      </c>
      <c r="D2749" s="2" t="s">
        <v>4122</v>
      </c>
      <c r="E2749" s="10">
        <v>6</v>
      </c>
      <c r="F2749" s="9" t="s">
        <v>1219</v>
      </c>
      <c r="G2749" s="11">
        <v>46238</v>
      </c>
      <c r="H2749" s="12">
        <v>33.1</v>
      </c>
      <c r="I2749" s="12">
        <v>29.46</v>
      </c>
      <c r="J2749" s="9" t="s">
        <v>3</v>
      </c>
      <c r="K2749" s="8">
        <v>0</v>
      </c>
    </row>
    <row r="2750" spans="1:11">
      <c r="A2750" s="2" t="s">
        <v>2740</v>
      </c>
      <c r="B2750" s="2" t="s">
        <v>2741</v>
      </c>
      <c r="C2750" s="9">
        <v>10100433</v>
      </c>
      <c r="D2750" s="2" t="s">
        <v>4123</v>
      </c>
      <c r="E2750" s="10">
        <v>12</v>
      </c>
      <c r="F2750" s="9" t="s">
        <v>804</v>
      </c>
      <c r="G2750" s="11">
        <v>46238</v>
      </c>
      <c r="H2750" s="12">
        <v>47.38</v>
      </c>
      <c r="I2750" s="12">
        <v>42.17</v>
      </c>
      <c r="J2750" s="9" t="s">
        <v>3</v>
      </c>
      <c r="K2750" s="8">
        <v>0</v>
      </c>
    </row>
    <row r="2751" spans="1:11">
      <c r="A2751" s="2" t="s">
        <v>2740</v>
      </c>
      <c r="B2751" s="2" t="s">
        <v>2741</v>
      </c>
      <c r="C2751" s="9">
        <v>10100435</v>
      </c>
      <c r="D2751" s="2" t="s">
        <v>4124</v>
      </c>
      <c r="E2751" s="10">
        <v>12</v>
      </c>
      <c r="F2751" s="9" t="s">
        <v>804</v>
      </c>
      <c r="G2751" s="11">
        <v>46238</v>
      </c>
      <c r="H2751" s="12">
        <v>47.38</v>
      </c>
      <c r="I2751" s="12">
        <v>42.17</v>
      </c>
      <c r="J2751" s="9" t="s">
        <v>3</v>
      </c>
      <c r="K2751" s="8">
        <v>0</v>
      </c>
    </row>
    <row r="2752" spans="1:11">
      <c r="A2752" s="2" t="s">
        <v>2740</v>
      </c>
      <c r="B2752" s="2" t="s">
        <v>2741</v>
      </c>
      <c r="C2752" s="9">
        <v>10100436</v>
      </c>
      <c r="D2752" s="2" t="s">
        <v>4125</v>
      </c>
      <c r="E2752" s="10">
        <v>1</v>
      </c>
      <c r="F2752" s="9" t="s">
        <v>4126</v>
      </c>
      <c r="G2752" s="11">
        <v>46238</v>
      </c>
      <c r="H2752" s="12">
        <v>65.17</v>
      </c>
      <c r="I2752" s="12">
        <v>58</v>
      </c>
      <c r="J2752" s="9" t="s">
        <v>3</v>
      </c>
      <c r="K2752" s="8">
        <v>0</v>
      </c>
    </row>
    <row r="2753" spans="1:11">
      <c r="A2753" s="2" t="s">
        <v>2740</v>
      </c>
      <c r="B2753" s="2" t="s">
        <v>2741</v>
      </c>
      <c r="C2753" s="9">
        <v>10100437</v>
      </c>
      <c r="D2753" s="2" t="s">
        <v>4127</v>
      </c>
      <c r="E2753" s="10">
        <v>6</v>
      </c>
      <c r="F2753" s="9" t="s">
        <v>4128</v>
      </c>
      <c r="G2753" s="11">
        <v>46238</v>
      </c>
      <c r="H2753" s="12">
        <v>33.15</v>
      </c>
      <c r="I2753" s="12">
        <v>29.5</v>
      </c>
      <c r="J2753" s="9" t="s">
        <v>3</v>
      </c>
      <c r="K2753" s="8">
        <v>0</v>
      </c>
    </row>
    <row r="2754" spans="1:11">
      <c r="A2754" s="2" t="s">
        <v>663</v>
      </c>
      <c r="B2754" s="2" t="s">
        <v>2259</v>
      </c>
      <c r="C2754" s="9">
        <v>10100438</v>
      </c>
      <c r="D2754" s="2" t="s">
        <v>4129</v>
      </c>
      <c r="E2754" s="10">
        <v>12</v>
      </c>
      <c r="F2754" s="9" t="s">
        <v>991</v>
      </c>
      <c r="G2754" s="11">
        <v>46238</v>
      </c>
      <c r="H2754" s="12">
        <v>116.91</v>
      </c>
      <c r="I2754" s="12">
        <v>104.05</v>
      </c>
      <c r="J2754" s="9" t="s">
        <v>3</v>
      </c>
      <c r="K2754" s="8">
        <v>0</v>
      </c>
    </row>
    <row r="2755" spans="1:11">
      <c r="A2755" s="2" t="s">
        <v>663</v>
      </c>
      <c r="B2755" s="2" t="s">
        <v>2259</v>
      </c>
      <c r="C2755" s="9">
        <v>10100439</v>
      </c>
      <c r="D2755" s="2" t="s">
        <v>4130</v>
      </c>
      <c r="E2755" s="10">
        <v>250</v>
      </c>
      <c r="F2755" s="9" t="s">
        <v>733</v>
      </c>
      <c r="G2755" s="11">
        <v>46238</v>
      </c>
      <c r="H2755" s="12">
        <v>63.76</v>
      </c>
      <c r="I2755" s="12">
        <v>56.75</v>
      </c>
      <c r="J2755" s="9" t="s">
        <v>3</v>
      </c>
      <c r="K2755" s="8">
        <v>0</v>
      </c>
    </row>
    <row r="2756" spans="1:11">
      <c r="A2756" s="2" t="s">
        <v>842</v>
      </c>
      <c r="B2756" s="2" t="s">
        <v>4131</v>
      </c>
      <c r="C2756" s="9">
        <v>10100440</v>
      </c>
      <c r="D2756" s="2" t="s">
        <v>4132</v>
      </c>
      <c r="E2756" s="10">
        <v>8</v>
      </c>
      <c r="F2756" s="9" t="s">
        <v>4133</v>
      </c>
      <c r="G2756" s="11">
        <v>46238</v>
      </c>
      <c r="H2756" s="12">
        <v>118.09</v>
      </c>
      <c r="I2756" s="12">
        <v>105.1</v>
      </c>
      <c r="J2756" s="9" t="s">
        <v>3</v>
      </c>
      <c r="K2756" s="8">
        <v>0</v>
      </c>
    </row>
    <row r="2757" spans="1:11">
      <c r="A2757" s="2" t="s">
        <v>842</v>
      </c>
      <c r="B2757" s="2" t="s">
        <v>4131</v>
      </c>
      <c r="C2757" s="9">
        <v>10100441</v>
      </c>
      <c r="D2757" s="2" t="s">
        <v>4134</v>
      </c>
      <c r="E2757" s="10">
        <v>8</v>
      </c>
      <c r="F2757" s="9" t="s">
        <v>4133</v>
      </c>
      <c r="G2757" s="11">
        <v>46238</v>
      </c>
      <c r="H2757" s="12">
        <v>118.09</v>
      </c>
      <c r="I2757" s="12">
        <v>105.1</v>
      </c>
      <c r="J2757" s="9" t="s">
        <v>3</v>
      </c>
      <c r="K2757" s="8">
        <v>0</v>
      </c>
    </row>
    <row r="2758" spans="1:11">
      <c r="A2758" s="2" t="s">
        <v>842</v>
      </c>
      <c r="B2758" s="2" t="s">
        <v>4131</v>
      </c>
      <c r="C2758" s="9">
        <v>10100442</v>
      </c>
      <c r="D2758" s="2" t="s">
        <v>4135</v>
      </c>
      <c r="E2758" s="10">
        <v>8</v>
      </c>
      <c r="F2758" s="9" t="s">
        <v>4133</v>
      </c>
      <c r="G2758" s="11">
        <v>46238</v>
      </c>
      <c r="H2758" s="12">
        <v>118.09</v>
      </c>
      <c r="I2758" s="12">
        <v>105.1</v>
      </c>
      <c r="J2758" s="9" t="s">
        <v>3</v>
      </c>
      <c r="K2758" s="8">
        <v>0</v>
      </c>
    </row>
    <row r="2759" spans="1:11">
      <c r="A2759" s="2" t="s">
        <v>842</v>
      </c>
      <c r="B2759" s="2" t="s">
        <v>4131</v>
      </c>
      <c r="C2759" s="9">
        <v>10100443</v>
      </c>
      <c r="D2759" s="2" t="s">
        <v>4136</v>
      </c>
      <c r="E2759" s="10">
        <v>6</v>
      </c>
      <c r="F2759" s="9" t="s">
        <v>991</v>
      </c>
      <c r="G2759" s="11">
        <v>46238</v>
      </c>
      <c r="H2759" s="12">
        <v>146.13</v>
      </c>
      <c r="I2759" s="12">
        <v>130.06</v>
      </c>
      <c r="J2759" s="9" t="s">
        <v>3</v>
      </c>
      <c r="K2759" s="8">
        <v>0</v>
      </c>
    </row>
    <row r="2760" spans="1:11">
      <c r="A2760" s="2" t="s">
        <v>842</v>
      </c>
      <c r="B2760" s="2" t="s">
        <v>4131</v>
      </c>
      <c r="C2760" s="9">
        <v>10100444</v>
      </c>
      <c r="D2760" s="2" t="s">
        <v>4137</v>
      </c>
      <c r="E2760" s="10">
        <v>6</v>
      </c>
      <c r="F2760" s="9" t="s">
        <v>991</v>
      </c>
      <c r="G2760" s="11">
        <v>46238</v>
      </c>
      <c r="H2760" s="12">
        <v>154.99</v>
      </c>
      <c r="I2760" s="12">
        <v>137.94</v>
      </c>
      <c r="J2760" s="9" t="s">
        <v>3</v>
      </c>
      <c r="K2760" s="8">
        <v>0</v>
      </c>
    </row>
    <row r="2761" spans="1:11">
      <c r="A2761" s="2" t="s">
        <v>919</v>
      </c>
      <c r="B2761" s="2" t="s">
        <v>4138</v>
      </c>
      <c r="C2761" s="9">
        <v>10100445</v>
      </c>
      <c r="D2761" s="2" t="s">
        <v>4139</v>
      </c>
      <c r="E2761" s="10">
        <v>3</v>
      </c>
      <c r="F2761" s="9" t="s">
        <v>4140</v>
      </c>
      <c r="G2761" s="11">
        <v>46238</v>
      </c>
      <c r="H2761" s="12">
        <v>112.7</v>
      </c>
      <c r="I2761" s="12">
        <v>98.05</v>
      </c>
      <c r="J2761" s="9" t="s">
        <v>3</v>
      </c>
      <c r="K2761" s="8">
        <v>0</v>
      </c>
    </row>
    <row r="2762" spans="1:11">
      <c r="A2762" s="2" t="s">
        <v>919</v>
      </c>
      <c r="B2762" s="2" t="s">
        <v>4138</v>
      </c>
      <c r="C2762" s="9">
        <v>10100446</v>
      </c>
      <c r="D2762" s="2" t="s">
        <v>4141</v>
      </c>
      <c r="E2762" s="10">
        <v>3</v>
      </c>
      <c r="F2762" s="9" t="s">
        <v>4140</v>
      </c>
      <c r="G2762" s="11">
        <v>46238</v>
      </c>
      <c r="H2762" s="12">
        <v>131.72</v>
      </c>
      <c r="I2762" s="12">
        <v>114.6</v>
      </c>
      <c r="J2762" s="9" t="s">
        <v>3</v>
      </c>
      <c r="K2762" s="8">
        <v>0</v>
      </c>
    </row>
    <row r="2763" spans="1:11">
      <c r="A2763" s="2" t="s">
        <v>721</v>
      </c>
      <c r="B2763" s="2" t="s">
        <v>1161</v>
      </c>
      <c r="C2763" s="9">
        <v>10100450</v>
      </c>
      <c r="D2763" s="2" t="s">
        <v>4142</v>
      </c>
      <c r="E2763" s="10">
        <v>6</v>
      </c>
      <c r="F2763" s="9" t="s">
        <v>666</v>
      </c>
      <c r="G2763" s="11">
        <v>46238</v>
      </c>
      <c r="H2763" s="12">
        <v>26.92</v>
      </c>
      <c r="I2763" s="12">
        <v>23.96</v>
      </c>
      <c r="J2763" s="9" t="s">
        <v>3</v>
      </c>
      <c r="K2763" s="8">
        <v>0</v>
      </c>
    </row>
    <row r="2764" spans="1:11">
      <c r="A2764" s="2" t="s">
        <v>708</v>
      </c>
      <c r="B2764" s="2" t="s">
        <v>1617</v>
      </c>
      <c r="C2764" s="9">
        <v>10100460</v>
      </c>
      <c r="D2764" s="2" t="s">
        <v>4143</v>
      </c>
      <c r="E2764" s="10">
        <v>8</v>
      </c>
      <c r="F2764" s="9" t="s">
        <v>1695</v>
      </c>
      <c r="G2764" s="11">
        <v>46238</v>
      </c>
      <c r="H2764" s="12">
        <v>61.88</v>
      </c>
      <c r="I2764" s="12">
        <v>55.07</v>
      </c>
      <c r="J2764" s="9" t="s">
        <v>3</v>
      </c>
      <c r="K2764" s="8">
        <v>0</v>
      </c>
    </row>
    <row r="2765" spans="1:11">
      <c r="A2765" s="2" t="s">
        <v>851</v>
      </c>
      <c r="B2765" s="2" t="s">
        <v>1965</v>
      </c>
      <c r="C2765" s="9">
        <v>10100461</v>
      </c>
      <c r="D2765" s="2" t="s">
        <v>4144</v>
      </c>
      <c r="E2765" s="10">
        <v>12</v>
      </c>
      <c r="F2765" s="9" t="s">
        <v>770</v>
      </c>
      <c r="G2765" s="11">
        <v>46238</v>
      </c>
      <c r="H2765" s="12">
        <v>82.86</v>
      </c>
      <c r="I2765" s="12">
        <v>82.86</v>
      </c>
      <c r="J2765" s="9" t="s">
        <v>3</v>
      </c>
      <c r="K2765" s="8">
        <v>0</v>
      </c>
    </row>
    <row r="2766" spans="1:11">
      <c r="A2766" s="2" t="s">
        <v>891</v>
      </c>
      <c r="B2766" s="2" t="s">
        <v>4145</v>
      </c>
      <c r="C2766" s="9">
        <v>10100462</v>
      </c>
      <c r="D2766" s="2" t="s">
        <v>4146</v>
      </c>
      <c r="E2766" s="10">
        <v>48</v>
      </c>
      <c r="F2766" s="9" t="s">
        <v>1546</v>
      </c>
      <c r="G2766" s="11">
        <v>46238</v>
      </c>
      <c r="H2766" s="12">
        <v>0</v>
      </c>
      <c r="I2766" s="12">
        <v>0</v>
      </c>
      <c r="J2766" s="9" t="s">
        <v>3</v>
      </c>
      <c r="K2766" s="8">
        <v>0</v>
      </c>
    </row>
    <row r="2767" spans="1:11">
      <c r="A2767" s="2" t="s">
        <v>851</v>
      </c>
      <c r="B2767" s="2" t="s">
        <v>1965</v>
      </c>
      <c r="C2767" s="9">
        <v>10100463</v>
      </c>
      <c r="D2767" s="2" t="s">
        <v>4147</v>
      </c>
      <c r="E2767" s="10">
        <v>36</v>
      </c>
      <c r="F2767" s="9" t="s">
        <v>2233</v>
      </c>
      <c r="G2767" s="11">
        <v>46238</v>
      </c>
      <c r="H2767" s="12">
        <v>72.760000000000005</v>
      </c>
      <c r="I2767" s="12">
        <v>72.760000000000005</v>
      </c>
      <c r="J2767" s="9" t="s">
        <v>3</v>
      </c>
      <c r="K2767" s="8">
        <v>0</v>
      </c>
    </row>
    <row r="2768" spans="1:11">
      <c r="A2768" s="2" t="s">
        <v>851</v>
      </c>
      <c r="B2768" s="2" t="s">
        <v>1965</v>
      </c>
      <c r="C2768" s="9">
        <v>10100465</v>
      </c>
      <c r="D2768" s="2" t="s">
        <v>4148</v>
      </c>
      <c r="E2768" s="10">
        <v>36</v>
      </c>
      <c r="F2768" s="9" t="s">
        <v>2233</v>
      </c>
      <c r="G2768" s="11">
        <v>46238</v>
      </c>
      <c r="H2768" s="12">
        <v>72.760000000000005</v>
      </c>
      <c r="I2768" s="12">
        <v>72.760000000000005</v>
      </c>
      <c r="J2768" s="9" t="s">
        <v>3</v>
      </c>
      <c r="K2768" s="8">
        <v>0</v>
      </c>
    </row>
    <row r="2769" spans="1:11">
      <c r="A2769" s="2" t="s">
        <v>851</v>
      </c>
      <c r="B2769" s="2" t="s">
        <v>1965</v>
      </c>
      <c r="C2769" s="9">
        <v>10100466</v>
      </c>
      <c r="D2769" s="2" t="s">
        <v>4149</v>
      </c>
      <c r="E2769" s="10">
        <v>10</v>
      </c>
      <c r="F2769" s="9" t="s">
        <v>770</v>
      </c>
      <c r="G2769" s="11">
        <v>46238</v>
      </c>
      <c r="H2769" s="12">
        <v>72.209999999999994</v>
      </c>
      <c r="I2769" s="12">
        <v>72.209999999999994</v>
      </c>
      <c r="J2769" s="9" t="s">
        <v>3</v>
      </c>
      <c r="K2769" s="8">
        <v>0</v>
      </c>
    </row>
    <row r="2770" spans="1:11">
      <c r="A2770" s="2" t="s">
        <v>851</v>
      </c>
      <c r="B2770" s="2" t="s">
        <v>1965</v>
      </c>
      <c r="C2770" s="9">
        <v>10100467</v>
      </c>
      <c r="D2770" s="2" t="s">
        <v>4150</v>
      </c>
      <c r="E2770" s="10">
        <v>10</v>
      </c>
      <c r="F2770" s="9" t="s">
        <v>770</v>
      </c>
      <c r="G2770" s="11">
        <v>46238</v>
      </c>
      <c r="H2770" s="12">
        <v>77.7</v>
      </c>
      <c r="I2770" s="12">
        <v>77.7</v>
      </c>
      <c r="J2770" s="9" t="s">
        <v>3</v>
      </c>
      <c r="K2770" s="8">
        <v>0</v>
      </c>
    </row>
    <row r="2771" spans="1:11">
      <c r="A2771" s="2" t="s">
        <v>663</v>
      </c>
      <c r="B2771" s="2" t="s">
        <v>2362</v>
      </c>
      <c r="C2771" s="9">
        <v>10100468</v>
      </c>
      <c r="D2771" s="2" t="s">
        <v>4151</v>
      </c>
      <c r="E2771" s="10">
        <v>6</v>
      </c>
      <c r="F2771" s="9" t="s">
        <v>1494</v>
      </c>
      <c r="G2771" s="11">
        <v>46238</v>
      </c>
      <c r="H2771" s="12">
        <v>42.88</v>
      </c>
      <c r="I2771" s="12">
        <v>38.159999999999997</v>
      </c>
      <c r="J2771" s="9" t="s">
        <v>3</v>
      </c>
      <c r="K2771" s="8">
        <v>0</v>
      </c>
    </row>
    <row r="2772" spans="1:11">
      <c r="A2772" s="2" t="s">
        <v>663</v>
      </c>
      <c r="B2772" s="2" t="s">
        <v>2362</v>
      </c>
      <c r="C2772" s="9">
        <v>10100469</v>
      </c>
      <c r="D2772" s="2" t="s">
        <v>4152</v>
      </c>
      <c r="E2772" s="10">
        <v>6</v>
      </c>
      <c r="F2772" s="9" t="s">
        <v>3662</v>
      </c>
      <c r="G2772" s="11">
        <v>46238</v>
      </c>
      <c r="H2772" s="12">
        <v>42.88</v>
      </c>
      <c r="I2772" s="12">
        <v>38.159999999999997</v>
      </c>
      <c r="J2772" s="9" t="s">
        <v>3</v>
      </c>
      <c r="K2772" s="8">
        <v>0</v>
      </c>
    </row>
    <row r="2773" spans="1:11">
      <c r="A2773" s="2" t="s">
        <v>891</v>
      </c>
      <c r="B2773" s="2" t="s">
        <v>4145</v>
      </c>
      <c r="C2773" s="9">
        <v>10100470</v>
      </c>
      <c r="D2773" s="2" t="s">
        <v>4153</v>
      </c>
      <c r="E2773" s="10">
        <v>48</v>
      </c>
      <c r="F2773" s="9" t="s">
        <v>1546</v>
      </c>
      <c r="G2773" s="11">
        <v>46238</v>
      </c>
      <c r="H2773" s="12">
        <v>0</v>
      </c>
      <c r="I2773" s="12">
        <v>0</v>
      </c>
      <c r="J2773" s="9" t="s">
        <v>3</v>
      </c>
      <c r="K2773" s="8">
        <v>0</v>
      </c>
    </row>
    <row r="2774" spans="1:11">
      <c r="A2774" s="2" t="s">
        <v>891</v>
      </c>
      <c r="B2774" s="2" t="s">
        <v>4145</v>
      </c>
      <c r="C2774" s="9">
        <v>10100471</v>
      </c>
      <c r="D2774" s="2" t="s">
        <v>4154</v>
      </c>
      <c r="E2774" s="10">
        <v>48</v>
      </c>
      <c r="F2774" s="9" t="s">
        <v>1546</v>
      </c>
      <c r="G2774" s="11">
        <v>46238</v>
      </c>
      <c r="H2774" s="12">
        <v>0</v>
      </c>
      <c r="I2774" s="12">
        <v>0</v>
      </c>
      <c r="J2774" s="9" t="s">
        <v>3</v>
      </c>
      <c r="K2774" s="8">
        <v>0</v>
      </c>
    </row>
    <row r="2775" spans="1:11">
      <c r="A2775" s="2" t="s">
        <v>891</v>
      </c>
      <c r="B2775" s="2" t="s">
        <v>4155</v>
      </c>
      <c r="C2775" s="9">
        <v>10100472</v>
      </c>
      <c r="D2775" s="2" t="s">
        <v>4156</v>
      </c>
      <c r="E2775" s="10">
        <v>6</v>
      </c>
      <c r="F2775" s="9" t="s">
        <v>4157</v>
      </c>
      <c r="G2775" s="11">
        <v>46238</v>
      </c>
      <c r="H2775" s="12">
        <v>0</v>
      </c>
      <c r="I2775" s="12">
        <v>0</v>
      </c>
      <c r="J2775" s="9" t="s">
        <v>3</v>
      </c>
      <c r="K2775" s="8">
        <v>0</v>
      </c>
    </row>
    <row r="2776" spans="1:11">
      <c r="A2776" s="2" t="s">
        <v>891</v>
      </c>
      <c r="B2776" s="2" t="s">
        <v>4145</v>
      </c>
      <c r="C2776" s="9">
        <v>10100473</v>
      </c>
      <c r="D2776" s="2" t="s">
        <v>4158</v>
      </c>
      <c r="E2776" s="10">
        <v>48</v>
      </c>
      <c r="F2776" s="9" t="s">
        <v>1546</v>
      </c>
      <c r="G2776" s="11">
        <v>46238</v>
      </c>
      <c r="H2776" s="12">
        <v>0</v>
      </c>
      <c r="I2776" s="12">
        <v>0</v>
      </c>
      <c r="J2776" s="9" t="s">
        <v>3</v>
      </c>
      <c r="K2776" s="8">
        <v>0</v>
      </c>
    </row>
    <row r="2777" spans="1:11">
      <c r="A2777" s="2" t="s">
        <v>891</v>
      </c>
      <c r="B2777" s="2" t="s">
        <v>4155</v>
      </c>
      <c r="C2777" s="9">
        <v>10100474</v>
      </c>
      <c r="D2777" s="2" t="s">
        <v>4159</v>
      </c>
      <c r="E2777" s="10">
        <v>6</v>
      </c>
      <c r="F2777" s="9" t="s">
        <v>4157</v>
      </c>
      <c r="G2777" s="11">
        <v>46238</v>
      </c>
      <c r="H2777" s="12">
        <v>0</v>
      </c>
      <c r="I2777" s="12">
        <v>0</v>
      </c>
      <c r="J2777" s="9" t="s">
        <v>3</v>
      </c>
      <c r="K2777" s="8">
        <v>0</v>
      </c>
    </row>
    <row r="2778" spans="1:11">
      <c r="A2778" s="2" t="s">
        <v>851</v>
      </c>
      <c r="B2778" s="2" t="s">
        <v>852</v>
      </c>
      <c r="C2778" s="9">
        <v>10100475</v>
      </c>
      <c r="D2778" s="2" t="s">
        <v>4160</v>
      </c>
      <c r="E2778" s="10">
        <v>8</v>
      </c>
      <c r="F2778" s="9" t="s">
        <v>1323</v>
      </c>
      <c r="G2778" s="11">
        <v>46238</v>
      </c>
      <c r="H2778" s="12">
        <v>43.01</v>
      </c>
      <c r="I2778" s="12">
        <v>38.28</v>
      </c>
      <c r="J2778" s="9" t="s">
        <v>3</v>
      </c>
      <c r="K2778" s="8">
        <v>0</v>
      </c>
    </row>
    <row r="2779" spans="1:11">
      <c r="A2779" s="2" t="s">
        <v>851</v>
      </c>
      <c r="B2779" s="2" t="s">
        <v>852</v>
      </c>
      <c r="C2779" s="9">
        <v>10100476</v>
      </c>
      <c r="D2779" s="2" t="s">
        <v>4161</v>
      </c>
      <c r="E2779" s="10">
        <v>8</v>
      </c>
      <c r="F2779" s="9" t="s">
        <v>1944</v>
      </c>
      <c r="G2779" s="11">
        <v>46238</v>
      </c>
      <c r="H2779" s="12">
        <v>70.53</v>
      </c>
      <c r="I2779" s="12">
        <v>62.77</v>
      </c>
      <c r="J2779" s="9" t="s">
        <v>3</v>
      </c>
      <c r="K2779" s="8">
        <v>0</v>
      </c>
    </row>
    <row r="2780" spans="1:11">
      <c r="A2780" s="2" t="s">
        <v>851</v>
      </c>
      <c r="B2780" s="2" t="s">
        <v>852</v>
      </c>
      <c r="C2780" s="9">
        <v>10100477</v>
      </c>
      <c r="D2780" s="2" t="s">
        <v>4162</v>
      </c>
      <c r="E2780" s="10">
        <v>8</v>
      </c>
      <c r="F2780" s="9" t="s">
        <v>3683</v>
      </c>
      <c r="G2780" s="11">
        <v>46238</v>
      </c>
      <c r="H2780" s="12">
        <v>43.01</v>
      </c>
      <c r="I2780" s="12">
        <v>38.28</v>
      </c>
      <c r="J2780" s="9" t="s">
        <v>3</v>
      </c>
      <c r="K2780" s="8">
        <v>0</v>
      </c>
    </row>
    <row r="2781" spans="1:11">
      <c r="A2781" s="2" t="s">
        <v>851</v>
      </c>
      <c r="B2781" s="2" t="s">
        <v>852</v>
      </c>
      <c r="C2781" s="9">
        <v>10100478</v>
      </c>
      <c r="D2781" s="2" t="s">
        <v>4163</v>
      </c>
      <c r="E2781" s="10">
        <v>12</v>
      </c>
      <c r="F2781" s="9" t="s">
        <v>969</v>
      </c>
      <c r="G2781" s="11">
        <v>46238</v>
      </c>
      <c r="H2781" s="12">
        <v>60.2</v>
      </c>
      <c r="I2781" s="12">
        <v>53.58</v>
      </c>
      <c r="J2781" s="9" t="s">
        <v>3</v>
      </c>
      <c r="K2781" s="8">
        <v>0</v>
      </c>
    </row>
    <row r="2782" spans="1:11">
      <c r="A2782" s="2" t="s">
        <v>851</v>
      </c>
      <c r="B2782" s="2" t="s">
        <v>852</v>
      </c>
      <c r="C2782" s="9">
        <v>10100479</v>
      </c>
      <c r="D2782" s="2" t="s">
        <v>4164</v>
      </c>
      <c r="E2782" s="10">
        <v>8</v>
      </c>
      <c r="F2782" s="9" t="s">
        <v>4165</v>
      </c>
      <c r="G2782" s="11">
        <v>46238</v>
      </c>
      <c r="H2782" s="12">
        <v>32.18</v>
      </c>
      <c r="I2782" s="12">
        <v>28.64</v>
      </c>
      <c r="J2782" s="9" t="s">
        <v>3</v>
      </c>
      <c r="K2782" s="8">
        <v>0</v>
      </c>
    </row>
    <row r="2783" spans="1:11">
      <c r="A2783" s="2" t="s">
        <v>851</v>
      </c>
      <c r="B2783" s="2" t="s">
        <v>852</v>
      </c>
      <c r="C2783" s="9">
        <v>10100480</v>
      </c>
      <c r="D2783" s="2" t="s">
        <v>4166</v>
      </c>
      <c r="E2783" s="10">
        <v>12</v>
      </c>
      <c r="F2783" s="9" t="s">
        <v>2817</v>
      </c>
      <c r="G2783" s="11">
        <v>46238</v>
      </c>
      <c r="H2783" s="12">
        <v>32.18</v>
      </c>
      <c r="I2783" s="12">
        <v>28.64</v>
      </c>
      <c r="J2783" s="9" t="s">
        <v>3</v>
      </c>
      <c r="K2783" s="8">
        <v>0</v>
      </c>
    </row>
    <row r="2784" spans="1:11">
      <c r="A2784" s="2" t="s">
        <v>851</v>
      </c>
      <c r="B2784" s="2" t="s">
        <v>852</v>
      </c>
      <c r="C2784" s="9">
        <v>10100481</v>
      </c>
      <c r="D2784" s="2" t="s">
        <v>4167</v>
      </c>
      <c r="E2784" s="10">
        <v>12</v>
      </c>
      <c r="F2784" s="9" t="s">
        <v>1689</v>
      </c>
      <c r="G2784" s="11">
        <v>46238</v>
      </c>
      <c r="H2784" s="12">
        <v>32.18</v>
      </c>
      <c r="I2784" s="12">
        <v>28.64</v>
      </c>
      <c r="J2784" s="9" t="s">
        <v>3</v>
      </c>
      <c r="K2784" s="8">
        <v>0</v>
      </c>
    </row>
    <row r="2785" spans="1:11">
      <c r="A2785" s="2" t="s">
        <v>851</v>
      </c>
      <c r="B2785" s="2" t="s">
        <v>852</v>
      </c>
      <c r="C2785" s="9">
        <v>10100482</v>
      </c>
      <c r="D2785" s="2" t="s">
        <v>4168</v>
      </c>
      <c r="E2785" s="10">
        <v>8</v>
      </c>
      <c r="F2785" s="9" t="s">
        <v>1753</v>
      </c>
      <c r="G2785" s="11">
        <v>46238</v>
      </c>
      <c r="H2785" s="12">
        <v>70.53</v>
      </c>
      <c r="I2785" s="12">
        <v>62.77</v>
      </c>
      <c r="J2785" s="9" t="s">
        <v>3</v>
      </c>
      <c r="K2785" s="8">
        <v>0</v>
      </c>
    </row>
    <row r="2786" spans="1:11">
      <c r="A2786" s="2" t="s">
        <v>851</v>
      </c>
      <c r="B2786" s="2" t="s">
        <v>852</v>
      </c>
      <c r="C2786" s="9">
        <v>10100483</v>
      </c>
      <c r="D2786" s="2" t="s">
        <v>4169</v>
      </c>
      <c r="E2786" s="10">
        <v>12</v>
      </c>
      <c r="F2786" s="9" t="s">
        <v>690</v>
      </c>
      <c r="G2786" s="11">
        <v>46238</v>
      </c>
      <c r="H2786" s="12">
        <v>67.56</v>
      </c>
      <c r="I2786" s="12">
        <v>60.13</v>
      </c>
      <c r="J2786" s="9" t="s">
        <v>3</v>
      </c>
      <c r="K2786" s="8">
        <v>0</v>
      </c>
    </row>
    <row r="2787" spans="1:11">
      <c r="A2787" s="2" t="s">
        <v>891</v>
      </c>
      <c r="B2787" s="2" t="s">
        <v>4145</v>
      </c>
      <c r="C2787" s="9">
        <v>10100484</v>
      </c>
      <c r="D2787" s="2" t="s">
        <v>4170</v>
      </c>
      <c r="E2787" s="10">
        <v>48</v>
      </c>
      <c r="F2787" s="9" t="s">
        <v>1546</v>
      </c>
      <c r="G2787" s="11">
        <v>46238</v>
      </c>
      <c r="H2787" s="12">
        <v>0</v>
      </c>
      <c r="I2787" s="12">
        <v>0</v>
      </c>
      <c r="J2787" s="9" t="s">
        <v>3</v>
      </c>
      <c r="K2787" s="8">
        <v>0</v>
      </c>
    </row>
    <row r="2788" spans="1:11">
      <c r="A2788" s="2" t="s">
        <v>851</v>
      </c>
      <c r="B2788" s="2" t="s">
        <v>852</v>
      </c>
      <c r="C2788" s="9">
        <v>10100485</v>
      </c>
      <c r="D2788" s="2" t="s">
        <v>4171</v>
      </c>
      <c r="E2788" s="10">
        <v>12</v>
      </c>
      <c r="F2788" s="9" t="s">
        <v>693</v>
      </c>
      <c r="G2788" s="11">
        <v>46238</v>
      </c>
      <c r="H2788" s="12">
        <v>67.56</v>
      </c>
      <c r="I2788" s="12">
        <v>60.13</v>
      </c>
      <c r="J2788" s="9" t="s">
        <v>3</v>
      </c>
      <c r="K2788" s="8">
        <v>0</v>
      </c>
    </row>
    <row r="2789" spans="1:11">
      <c r="A2789" s="2" t="s">
        <v>851</v>
      </c>
      <c r="B2789" s="2" t="s">
        <v>852</v>
      </c>
      <c r="C2789" s="9">
        <v>10100486</v>
      </c>
      <c r="D2789" s="2" t="s">
        <v>4172</v>
      </c>
      <c r="E2789" s="10">
        <v>12</v>
      </c>
      <c r="F2789" s="9" t="s">
        <v>693</v>
      </c>
      <c r="G2789" s="11">
        <v>46238</v>
      </c>
      <c r="H2789" s="12">
        <v>54.55</v>
      </c>
      <c r="I2789" s="12">
        <v>48.55</v>
      </c>
      <c r="J2789" s="9" t="s">
        <v>3</v>
      </c>
      <c r="K2789" s="8">
        <v>0</v>
      </c>
    </row>
    <row r="2790" spans="1:11">
      <c r="A2790" s="2" t="s">
        <v>851</v>
      </c>
      <c r="B2790" s="2" t="s">
        <v>852</v>
      </c>
      <c r="C2790" s="9">
        <v>10100487</v>
      </c>
      <c r="D2790" s="2" t="s">
        <v>593</v>
      </c>
      <c r="E2790" s="10">
        <v>12</v>
      </c>
      <c r="F2790" s="9" t="s">
        <v>969</v>
      </c>
      <c r="G2790" s="11">
        <v>46238</v>
      </c>
      <c r="H2790" s="12">
        <v>60.2</v>
      </c>
      <c r="I2790" s="12">
        <v>53.58</v>
      </c>
      <c r="J2790" s="9" t="s">
        <v>3</v>
      </c>
      <c r="K2790" s="8">
        <v>0</v>
      </c>
    </row>
    <row r="2791" spans="1:11">
      <c r="A2791" s="2" t="s">
        <v>851</v>
      </c>
      <c r="B2791" s="2" t="s">
        <v>852</v>
      </c>
      <c r="C2791" s="9">
        <v>10100488</v>
      </c>
      <c r="D2791" s="2" t="s">
        <v>4173</v>
      </c>
      <c r="E2791" s="10">
        <v>8</v>
      </c>
      <c r="F2791" s="9" t="s">
        <v>1045</v>
      </c>
      <c r="G2791" s="11">
        <v>46238</v>
      </c>
      <c r="H2791" s="12">
        <v>43.01</v>
      </c>
      <c r="I2791" s="12">
        <v>38.28</v>
      </c>
      <c r="J2791" s="9" t="s">
        <v>3</v>
      </c>
      <c r="K2791" s="8">
        <v>0</v>
      </c>
    </row>
    <row r="2792" spans="1:11">
      <c r="A2792" s="2" t="s">
        <v>851</v>
      </c>
      <c r="B2792" s="2" t="s">
        <v>852</v>
      </c>
      <c r="C2792" s="9">
        <v>10100489</v>
      </c>
      <c r="D2792" s="2" t="s">
        <v>4174</v>
      </c>
      <c r="E2792" s="10">
        <v>24</v>
      </c>
      <c r="F2792" s="9" t="s">
        <v>4175</v>
      </c>
      <c r="G2792" s="11">
        <v>46238</v>
      </c>
      <c r="H2792" s="12">
        <v>33.53</v>
      </c>
      <c r="I2792" s="12">
        <v>29.84</v>
      </c>
      <c r="J2792" s="9" t="s">
        <v>3</v>
      </c>
      <c r="K2792" s="8">
        <v>0</v>
      </c>
    </row>
    <row r="2793" spans="1:11">
      <c r="A2793" s="2" t="s">
        <v>891</v>
      </c>
      <c r="B2793" s="2" t="s">
        <v>4176</v>
      </c>
      <c r="C2793" s="9">
        <v>10100490</v>
      </c>
      <c r="D2793" s="2" t="s">
        <v>4177</v>
      </c>
      <c r="E2793" s="10">
        <v>24</v>
      </c>
      <c r="F2793" s="9" t="s">
        <v>4178</v>
      </c>
      <c r="G2793" s="11">
        <v>46238</v>
      </c>
      <c r="H2793" s="12">
        <v>0</v>
      </c>
      <c r="I2793" s="12">
        <v>0</v>
      </c>
      <c r="J2793" s="9" t="s">
        <v>3</v>
      </c>
      <c r="K2793" s="8">
        <v>0</v>
      </c>
    </row>
    <row r="2794" spans="1:11">
      <c r="A2794" s="2" t="s">
        <v>891</v>
      </c>
      <c r="B2794" s="2" t="s">
        <v>4176</v>
      </c>
      <c r="C2794" s="9">
        <v>10100491</v>
      </c>
      <c r="D2794" s="2" t="s">
        <v>4179</v>
      </c>
      <c r="E2794" s="10">
        <v>24</v>
      </c>
      <c r="F2794" s="9" t="s">
        <v>882</v>
      </c>
      <c r="G2794" s="11">
        <v>46238</v>
      </c>
      <c r="H2794" s="12">
        <v>0</v>
      </c>
      <c r="I2794" s="12">
        <v>0</v>
      </c>
      <c r="J2794" s="9" t="s">
        <v>3</v>
      </c>
      <c r="K2794" s="8">
        <v>0</v>
      </c>
    </row>
    <row r="2795" spans="1:11">
      <c r="A2795" s="2" t="s">
        <v>891</v>
      </c>
      <c r="B2795" s="2" t="s">
        <v>4176</v>
      </c>
      <c r="C2795" s="9">
        <v>10100492</v>
      </c>
      <c r="D2795" s="2" t="s">
        <v>4180</v>
      </c>
      <c r="E2795" s="10">
        <v>24</v>
      </c>
      <c r="F2795" s="9" t="s">
        <v>4178</v>
      </c>
      <c r="G2795" s="11">
        <v>46238</v>
      </c>
      <c r="H2795" s="12">
        <v>0</v>
      </c>
      <c r="I2795" s="12">
        <v>0</v>
      </c>
      <c r="J2795" s="9" t="s">
        <v>3</v>
      </c>
      <c r="K2795" s="8">
        <v>0</v>
      </c>
    </row>
    <row r="2796" spans="1:11">
      <c r="A2796" s="2" t="s">
        <v>891</v>
      </c>
      <c r="B2796" s="2" t="s">
        <v>4176</v>
      </c>
      <c r="C2796" s="9">
        <v>10100493</v>
      </c>
      <c r="D2796" s="2" t="s">
        <v>4181</v>
      </c>
      <c r="E2796" s="10">
        <v>24</v>
      </c>
      <c r="F2796" s="9" t="s">
        <v>882</v>
      </c>
      <c r="G2796" s="11">
        <v>46238</v>
      </c>
      <c r="H2796" s="12">
        <v>0</v>
      </c>
      <c r="I2796" s="12">
        <v>0</v>
      </c>
      <c r="J2796" s="9" t="s">
        <v>3</v>
      </c>
      <c r="K2796" s="8">
        <v>0</v>
      </c>
    </row>
    <row r="2797" spans="1:11">
      <c r="A2797" s="2" t="s">
        <v>891</v>
      </c>
      <c r="B2797" s="2" t="s">
        <v>4182</v>
      </c>
      <c r="C2797" s="9">
        <v>10100494</v>
      </c>
      <c r="D2797" s="2" t="s">
        <v>4183</v>
      </c>
      <c r="E2797" s="10">
        <v>8</v>
      </c>
      <c r="F2797" s="9" t="s">
        <v>1392</v>
      </c>
      <c r="G2797" s="11">
        <v>46238</v>
      </c>
      <c r="H2797" s="12">
        <v>0</v>
      </c>
      <c r="I2797" s="12">
        <v>0</v>
      </c>
      <c r="J2797" s="9" t="s">
        <v>3</v>
      </c>
      <c r="K2797" s="8">
        <v>0</v>
      </c>
    </row>
    <row r="2798" spans="1:11">
      <c r="A2798" s="2" t="s">
        <v>891</v>
      </c>
      <c r="B2798" s="2" t="s">
        <v>4145</v>
      </c>
      <c r="C2798" s="9">
        <v>10100495</v>
      </c>
      <c r="D2798" s="2" t="s">
        <v>4184</v>
      </c>
      <c r="E2798" s="10">
        <v>48</v>
      </c>
      <c r="F2798" s="9" t="s">
        <v>1546</v>
      </c>
      <c r="G2798" s="11">
        <v>46238</v>
      </c>
      <c r="H2798" s="12">
        <v>0</v>
      </c>
      <c r="I2798" s="12">
        <v>0</v>
      </c>
      <c r="J2798" s="9" t="s">
        <v>3</v>
      </c>
      <c r="K2798" s="8">
        <v>0</v>
      </c>
    </row>
    <row r="2799" spans="1:11">
      <c r="A2799" s="2" t="s">
        <v>891</v>
      </c>
      <c r="B2799" s="2" t="s">
        <v>4182</v>
      </c>
      <c r="C2799" s="9">
        <v>10100496</v>
      </c>
      <c r="D2799" s="2" t="s">
        <v>4185</v>
      </c>
      <c r="E2799" s="10">
        <v>24</v>
      </c>
      <c r="F2799" s="9" t="s">
        <v>1392</v>
      </c>
      <c r="G2799" s="11">
        <v>46238</v>
      </c>
      <c r="H2799" s="12">
        <v>0</v>
      </c>
      <c r="I2799" s="12">
        <v>0</v>
      </c>
      <c r="J2799" s="9" t="s">
        <v>3</v>
      </c>
      <c r="K2799" s="8">
        <v>0</v>
      </c>
    </row>
    <row r="2800" spans="1:11">
      <c r="A2800" s="2" t="s">
        <v>891</v>
      </c>
      <c r="B2800" s="2" t="s">
        <v>4182</v>
      </c>
      <c r="C2800" s="9">
        <v>10100497</v>
      </c>
      <c r="D2800" s="2" t="s">
        <v>4186</v>
      </c>
      <c r="E2800" s="10">
        <v>24</v>
      </c>
      <c r="F2800" s="9" t="s">
        <v>1392</v>
      </c>
      <c r="G2800" s="11">
        <v>46238</v>
      </c>
      <c r="H2800" s="12">
        <v>0</v>
      </c>
      <c r="I2800" s="12">
        <v>0</v>
      </c>
      <c r="J2800" s="9" t="s">
        <v>3</v>
      </c>
      <c r="K2800" s="8">
        <v>0</v>
      </c>
    </row>
    <row r="2801" spans="1:11">
      <c r="A2801" s="2" t="s">
        <v>891</v>
      </c>
      <c r="B2801" s="2" t="s">
        <v>4187</v>
      </c>
      <c r="C2801" s="9">
        <v>10100498</v>
      </c>
      <c r="D2801" s="2" t="s">
        <v>4188</v>
      </c>
      <c r="E2801" s="10">
        <v>48</v>
      </c>
      <c r="F2801" s="9" t="s">
        <v>4189</v>
      </c>
      <c r="G2801" s="11">
        <v>46238</v>
      </c>
      <c r="H2801" s="12">
        <v>0</v>
      </c>
      <c r="I2801" s="12">
        <v>0</v>
      </c>
      <c r="J2801" s="9" t="s">
        <v>3</v>
      </c>
      <c r="K2801" s="8">
        <v>0</v>
      </c>
    </row>
    <row r="2802" spans="1:11">
      <c r="A2802" s="2" t="s">
        <v>891</v>
      </c>
      <c r="B2802" s="2" t="s">
        <v>4187</v>
      </c>
      <c r="C2802" s="9">
        <v>10100499</v>
      </c>
      <c r="D2802" s="2" t="s">
        <v>4190</v>
      </c>
      <c r="E2802" s="10">
        <v>96</v>
      </c>
      <c r="F2802" s="9" t="s">
        <v>4191</v>
      </c>
      <c r="G2802" s="11">
        <v>46238</v>
      </c>
      <c r="H2802" s="12">
        <v>0</v>
      </c>
      <c r="I2802" s="12">
        <v>0</v>
      </c>
      <c r="J2802" s="9" t="s">
        <v>3</v>
      </c>
      <c r="K2802" s="8">
        <v>0</v>
      </c>
    </row>
    <row r="2803" spans="1:11">
      <c r="A2803" s="2" t="s">
        <v>891</v>
      </c>
      <c r="B2803" s="2" t="s">
        <v>4187</v>
      </c>
      <c r="C2803" s="9">
        <v>10100500</v>
      </c>
      <c r="D2803" s="2" t="s">
        <v>4192</v>
      </c>
      <c r="E2803" s="10">
        <v>24</v>
      </c>
      <c r="F2803" s="9" t="s">
        <v>2015</v>
      </c>
      <c r="G2803" s="11">
        <v>46238</v>
      </c>
      <c r="H2803" s="12">
        <v>0</v>
      </c>
      <c r="I2803" s="12">
        <v>0</v>
      </c>
      <c r="J2803" s="9" t="s">
        <v>3</v>
      </c>
      <c r="K2803" s="8">
        <v>0</v>
      </c>
    </row>
    <row r="2804" spans="1:11">
      <c r="A2804" s="2" t="s">
        <v>891</v>
      </c>
      <c r="B2804" s="2" t="s">
        <v>4187</v>
      </c>
      <c r="C2804" s="9">
        <v>10100501</v>
      </c>
      <c r="D2804" s="2" t="s">
        <v>4193</v>
      </c>
      <c r="E2804" s="10">
        <v>216</v>
      </c>
      <c r="F2804" s="9" t="s">
        <v>1068</v>
      </c>
      <c r="G2804" s="11">
        <v>46238</v>
      </c>
      <c r="H2804" s="12">
        <v>0</v>
      </c>
      <c r="I2804" s="12">
        <v>0</v>
      </c>
      <c r="J2804" s="9" t="s">
        <v>3</v>
      </c>
      <c r="K2804" s="8">
        <v>0</v>
      </c>
    </row>
    <row r="2805" spans="1:11">
      <c r="A2805" s="2" t="s">
        <v>891</v>
      </c>
      <c r="B2805" s="2" t="s">
        <v>4187</v>
      </c>
      <c r="C2805" s="9">
        <v>10100502</v>
      </c>
      <c r="D2805" s="2" t="s">
        <v>4194</v>
      </c>
      <c r="E2805" s="10">
        <v>144</v>
      </c>
      <c r="F2805" s="9" t="s">
        <v>4195</v>
      </c>
      <c r="G2805" s="11">
        <v>46238</v>
      </c>
      <c r="H2805" s="12">
        <v>0</v>
      </c>
      <c r="I2805" s="12">
        <v>0</v>
      </c>
      <c r="J2805" s="9" t="s">
        <v>3</v>
      </c>
      <c r="K2805" s="8">
        <v>0</v>
      </c>
    </row>
    <row r="2806" spans="1:11">
      <c r="A2806" s="2" t="s">
        <v>891</v>
      </c>
      <c r="B2806" s="2" t="s">
        <v>4187</v>
      </c>
      <c r="C2806" s="9">
        <v>10100503</v>
      </c>
      <c r="D2806" s="2" t="s">
        <v>4196</v>
      </c>
      <c r="E2806" s="10">
        <v>96</v>
      </c>
      <c r="F2806" s="9" t="s">
        <v>4197</v>
      </c>
      <c r="G2806" s="11">
        <v>46238</v>
      </c>
      <c r="H2806" s="12">
        <v>0</v>
      </c>
      <c r="I2806" s="12">
        <v>0</v>
      </c>
      <c r="J2806" s="9" t="s">
        <v>3</v>
      </c>
      <c r="K2806" s="8">
        <v>0</v>
      </c>
    </row>
    <row r="2807" spans="1:11">
      <c r="A2807" s="2" t="s">
        <v>891</v>
      </c>
      <c r="B2807" s="2" t="s">
        <v>4187</v>
      </c>
      <c r="C2807" s="9">
        <v>10100504</v>
      </c>
      <c r="D2807" s="2" t="s">
        <v>4198</v>
      </c>
      <c r="E2807" s="10">
        <v>144</v>
      </c>
      <c r="F2807" s="9" t="s">
        <v>4199</v>
      </c>
      <c r="G2807" s="11">
        <v>46238</v>
      </c>
      <c r="H2807" s="12">
        <v>0</v>
      </c>
      <c r="I2807" s="12">
        <v>0</v>
      </c>
      <c r="J2807" s="9" t="s">
        <v>3</v>
      </c>
      <c r="K2807" s="8">
        <v>0</v>
      </c>
    </row>
    <row r="2808" spans="1:11">
      <c r="A2808" s="2" t="s">
        <v>851</v>
      </c>
      <c r="B2808" s="2" t="s">
        <v>4200</v>
      </c>
      <c r="C2808" s="9">
        <v>10100505</v>
      </c>
      <c r="D2808" s="2" t="s">
        <v>4201</v>
      </c>
      <c r="E2808" s="10">
        <v>12</v>
      </c>
      <c r="F2808" s="9" t="s">
        <v>4202</v>
      </c>
      <c r="G2808" s="11">
        <v>46238</v>
      </c>
      <c r="H2808" s="12">
        <v>72.64</v>
      </c>
      <c r="I2808" s="12">
        <v>66.83</v>
      </c>
      <c r="J2808" s="9" t="s">
        <v>3</v>
      </c>
      <c r="K2808" s="8">
        <v>0</v>
      </c>
    </row>
    <row r="2809" spans="1:11">
      <c r="A2809" s="2" t="s">
        <v>891</v>
      </c>
      <c r="B2809" s="2" t="s">
        <v>4145</v>
      </c>
      <c r="C2809" s="9">
        <v>10100506</v>
      </c>
      <c r="D2809" s="2" t="s">
        <v>4203</v>
      </c>
      <c r="E2809" s="10">
        <v>48</v>
      </c>
      <c r="F2809" s="9" t="s">
        <v>1546</v>
      </c>
      <c r="G2809" s="11">
        <v>46238</v>
      </c>
      <c r="H2809" s="12">
        <v>0</v>
      </c>
      <c r="I2809" s="12">
        <v>0</v>
      </c>
      <c r="J2809" s="9" t="s">
        <v>3</v>
      </c>
      <c r="K2809" s="8">
        <v>0</v>
      </c>
    </row>
    <row r="2810" spans="1:11">
      <c r="A2810" s="2" t="s">
        <v>851</v>
      </c>
      <c r="B2810" s="2" t="s">
        <v>4200</v>
      </c>
      <c r="C2810" s="9">
        <v>10100507</v>
      </c>
      <c r="D2810" s="2" t="s">
        <v>4204</v>
      </c>
      <c r="E2810" s="10">
        <v>6</v>
      </c>
      <c r="F2810" s="9" t="s">
        <v>4205</v>
      </c>
      <c r="G2810" s="11">
        <v>46238</v>
      </c>
      <c r="H2810" s="12">
        <v>74.39</v>
      </c>
      <c r="I2810" s="12">
        <v>68.44</v>
      </c>
      <c r="J2810" s="9" t="s">
        <v>3</v>
      </c>
      <c r="K2810" s="8">
        <v>0</v>
      </c>
    </row>
    <row r="2811" spans="1:11">
      <c r="A2811" s="2" t="s">
        <v>851</v>
      </c>
      <c r="B2811" s="2" t="s">
        <v>4200</v>
      </c>
      <c r="C2811" s="9">
        <v>10100508</v>
      </c>
      <c r="D2811" s="2" t="s">
        <v>4206</v>
      </c>
      <c r="E2811" s="10">
        <v>1</v>
      </c>
      <c r="F2811" s="9" t="s">
        <v>4207</v>
      </c>
      <c r="G2811" s="11">
        <v>46238</v>
      </c>
      <c r="H2811" s="12">
        <v>139.53</v>
      </c>
      <c r="I2811" s="12">
        <v>128.37</v>
      </c>
      <c r="J2811" s="9" t="s">
        <v>3</v>
      </c>
      <c r="K2811" s="8">
        <v>0</v>
      </c>
    </row>
    <row r="2812" spans="1:11">
      <c r="A2812" s="2" t="s">
        <v>851</v>
      </c>
      <c r="B2812" s="2" t="s">
        <v>4200</v>
      </c>
      <c r="C2812" s="9">
        <v>10100509</v>
      </c>
      <c r="D2812" s="2" t="s">
        <v>4208</v>
      </c>
      <c r="E2812" s="10">
        <v>12</v>
      </c>
      <c r="F2812" s="9" t="s">
        <v>4209</v>
      </c>
      <c r="G2812" s="11">
        <v>46238</v>
      </c>
      <c r="H2812" s="12">
        <v>71.430000000000007</v>
      </c>
      <c r="I2812" s="12">
        <v>65.72</v>
      </c>
      <c r="J2812" s="9" t="s">
        <v>3</v>
      </c>
      <c r="K2812" s="8">
        <v>0</v>
      </c>
    </row>
    <row r="2813" spans="1:11">
      <c r="A2813" s="2" t="s">
        <v>851</v>
      </c>
      <c r="B2813" s="2" t="s">
        <v>4200</v>
      </c>
      <c r="C2813" s="9">
        <v>10100510</v>
      </c>
      <c r="D2813" s="2" t="s">
        <v>4210</v>
      </c>
      <c r="E2813" s="10">
        <v>12</v>
      </c>
      <c r="F2813" s="9" t="s">
        <v>4209</v>
      </c>
      <c r="G2813" s="11">
        <v>46238</v>
      </c>
      <c r="H2813" s="12">
        <v>71.430000000000007</v>
      </c>
      <c r="I2813" s="12">
        <v>65.72</v>
      </c>
      <c r="J2813" s="9" t="s">
        <v>3</v>
      </c>
      <c r="K2813" s="8">
        <v>0</v>
      </c>
    </row>
    <row r="2814" spans="1:11">
      <c r="A2814" s="2" t="s">
        <v>891</v>
      </c>
      <c r="B2814" s="2" t="s">
        <v>4211</v>
      </c>
      <c r="C2814" s="9">
        <v>10100511</v>
      </c>
      <c r="D2814" s="2" t="s">
        <v>4212</v>
      </c>
      <c r="E2814" s="10">
        <v>6</v>
      </c>
      <c r="F2814" s="9" t="s">
        <v>1718</v>
      </c>
      <c r="G2814" s="11">
        <v>46238</v>
      </c>
      <c r="H2814" s="12">
        <v>0</v>
      </c>
      <c r="I2814" s="12">
        <v>0</v>
      </c>
      <c r="J2814" s="9" t="s">
        <v>3</v>
      </c>
      <c r="K2814" s="8">
        <v>0</v>
      </c>
    </row>
    <row r="2815" spans="1:11">
      <c r="A2815" s="2" t="s">
        <v>891</v>
      </c>
      <c r="B2815" s="2" t="s">
        <v>4213</v>
      </c>
      <c r="C2815" s="9">
        <v>10100512</v>
      </c>
      <c r="D2815" s="2" t="s">
        <v>4214</v>
      </c>
      <c r="E2815" s="10">
        <v>1</v>
      </c>
      <c r="F2815" s="9" t="s">
        <v>4215</v>
      </c>
      <c r="G2815" s="11">
        <v>46238</v>
      </c>
      <c r="H2815" s="12">
        <v>0</v>
      </c>
      <c r="I2815" s="12">
        <v>0</v>
      </c>
      <c r="J2815" s="9" t="s">
        <v>3</v>
      </c>
      <c r="K2815" s="8">
        <v>0</v>
      </c>
    </row>
    <row r="2816" spans="1:11">
      <c r="A2816" s="2" t="s">
        <v>891</v>
      </c>
      <c r="B2816" s="2" t="s">
        <v>4213</v>
      </c>
      <c r="C2816" s="9">
        <v>10100513</v>
      </c>
      <c r="D2816" s="2" t="s">
        <v>4216</v>
      </c>
      <c r="E2816" s="10">
        <v>1</v>
      </c>
      <c r="F2816" s="9" t="s">
        <v>4217</v>
      </c>
      <c r="G2816" s="11">
        <v>46238</v>
      </c>
      <c r="H2816" s="12">
        <v>0</v>
      </c>
      <c r="I2816" s="12">
        <v>0</v>
      </c>
      <c r="J2816" s="9" t="s">
        <v>3</v>
      </c>
      <c r="K2816" s="8">
        <v>0</v>
      </c>
    </row>
    <row r="2817" spans="1:11">
      <c r="A2817" s="2" t="s">
        <v>891</v>
      </c>
      <c r="B2817" s="2" t="s">
        <v>4213</v>
      </c>
      <c r="C2817" s="9">
        <v>10100514</v>
      </c>
      <c r="D2817" s="2" t="s">
        <v>4218</v>
      </c>
      <c r="E2817" s="10">
        <v>1</v>
      </c>
      <c r="F2817" s="9" t="s">
        <v>4219</v>
      </c>
      <c r="G2817" s="11">
        <v>46238</v>
      </c>
      <c r="H2817" s="12">
        <v>0</v>
      </c>
      <c r="I2817" s="12">
        <v>0</v>
      </c>
      <c r="J2817" s="9" t="s">
        <v>3</v>
      </c>
      <c r="K2817" s="8">
        <v>0</v>
      </c>
    </row>
    <row r="2818" spans="1:11">
      <c r="A2818" s="2" t="s">
        <v>891</v>
      </c>
      <c r="B2818" s="2" t="s">
        <v>4213</v>
      </c>
      <c r="C2818" s="9">
        <v>10100515</v>
      </c>
      <c r="D2818" s="2" t="s">
        <v>4220</v>
      </c>
      <c r="E2818" s="10">
        <v>1</v>
      </c>
      <c r="F2818" s="9" t="s">
        <v>4221</v>
      </c>
      <c r="G2818" s="11">
        <v>46238</v>
      </c>
      <c r="H2818" s="12">
        <v>0</v>
      </c>
      <c r="I2818" s="12">
        <v>0</v>
      </c>
      <c r="J2818" s="9" t="s">
        <v>3</v>
      </c>
      <c r="K2818" s="8">
        <v>0</v>
      </c>
    </row>
    <row r="2819" spans="1:11">
      <c r="A2819" s="2" t="s">
        <v>891</v>
      </c>
      <c r="B2819" s="2" t="s">
        <v>4213</v>
      </c>
      <c r="C2819" s="9">
        <v>10100516</v>
      </c>
      <c r="D2819" s="2" t="s">
        <v>4222</v>
      </c>
      <c r="E2819" s="10">
        <v>1</v>
      </c>
      <c r="F2819" s="9" t="s">
        <v>4219</v>
      </c>
      <c r="G2819" s="11">
        <v>46238</v>
      </c>
      <c r="H2819" s="12">
        <v>0</v>
      </c>
      <c r="I2819" s="12">
        <v>0</v>
      </c>
      <c r="J2819" s="9" t="s">
        <v>3</v>
      </c>
      <c r="K2819" s="8">
        <v>0</v>
      </c>
    </row>
    <row r="2820" spans="1:11">
      <c r="A2820" s="2" t="s">
        <v>891</v>
      </c>
      <c r="B2820" s="2" t="s">
        <v>4145</v>
      </c>
      <c r="C2820" s="9">
        <v>10100517</v>
      </c>
      <c r="D2820" s="2" t="s">
        <v>4223</v>
      </c>
      <c r="E2820" s="10">
        <v>48</v>
      </c>
      <c r="F2820" s="9" t="s">
        <v>1546</v>
      </c>
      <c r="G2820" s="11">
        <v>46238</v>
      </c>
      <c r="H2820" s="12">
        <v>0</v>
      </c>
      <c r="I2820" s="12">
        <v>0</v>
      </c>
      <c r="J2820" s="9" t="s">
        <v>3</v>
      </c>
      <c r="K2820" s="8">
        <v>0</v>
      </c>
    </row>
    <row r="2821" spans="1:11">
      <c r="A2821" s="2" t="s">
        <v>891</v>
      </c>
      <c r="B2821" s="2" t="s">
        <v>4213</v>
      </c>
      <c r="C2821" s="9">
        <v>10100518</v>
      </c>
      <c r="D2821" s="2" t="s">
        <v>4224</v>
      </c>
      <c r="E2821" s="10">
        <v>1</v>
      </c>
      <c r="F2821" s="9" t="s">
        <v>4225</v>
      </c>
      <c r="G2821" s="11">
        <v>46238</v>
      </c>
      <c r="H2821" s="12">
        <v>0</v>
      </c>
      <c r="I2821" s="12">
        <v>0</v>
      </c>
      <c r="J2821" s="9" t="s">
        <v>3</v>
      </c>
      <c r="K2821" s="8">
        <v>0</v>
      </c>
    </row>
    <row r="2822" spans="1:11">
      <c r="A2822" s="2" t="s">
        <v>891</v>
      </c>
      <c r="B2822" s="2" t="s">
        <v>4213</v>
      </c>
      <c r="C2822" s="9">
        <v>10100519</v>
      </c>
      <c r="D2822" s="2" t="s">
        <v>4226</v>
      </c>
      <c r="E2822" s="10">
        <v>1</v>
      </c>
      <c r="F2822" s="9" t="s">
        <v>4225</v>
      </c>
      <c r="G2822" s="11">
        <v>46238</v>
      </c>
      <c r="H2822" s="12">
        <v>0</v>
      </c>
      <c r="I2822" s="12">
        <v>0</v>
      </c>
      <c r="J2822" s="9" t="s">
        <v>3</v>
      </c>
      <c r="K2822" s="8">
        <v>0</v>
      </c>
    </row>
    <row r="2823" spans="1:11">
      <c r="A2823" s="2" t="s">
        <v>891</v>
      </c>
      <c r="B2823" s="2" t="s">
        <v>4213</v>
      </c>
      <c r="C2823" s="9">
        <v>10100520</v>
      </c>
      <c r="D2823" s="2" t="s">
        <v>4227</v>
      </c>
      <c r="E2823" s="10">
        <v>1</v>
      </c>
      <c r="F2823" s="9" t="s">
        <v>4221</v>
      </c>
      <c r="G2823" s="11">
        <v>46238</v>
      </c>
      <c r="H2823" s="12">
        <v>0</v>
      </c>
      <c r="I2823" s="12">
        <v>0</v>
      </c>
      <c r="J2823" s="9" t="s">
        <v>3</v>
      </c>
      <c r="K2823" s="8">
        <v>0</v>
      </c>
    </row>
    <row r="2824" spans="1:11">
      <c r="A2824" s="2" t="s">
        <v>891</v>
      </c>
      <c r="B2824" s="2" t="s">
        <v>4213</v>
      </c>
      <c r="C2824" s="9">
        <v>10100521</v>
      </c>
      <c r="D2824" s="2" t="s">
        <v>4228</v>
      </c>
      <c r="E2824" s="10">
        <v>1</v>
      </c>
      <c r="F2824" s="9" t="s">
        <v>4221</v>
      </c>
      <c r="G2824" s="11">
        <v>46238</v>
      </c>
      <c r="H2824" s="12">
        <v>0</v>
      </c>
      <c r="I2824" s="12">
        <v>0</v>
      </c>
      <c r="J2824" s="9" t="s">
        <v>3</v>
      </c>
      <c r="K2824" s="8">
        <v>0</v>
      </c>
    </row>
    <row r="2825" spans="1:11">
      <c r="A2825" s="2" t="s">
        <v>891</v>
      </c>
      <c r="B2825" s="2" t="s">
        <v>4213</v>
      </c>
      <c r="C2825" s="9">
        <v>10100522</v>
      </c>
      <c r="D2825" s="2" t="s">
        <v>4229</v>
      </c>
      <c r="E2825" s="10">
        <v>1</v>
      </c>
      <c r="F2825" s="9" t="s">
        <v>4221</v>
      </c>
      <c r="G2825" s="11">
        <v>46238</v>
      </c>
      <c r="H2825" s="12">
        <v>0</v>
      </c>
      <c r="I2825" s="12">
        <v>0</v>
      </c>
      <c r="J2825" s="9" t="s">
        <v>3</v>
      </c>
      <c r="K2825" s="8">
        <v>0</v>
      </c>
    </row>
    <row r="2826" spans="1:11">
      <c r="A2826" s="2" t="s">
        <v>891</v>
      </c>
      <c r="B2826" s="2" t="s">
        <v>4213</v>
      </c>
      <c r="C2826" s="9">
        <v>10100523</v>
      </c>
      <c r="D2826" s="2" t="s">
        <v>4230</v>
      </c>
      <c r="E2826" s="10">
        <v>1</v>
      </c>
      <c r="F2826" s="9" t="s">
        <v>4221</v>
      </c>
      <c r="G2826" s="11">
        <v>46238</v>
      </c>
      <c r="H2826" s="12">
        <v>0</v>
      </c>
      <c r="I2826" s="12">
        <v>0</v>
      </c>
      <c r="J2826" s="9" t="s">
        <v>3</v>
      </c>
      <c r="K2826" s="8">
        <v>0</v>
      </c>
    </row>
    <row r="2827" spans="1:11">
      <c r="A2827" s="2" t="s">
        <v>851</v>
      </c>
      <c r="B2827" s="2" t="s">
        <v>4213</v>
      </c>
      <c r="C2827" s="9">
        <v>10100524</v>
      </c>
      <c r="D2827" s="2" t="s">
        <v>4231</v>
      </c>
      <c r="E2827" s="10">
        <v>8</v>
      </c>
      <c r="F2827" s="9" t="s">
        <v>1095</v>
      </c>
      <c r="G2827" s="11">
        <v>46238</v>
      </c>
      <c r="H2827" s="12">
        <v>59.8</v>
      </c>
      <c r="I2827" s="12">
        <v>52.03</v>
      </c>
      <c r="J2827" s="9" t="s">
        <v>3</v>
      </c>
      <c r="K2827" s="8">
        <v>0</v>
      </c>
    </row>
    <row r="2828" spans="1:11">
      <c r="A2828" s="2" t="s">
        <v>851</v>
      </c>
      <c r="B2828" s="2" t="s">
        <v>4213</v>
      </c>
      <c r="C2828" s="9">
        <v>10100525</v>
      </c>
      <c r="D2828" s="2" t="s">
        <v>4232</v>
      </c>
      <c r="E2828" s="10">
        <v>8</v>
      </c>
      <c r="F2828" s="9" t="s">
        <v>1095</v>
      </c>
      <c r="G2828" s="11">
        <v>46238</v>
      </c>
      <c r="H2828" s="12">
        <v>59.8</v>
      </c>
      <c r="I2828" s="12">
        <v>52.03</v>
      </c>
      <c r="J2828" s="9" t="s">
        <v>3</v>
      </c>
      <c r="K2828" s="8">
        <v>0</v>
      </c>
    </row>
    <row r="2829" spans="1:11">
      <c r="A2829" s="2" t="s">
        <v>851</v>
      </c>
      <c r="B2829" s="2" t="s">
        <v>4213</v>
      </c>
      <c r="C2829" s="9">
        <v>10100526</v>
      </c>
      <c r="D2829" s="2" t="s">
        <v>4233</v>
      </c>
      <c r="E2829" s="10">
        <v>8</v>
      </c>
      <c r="F2829" s="9" t="s">
        <v>1095</v>
      </c>
      <c r="G2829" s="11">
        <v>46238</v>
      </c>
      <c r="H2829" s="12">
        <v>59.8</v>
      </c>
      <c r="I2829" s="12">
        <v>52.03</v>
      </c>
      <c r="J2829" s="9" t="s">
        <v>3</v>
      </c>
      <c r="K2829" s="8">
        <v>0</v>
      </c>
    </row>
    <row r="2830" spans="1:11">
      <c r="A2830" s="2" t="s">
        <v>851</v>
      </c>
      <c r="B2830" s="2" t="s">
        <v>4213</v>
      </c>
      <c r="C2830" s="9">
        <v>10100527</v>
      </c>
      <c r="D2830" s="2" t="s">
        <v>4234</v>
      </c>
      <c r="E2830" s="10">
        <v>8</v>
      </c>
      <c r="F2830" s="9" t="s">
        <v>1095</v>
      </c>
      <c r="G2830" s="11">
        <v>46238</v>
      </c>
      <c r="H2830" s="12">
        <v>59.8</v>
      </c>
      <c r="I2830" s="12">
        <v>52.03</v>
      </c>
      <c r="J2830" s="9" t="s">
        <v>3</v>
      </c>
      <c r="K2830" s="8">
        <v>0</v>
      </c>
    </row>
    <row r="2831" spans="1:11">
      <c r="A2831" s="2" t="s">
        <v>891</v>
      </c>
      <c r="B2831" s="2" t="s">
        <v>4145</v>
      </c>
      <c r="C2831" s="9">
        <v>10100528</v>
      </c>
      <c r="D2831" s="2" t="s">
        <v>4235</v>
      </c>
      <c r="E2831" s="10">
        <v>48</v>
      </c>
      <c r="F2831" s="9" t="s">
        <v>1546</v>
      </c>
      <c r="G2831" s="11">
        <v>46238</v>
      </c>
      <c r="H2831" s="12">
        <v>0</v>
      </c>
      <c r="I2831" s="12">
        <v>0</v>
      </c>
      <c r="J2831" s="9" t="s">
        <v>3</v>
      </c>
      <c r="K2831" s="8">
        <v>0</v>
      </c>
    </row>
    <row r="2832" spans="1:11">
      <c r="A2832" s="2" t="s">
        <v>851</v>
      </c>
      <c r="B2832" s="2" t="s">
        <v>4213</v>
      </c>
      <c r="C2832" s="9">
        <v>10100529</v>
      </c>
      <c r="D2832" s="2" t="s">
        <v>4236</v>
      </c>
      <c r="E2832" s="10">
        <v>8</v>
      </c>
      <c r="F2832" s="9" t="s">
        <v>759</v>
      </c>
      <c r="G2832" s="11">
        <v>46238</v>
      </c>
      <c r="H2832" s="12">
        <v>94.52</v>
      </c>
      <c r="I2832" s="12">
        <v>82.23</v>
      </c>
      <c r="J2832" s="9" t="s">
        <v>3</v>
      </c>
      <c r="K2832" s="8">
        <v>0</v>
      </c>
    </row>
    <row r="2833" spans="1:11">
      <c r="A2833" s="2" t="s">
        <v>851</v>
      </c>
      <c r="B2833" s="2" t="s">
        <v>4213</v>
      </c>
      <c r="C2833" s="9">
        <v>10100530</v>
      </c>
      <c r="D2833" s="2" t="s">
        <v>4237</v>
      </c>
      <c r="E2833" s="10">
        <v>8</v>
      </c>
      <c r="F2833" s="9" t="s">
        <v>4238</v>
      </c>
      <c r="G2833" s="11">
        <v>46238</v>
      </c>
      <c r="H2833" s="12">
        <v>54.98</v>
      </c>
      <c r="I2833" s="12">
        <v>47.83</v>
      </c>
      <c r="J2833" s="9" t="s">
        <v>3</v>
      </c>
      <c r="K2833" s="8">
        <v>0</v>
      </c>
    </row>
    <row r="2834" spans="1:11">
      <c r="A2834" s="2" t="s">
        <v>851</v>
      </c>
      <c r="B2834" s="2" t="s">
        <v>4213</v>
      </c>
      <c r="C2834" s="9">
        <v>10100531</v>
      </c>
      <c r="D2834" s="2" t="s">
        <v>4239</v>
      </c>
      <c r="E2834" s="10">
        <v>8</v>
      </c>
      <c r="F2834" s="9" t="s">
        <v>4238</v>
      </c>
      <c r="G2834" s="11">
        <v>46238</v>
      </c>
      <c r="H2834" s="12">
        <v>56.17</v>
      </c>
      <c r="I2834" s="12">
        <v>48.87</v>
      </c>
      <c r="J2834" s="9" t="s">
        <v>3</v>
      </c>
      <c r="K2834" s="8">
        <v>0</v>
      </c>
    </row>
    <row r="2835" spans="1:11">
      <c r="A2835" s="2" t="s">
        <v>851</v>
      </c>
      <c r="B2835" s="2" t="s">
        <v>4213</v>
      </c>
      <c r="C2835" s="9">
        <v>10100532</v>
      </c>
      <c r="D2835" s="2" t="s">
        <v>4240</v>
      </c>
      <c r="E2835" s="10">
        <v>6</v>
      </c>
      <c r="F2835" s="9" t="s">
        <v>4241</v>
      </c>
      <c r="G2835" s="11">
        <v>46238</v>
      </c>
      <c r="H2835" s="12">
        <v>71.14</v>
      </c>
      <c r="I2835" s="12">
        <v>61.89</v>
      </c>
      <c r="J2835" s="9" t="s">
        <v>3</v>
      </c>
      <c r="K2835" s="8">
        <v>0</v>
      </c>
    </row>
    <row r="2836" spans="1:11">
      <c r="A2836" s="2" t="s">
        <v>851</v>
      </c>
      <c r="B2836" s="2" t="s">
        <v>4213</v>
      </c>
      <c r="C2836" s="9">
        <v>10100533</v>
      </c>
      <c r="D2836" s="2" t="s">
        <v>4242</v>
      </c>
      <c r="E2836" s="10">
        <v>6</v>
      </c>
      <c r="F2836" s="9" t="s">
        <v>1716</v>
      </c>
      <c r="G2836" s="11">
        <v>46238</v>
      </c>
      <c r="H2836" s="12">
        <v>71.14</v>
      </c>
      <c r="I2836" s="12">
        <v>61.89</v>
      </c>
      <c r="J2836" s="9" t="s">
        <v>3</v>
      </c>
      <c r="K2836" s="8">
        <v>0</v>
      </c>
    </row>
    <row r="2837" spans="1:11">
      <c r="A2837" s="2" t="s">
        <v>851</v>
      </c>
      <c r="B2837" s="2" t="s">
        <v>4213</v>
      </c>
      <c r="C2837" s="9">
        <v>10100534</v>
      </c>
      <c r="D2837" s="2" t="s">
        <v>4243</v>
      </c>
      <c r="E2837" s="10">
        <v>6</v>
      </c>
      <c r="F2837" s="9" t="s">
        <v>4244</v>
      </c>
      <c r="G2837" s="11">
        <v>46238</v>
      </c>
      <c r="H2837" s="12">
        <v>70.989999999999995</v>
      </c>
      <c r="I2837" s="12">
        <v>61.76</v>
      </c>
      <c r="J2837" s="9" t="s">
        <v>3</v>
      </c>
      <c r="K2837" s="8">
        <v>0</v>
      </c>
    </row>
    <row r="2838" spans="1:11">
      <c r="A2838" s="2" t="s">
        <v>851</v>
      </c>
      <c r="B2838" s="2" t="s">
        <v>4213</v>
      </c>
      <c r="C2838" s="9">
        <v>10100535</v>
      </c>
      <c r="D2838" s="2" t="s">
        <v>4245</v>
      </c>
      <c r="E2838" s="10">
        <v>6</v>
      </c>
      <c r="F2838" s="9" t="s">
        <v>4246</v>
      </c>
      <c r="G2838" s="11">
        <v>46238</v>
      </c>
      <c r="H2838" s="12">
        <v>71.41</v>
      </c>
      <c r="I2838" s="12">
        <v>62.13</v>
      </c>
      <c r="J2838" s="9" t="s">
        <v>3</v>
      </c>
      <c r="K2838" s="8">
        <v>0</v>
      </c>
    </row>
    <row r="2839" spans="1:11">
      <c r="A2839" s="2" t="s">
        <v>851</v>
      </c>
      <c r="B2839" s="2" t="s">
        <v>4213</v>
      </c>
      <c r="C2839" s="9">
        <v>10100536</v>
      </c>
      <c r="D2839" s="2" t="s">
        <v>4247</v>
      </c>
      <c r="E2839" s="10">
        <v>6</v>
      </c>
      <c r="F2839" s="9" t="s">
        <v>1753</v>
      </c>
      <c r="G2839" s="11">
        <v>46238</v>
      </c>
      <c r="H2839" s="12">
        <v>70.38</v>
      </c>
      <c r="I2839" s="12">
        <v>61.23</v>
      </c>
      <c r="J2839" s="9" t="s">
        <v>3</v>
      </c>
      <c r="K2839" s="8">
        <v>0</v>
      </c>
    </row>
    <row r="2840" spans="1:11">
      <c r="A2840" s="2" t="s">
        <v>851</v>
      </c>
      <c r="B2840" s="2" t="s">
        <v>4213</v>
      </c>
      <c r="C2840" s="9">
        <v>10100537</v>
      </c>
      <c r="D2840" s="2" t="s">
        <v>4248</v>
      </c>
      <c r="E2840" s="10">
        <v>6</v>
      </c>
      <c r="F2840" s="9" t="s">
        <v>1753</v>
      </c>
      <c r="G2840" s="11">
        <v>46238</v>
      </c>
      <c r="H2840" s="12">
        <v>71.709999999999994</v>
      </c>
      <c r="I2840" s="12">
        <v>62.39</v>
      </c>
      <c r="J2840" s="9" t="s">
        <v>3</v>
      </c>
      <c r="K2840" s="8">
        <v>0</v>
      </c>
    </row>
    <row r="2841" spans="1:11">
      <c r="A2841" s="2" t="s">
        <v>851</v>
      </c>
      <c r="B2841" s="2" t="s">
        <v>4213</v>
      </c>
      <c r="C2841" s="9">
        <v>10100538</v>
      </c>
      <c r="D2841" s="2" t="s">
        <v>4249</v>
      </c>
      <c r="E2841" s="10">
        <v>6</v>
      </c>
      <c r="F2841" s="9" t="s">
        <v>1753</v>
      </c>
      <c r="G2841" s="11">
        <v>46238</v>
      </c>
      <c r="H2841" s="12">
        <v>69.62</v>
      </c>
      <c r="I2841" s="12">
        <v>60.57</v>
      </c>
      <c r="J2841" s="9" t="s">
        <v>3</v>
      </c>
      <c r="K2841" s="8">
        <v>0</v>
      </c>
    </row>
    <row r="2842" spans="1:11">
      <c r="A2842" s="2" t="s">
        <v>891</v>
      </c>
      <c r="B2842" s="2" t="s">
        <v>4145</v>
      </c>
      <c r="C2842" s="9">
        <v>10100539</v>
      </c>
      <c r="D2842" s="2" t="s">
        <v>4250</v>
      </c>
      <c r="E2842" s="10">
        <v>48</v>
      </c>
      <c r="F2842" s="9" t="s">
        <v>1546</v>
      </c>
      <c r="G2842" s="11">
        <v>46238</v>
      </c>
      <c r="H2842" s="12">
        <v>0</v>
      </c>
      <c r="I2842" s="12">
        <v>0</v>
      </c>
      <c r="J2842" s="9" t="s">
        <v>3</v>
      </c>
      <c r="K2842" s="8">
        <v>0</v>
      </c>
    </row>
    <row r="2843" spans="1:11">
      <c r="A2843" s="2" t="s">
        <v>851</v>
      </c>
      <c r="B2843" s="2" t="s">
        <v>4213</v>
      </c>
      <c r="C2843" s="9">
        <v>10100540</v>
      </c>
      <c r="D2843" s="2" t="s">
        <v>4251</v>
      </c>
      <c r="E2843" s="10">
        <v>6</v>
      </c>
      <c r="F2843" s="9" t="s">
        <v>1716</v>
      </c>
      <c r="G2843" s="11">
        <v>46238</v>
      </c>
      <c r="H2843" s="12">
        <v>69.62</v>
      </c>
      <c r="I2843" s="12">
        <v>60.57</v>
      </c>
      <c r="J2843" s="9" t="s">
        <v>3</v>
      </c>
      <c r="K2843" s="8">
        <v>0</v>
      </c>
    </row>
    <row r="2844" spans="1:11">
      <c r="A2844" s="2" t="s">
        <v>851</v>
      </c>
      <c r="B2844" s="2" t="s">
        <v>4213</v>
      </c>
      <c r="C2844" s="9">
        <v>10100541</v>
      </c>
      <c r="D2844" s="2" t="s">
        <v>4252</v>
      </c>
      <c r="E2844" s="10">
        <v>6</v>
      </c>
      <c r="F2844" s="9" t="s">
        <v>3483</v>
      </c>
      <c r="G2844" s="11">
        <v>46238</v>
      </c>
      <c r="H2844" s="12">
        <v>69.62</v>
      </c>
      <c r="I2844" s="12">
        <v>60.57</v>
      </c>
      <c r="J2844" s="9" t="s">
        <v>3</v>
      </c>
      <c r="K2844" s="8">
        <v>0</v>
      </c>
    </row>
    <row r="2845" spans="1:11">
      <c r="A2845" s="2" t="s">
        <v>851</v>
      </c>
      <c r="B2845" s="2" t="s">
        <v>4213</v>
      </c>
      <c r="C2845" s="9">
        <v>10100542</v>
      </c>
      <c r="D2845" s="2" t="s">
        <v>4253</v>
      </c>
      <c r="E2845" s="10">
        <v>6</v>
      </c>
      <c r="F2845" s="9" t="s">
        <v>1753</v>
      </c>
      <c r="G2845" s="11">
        <v>46238</v>
      </c>
      <c r="H2845" s="12">
        <v>69.62</v>
      </c>
      <c r="I2845" s="12">
        <v>60.57</v>
      </c>
      <c r="J2845" s="9" t="s">
        <v>3</v>
      </c>
      <c r="K2845" s="8">
        <v>0</v>
      </c>
    </row>
    <row r="2846" spans="1:11">
      <c r="A2846" s="2" t="s">
        <v>851</v>
      </c>
      <c r="B2846" s="2" t="s">
        <v>4213</v>
      </c>
      <c r="C2846" s="9">
        <v>10100543</v>
      </c>
      <c r="D2846" s="2" t="s">
        <v>4254</v>
      </c>
      <c r="E2846" s="10">
        <v>6</v>
      </c>
      <c r="F2846" s="9" t="s">
        <v>1716</v>
      </c>
      <c r="G2846" s="11">
        <v>46238</v>
      </c>
      <c r="H2846" s="12">
        <v>69.62</v>
      </c>
      <c r="I2846" s="12">
        <v>60.57</v>
      </c>
      <c r="J2846" s="9" t="s">
        <v>3</v>
      </c>
      <c r="K2846" s="8">
        <v>0</v>
      </c>
    </row>
    <row r="2847" spans="1:11">
      <c r="A2847" s="2" t="s">
        <v>851</v>
      </c>
      <c r="B2847" s="2" t="s">
        <v>4213</v>
      </c>
      <c r="C2847" s="9">
        <v>10100544</v>
      </c>
      <c r="D2847" s="2" t="s">
        <v>4255</v>
      </c>
      <c r="E2847" s="10">
        <v>6</v>
      </c>
      <c r="F2847" s="9" t="s">
        <v>1716</v>
      </c>
      <c r="G2847" s="11">
        <v>46238</v>
      </c>
      <c r="H2847" s="12">
        <v>69.62</v>
      </c>
      <c r="I2847" s="12">
        <v>60.57</v>
      </c>
      <c r="J2847" s="9" t="s">
        <v>3</v>
      </c>
      <c r="K2847" s="8">
        <v>0</v>
      </c>
    </row>
    <row r="2848" spans="1:11">
      <c r="A2848" s="2" t="s">
        <v>851</v>
      </c>
      <c r="B2848" s="2" t="s">
        <v>4256</v>
      </c>
      <c r="C2848" s="9">
        <v>10100545</v>
      </c>
      <c r="D2848" s="2" t="s">
        <v>4257</v>
      </c>
      <c r="E2848" s="10">
        <v>12</v>
      </c>
      <c r="F2848" s="9" t="s">
        <v>1367</v>
      </c>
      <c r="G2848" s="11">
        <v>46238</v>
      </c>
      <c r="H2848" s="12">
        <v>97.72</v>
      </c>
      <c r="I2848" s="12">
        <v>86.97</v>
      </c>
      <c r="J2848" s="9" t="s">
        <v>3</v>
      </c>
      <c r="K2848" s="8">
        <v>0</v>
      </c>
    </row>
    <row r="2849" spans="1:11">
      <c r="A2849" s="2" t="s">
        <v>851</v>
      </c>
      <c r="B2849" s="2" t="s">
        <v>4256</v>
      </c>
      <c r="C2849" s="9">
        <v>10100546</v>
      </c>
      <c r="D2849" s="2" t="s">
        <v>4258</v>
      </c>
      <c r="E2849" s="10">
        <v>12</v>
      </c>
      <c r="F2849" s="9" t="s">
        <v>1367</v>
      </c>
      <c r="G2849" s="11">
        <v>46238</v>
      </c>
      <c r="H2849" s="12">
        <v>97.72</v>
      </c>
      <c r="I2849" s="12">
        <v>86.97</v>
      </c>
      <c r="J2849" s="9" t="s">
        <v>3</v>
      </c>
      <c r="K2849" s="8">
        <v>0</v>
      </c>
    </row>
    <row r="2850" spans="1:11">
      <c r="A2850" s="2" t="s">
        <v>851</v>
      </c>
      <c r="B2850" s="2" t="s">
        <v>4256</v>
      </c>
      <c r="C2850" s="9">
        <v>10100547</v>
      </c>
      <c r="D2850" s="2" t="s">
        <v>4259</v>
      </c>
      <c r="E2850" s="10">
        <v>12</v>
      </c>
      <c r="F2850" s="9" t="s">
        <v>1060</v>
      </c>
      <c r="G2850" s="11">
        <v>46238</v>
      </c>
      <c r="H2850" s="12">
        <v>60.37</v>
      </c>
      <c r="I2850" s="12">
        <v>53.73</v>
      </c>
      <c r="J2850" s="9" t="s">
        <v>3</v>
      </c>
      <c r="K2850" s="8">
        <v>0</v>
      </c>
    </row>
    <row r="2851" spans="1:11">
      <c r="A2851" s="2" t="s">
        <v>851</v>
      </c>
      <c r="B2851" s="2" t="s">
        <v>4256</v>
      </c>
      <c r="C2851" s="9">
        <v>10100548</v>
      </c>
      <c r="D2851" s="2" t="s">
        <v>4260</v>
      </c>
      <c r="E2851" s="10">
        <v>12</v>
      </c>
      <c r="F2851" s="9" t="s">
        <v>1060</v>
      </c>
      <c r="G2851" s="11">
        <v>46238</v>
      </c>
      <c r="H2851" s="12">
        <v>60.37</v>
      </c>
      <c r="I2851" s="12">
        <v>53.73</v>
      </c>
      <c r="J2851" s="9" t="s">
        <v>3</v>
      </c>
      <c r="K2851" s="8">
        <v>0</v>
      </c>
    </row>
    <row r="2852" spans="1:11">
      <c r="A2852" s="2" t="s">
        <v>851</v>
      </c>
      <c r="B2852" s="2" t="s">
        <v>4256</v>
      </c>
      <c r="C2852" s="9">
        <v>10100549</v>
      </c>
      <c r="D2852" s="2" t="s">
        <v>4261</v>
      </c>
      <c r="E2852" s="10">
        <v>12</v>
      </c>
      <c r="F2852" s="9" t="s">
        <v>1060</v>
      </c>
      <c r="G2852" s="11">
        <v>46238</v>
      </c>
      <c r="H2852" s="12">
        <v>60.37</v>
      </c>
      <c r="I2852" s="12">
        <v>53.73</v>
      </c>
      <c r="J2852" s="9" t="s">
        <v>3</v>
      </c>
      <c r="K2852" s="8">
        <v>0</v>
      </c>
    </row>
    <row r="2853" spans="1:11">
      <c r="A2853" s="2" t="s">
        <v>891</v>
      </c>
      <c r="B2853" s="2" t="s">
        <v>4145</v>
      </c>
      <c r="C2853" s="9">
        <v>10100550</v>
      </c>
      <c r="D2853" s="2" t="s">
        <v>4262</v>
      </c>
      <c r="E2853" s="10">
        <v>48</v>
      </c>
      <c r="F2853" s="9" t="s">
        <v>1546</v>
      </c>
      <c r="G2853" s="11">
        <v>46238</v>
      </c>
      <c r="H2853" s="12">
        <v>0</v>
      </c>
      <c r="I2853" s="12">
        <v>0</v>
      </c>
      <c r="J2853" s="9" t="s">
        <v>3</v>
      </c>
      <c r="K2853" s="8">
        <v>0</v>
      </c>
    </row>
    <row r="2854" spans="1:11">
      <c r="A2854" s="2" t="s">
        <v>851</v>
      </c>
      <c r="B2854" s="2" t="s">
        <v>4256</v>
      </c>
      <c r="C2854" s="9">
        <v>10100551</v>
      </c>
      <c r="D2854" s="2" t="s">
        <v>4263</v>
      </c>
      <c r="E2854" s="10">
        <v>12</v>
      </c>
      <c r="F2854" s="9" t="s">
        <v>776</v>
      </c>
      <c r="G2854" s="11">
        <v>46238</v>
      </c>
      <c r="H2854" s="12">
        <v>98.56</v>
      </c>
      <c r="I2854" s="12">
        <v>87.72</v>
      </c>
      <c r="J2854" s="9" t="s">
        <v>3</v>
      </c>
      <c r="K2854" s="8">
        <v>0</v>
      </c>
    </row>
    <row r="2855" spans="1:11">
      <c r="A2855" s="2" t="s">
        <v>851</v>
      </c>
      <c r="B2855" s="2" t="s">
        <v>4256</v>
      </c>
      <c r="C2855" s="9">
        <v>10100552</v>
      </c>
      <c r="D2855" s="2" t="s">
        <v>4264</v>
      </c>
      <c r="E2855" s="10">
        <v>12</v>
      </c>
      <c r="F2855" s="9" t="s">
        <v>776</v>
      </c>
      <c r="G2855" s="11">
        <v>46238</v>
      </c>
      <c r="H2855" s="12">
        <v>98.56</v>
      </c>
      <c r="I2855" s="12">
        <v>87.72</v>
      </c>
      <c r="J2855" s="9" t="s">
        <v>3</v>
      </c>
      <c r="K2855" s="8">
        <v>0</v>
      </c>
    </row>
    <row r="2856" spans="1:11">
      <c r="A2856" s="2" t="s">
        <v>851</v>
      </c>
      <c r="B2856" s="2" t="s">
        <v>4256</v>
      </c>
      <c r="C2856" s="9">
        <v>10100553</v>
      </c>
      <c r="D2856" s="2" t="s">
        <v>4265</v>
      </c>
      <c r="E2856" s="10">
        <v>12</v>
      </c>
      <c r="F2856" s="9" t="s">
        <v>3475</v>
      </c>
      <c r="G2856" s="11">
        <v>46238</v>
      </c>
      <c r="H2856" s="12">
        <v>98.56</v>
      </c>
      <c r="I2856" s="12">
        <v>87.72</v>
      </c>
      <c r="J2856" s="9" t="s">
        <v>3</v>
      </c>
      <c r="K2856" s="8">
        <v>0</v>
      </c>
    </row>
    <row r="2857" spans="1:11">
      <c r="A2857" s="2" t="s">
        <v>851</v>
      </c>
      <c r="B2857" s="2" t="s">
        <v>4256</v>
      </c>
      <c r="C2857" s="9">
        <v>10100554</v>
      </c>
      <c r="D2857" s="2" t="s">
        <v>4266</v>
      </c>
      <c r="E2857" s="10">
        <v>12</v>
      </c>
      <c r="F2857" s="9" t="s">
        <v>693</v>
      </c>
      <c r="G2857" s="11">
        <v>46238</v>
      </c>
      <c r="H2857" s="12">
        <v>74.459999999999994</v>
      </c>
      <c r="I2857" s="12">
        <v>66.27</v>
      </c>
      <c r="J2857" s="9" t="s">
        <v>3</v>
      </c>
      <c r="K2857" s="8">
        <v>0</v>
      </c>
    </row>
    <row r="2858" spans="1:11">
      <c r="A2858" s="2" t="s">
        <v>851</v>
      </c>
      <c r="B2858" s="2" t="s">
        <v>4256</v>
      </c>
      <c r="C2858" s="9">
        <v>10100555</v>
      </c>
      <c r="D2858" s="2" t="s">
        <v>4267</v>
      </c>
      <c r="E2858" s="10">
        <v>12</v>
      </c>
      <c r="F2858" s="9" t="s">
        <v>693</v>
      </c>
      <c r="G2858" s="11">
        <v>46238</v>
      </c>
      <c r="H2858" s="12">
        <v>74.459999999999994</v>
      </c>
      <c r="I2858" s="12">
        <v>66.27</v>
      </c>
      <c r="J2858" s="9" t="s">
        <v>3</v>
      </c>
      <c r="K2858" s="8">
        <v>0</v>
      </c>
    </row>
    <row r="2859" spans="1:11">
      <c r="A2859" s="2" t="s">
        <v>891</v>
      </c>
      <c r="B2859" s="2" t="s">
        <v>4268</v>
      </c>
      <c r="C2859" s="9">
        <v>10100556</v>
      </c>
      <c r="D2859" s="2" t="s">
        <v>4269</v>
      </c>
      <c r="E2859" s="10">
        <v>6</v>
      </c>
      <c r="F2859" s="9" t="s">
        <v>1718</v>
      </c>
      <c r="G2859" s="11">
        <v>46238</v>
      </c>
      <c r="H2859" s="12">
        <v>0</v>
      </c>
      <c r="I2859" s="12">
        <v>0</v>
      </c>
      <c r="J2859" s="9" t="s">
        <v>3</v>
      </c>
      <c r="K2859" s="8">
        <v>0</v>
      </c>
    </row>
    <row r="2860" spans="1:11">
      <c r="A2860" s="2" t="s">
        <v>891</v>
      </c>
      <c r="B2860" s="2" t="s">
        <v>4270</v>
      </c>
      <c r="C2860" s="9">
        <v>10100557</v>
      </c>
      <c r="D2860" s="2" t="s">
        <v>4271</v>
      </c>
      <c r="E2860" s="10">
        <v>8</v>
      </c>
      <c r="F2860" s="9" t="s">
        <v>1511</v>
      </c>
      <c r="G2860" s="11">
        <v>46238</v>
      </c>
      <c r="H2860" s="12">
        <v>0</v>
      </c>
      <c r="I2860" s="12">
        <v>0</v>
      </c>
      <c r="J2860" s="9" t="s">
        <v>3</v>
      </c>
      <c r="K2860" s="8">
        <v>0</v>
      </c>
    </row>
    <row r="2861" spans="1:11">
      <c r="A2861" s="2" t="s">
        <v>891</v>
      </c>
      <c r="B2861" s="2" t="s">
        <v>4270</v>
      </c>
      <c r="C2861" s="9">
        <v>10100558</v>
      </c>
      <c r="D2861" s="2" t="s">
        <v>4272</v>
      </c>
      <c r="E2861" s="10">
        <v>8</v>
      </c>
      <c r="F2861" s="9" t="s">
        <v>1511</v>
      </c>
      <c r="G2861" s="11">
        <v>46238</v>
      </c>
      <c r="H2861" s="12">
        <v>0</v>
      </c>
      <c r="I2861" s="12">
        <v>0</v>
      </c>
      <c r="J2861" s="9" t="s">
        <v>3</v>
      </c>
      <c r="K2861" s="8">
        <v>0</v>
      </c>
    </row>
    <row r="2862" spans="1:11">
      <c r="A2862" s="2" t="s">
        <v>851</v>
      </c>
      <c r="B2862" s="2" t="s">
        <v>4270</v>
      </c>
      <c r="C2862" s="9">
        <v>10100559</v>
      </c>
      <c r="D2862" s="2" t="s">
        <v>4273</v>
      </c>
      <c r="E2862" s="10">
        <v>8</v>
      </c>
      <c r="F2862" s="9" t="s">
        <v>1534</v>
      </c>
      <c r="G2862" s="11">
        <v>46238</v>
      </c>
      <c r="H2862" s="12">
        <v>65.23</v>
      </c>
      <c r="I2862" s="12">
        <v>56.75</v>
      </c>
      <c r="J2862" s="9" t="s">
        <v>3</v>
      </c>
      <c r="K2862" s="8">
        <v>0</v>
      </c>
    </row>
    <row r="2863" spans="1:11">
      <c r="A2863" s="2" t="s">
        <v>851</v>
      </c>
      <c r="B2863" s="2" t="s">
        <v>4270</v>
      </c>
      <c r="C2863" s="9">
        <v>10100560</v>
      </c>
      <c r="D2863" s="2" t="s">
        <v>4274</v>
      </c>
      <c r="E2863" s="10">
        <v>8</v>
      </c>
      <c r="F2863" s="9" t="s">
        <v>1095</v>
      </c>
      <c r="G2863" s="11">
        <v>46238</v>
      </c>
      <c r="H2863" s="12">
        <v>66.239999999999995</v>
      </c>
      <c r="I2863" s="12">
        <v>57.63</v>
      </c>
      <c r="J2863" s="9" t="s">
        <v>3</v>
      </c>
      <c r="K2863" s="8">
        <v>0</v>
      </c>
    </row>
    <row r="2864" spans="1:11">
      <c r="A2864" s="2" t="s">
        <v>891</v>
      </c>
      <c r="B2864" s="2" t="s">
        <v>4145</v>
      </c>
      <c r="C2864" s="9">
        <v>10100561</v>
      </c>
      <c r="D2864" s="2" t="s">
        <v>4275</v>
      </c>
      <c r="E2864" s="10">
        <v>48</v>
      </c>
      <c r="F2864" s="9" t="s">
        <v>1546</v>
      </c>
      <c r="G2864" s="11">
        <v>46238</v>
      </c>
      <c r="H2864" s="12">
        <v>0</v>
      </c>
      <c r="I2864" s="12">
        <v>0</v>
      </c>
      <c r="J2864" s="9" t="s">
        <v>3</v>
      </c>
      <c r="K2864" s="8">
        <v>0</v>
      </c>
    </row>
    <row r="2865" spans="1:11">
      <c r="A2865" s="2" t="s">
        <v>851</v>
      </c>
      <c r="B2865" s="2" t="s">
        <v>4270</v>
      </c>
      <c r="C2865" s="9">
        <v>10100562</v>
      </c>
      <c r="D2865" s="2" t="s">
        <v>4276</v>
      </c>
      <c r="E2865" s="10">
        <v>8</v>
      </c>
      <c r="F2865" s="9" t="s">
        <v>1764</v>
      </c>
      <c r="G2865" s="11">
        <v>46238</v>
      </c>
      <c r="H2865" s="12">
        <v>74.38</v>
      </c>
      <c r="I2865" s="12">
        <v>64.709999999999994</v>
      </c>
      <c r="J2865" s="9" t="s">
        <v>3</v>
      </c>
      <c r="K2865" s="8">
        <v>0</v>
      </c>
    </row>
    <row r="2866" spans="1:11">
      <c r="A2866" s="2" t="s">
        <v>851</v>
      </c>
      <c r="B2866" s="2" t="s">
        <v>4270</v>
      </c>
      <c r="C2866" s="9">
        <v>10100563</v>
      </c>
      <c r="D2866" s="2" t="s">
        <v>4277</v>
      </c>
      <c r="E2866" s="10">
        <v>8</v>
      </c>
      <c r="F2866" s="9" t="s">
        <v>2633</v>
      </c>
      <c r="G2866" s="11">
        <v>46238</v>
      </c>
      <c r="H2866" s="12">
        <v>74.38</v>
      </c>
      <c r="I2866" s="12">
        <v>64.709999999999994</v>
      </c>
      <c r="J2866" s="9" t="s">
        <v>3</v>
      </c>
      <c r="K2866" s="8">
        <v>0</v>
      </c>
    </row>
    <row r="2867" spans="1:11">
      <c r="A2867" s="2" t="s">
        <v>851</v>
      </c>
      <c r="B2867" s="2" t="s">
        <v>4270</v>
      </c>
      <c r="C2867" s="9">
        <v>10100564</v>
      </c>
      <c r="D2867" s="2" t="s">
        <v>4278</v>
      </c>
      <c r="E2867" s="10">
        <v>8</v>
      </c>
      <c r="F2867" s="9" t="s">
        <v>4279</v>
      </c>
      <c r="G2867" s="11">
        <v>46238</v>
      </c>
      <c r="H2867" s="12">
        <v>74.260000000000005</v>
      </c>
      <c r="I2867" s="12">
        <v>64.61</v>
      </c>
      <c r="J2867" s="9" t="s">
        <v>3</v>
      </c>
      <c r="K2867" s="8">
        <v>0</v>
      </c>
    </row>
    <row r="2868" spans="1:11">
      <c r="A2868" s="2" t="s">
        <v>851</v>
      </c>
      <c r="B2868" s="2" t="s">
        <v>4270</v>
      </c>
      <c r="C2868" s="9">
        <v>10100565</v>
      </c>
      <c r="D2868" s="2" t="s">
        <v>4280</v>
      </c>
      <c r="E2868" s="10">
        <v>8</v>
      </c>
      <c r="F2868" s="9" t="s">
        <v>4279</v>
      </c>
      <c r="G2868" s="11">
        <v>46238</v>
      </c>
      <c r="H2868" s="12">
        <v>74.260000000000005</v>
      </c>
      <c r="I2868" s="12">
        <v>64.61</v>
      </c>
      <c r="J2868" s="9" t="s">
        <v>3</v>
      </c>
      <c r="K2868" s="8">
        <v>0</v>
      </c>
    </row>
    <row r="2869" spans="1:11">
      <c r="A2869" s="2" t="s">
        <v>891</v>
      </c>
      <c r="B2869" s="2" t="s">
        <v>4281</v>
      </c>
      <c r="C2869" s="9">
        <v>10100566</v>
      </c>
      <c r="D2869" s="2" t="s">
        <v>4282</v>
      </c>
      <c r="E2869" s="10">
        <v>100</v>
      </c>
      <c r="F2869" s="9" t="s">
        <v>4283</v>
      </c>
      <c r="G2869" s="11">
        <v>46238</v>
      </c>
      <c r="H2869" s="12">
        <v>0</v>
      </c>
      <c r="I2869" s="12">
        <v>0</v>
      </c>
      <c r="J2869" s="9" t="s">
        <v>3</v>
      </c>
      <c r="K2869" s="8">
        <v>0</v>
      </c>
    </row>
    <row r="2870" spans="1:11">
      <c r="A2870" s="2" t="s">
        <v>891</v>
      </c>
      <c r="B2870" s="2" t="s">
        <v>4284</v>
      </c>
      <c r="C2870" s="9">
        <v>10100567</v>
      </c>
      <c r="D2870" s="2" t="s">
        <v>4285</v>
      </c>
      <c r="E2870" s="10">
        <v>24</v>
      </c>
      <c r="F2870" s="9" t="s">
        <v>711</v>
      </c>
      <c r="G2870" s="11">
        <v>46238</v>
      </c>
      <c r="H2870" s="12">
        <v>0</v>
      </c>
      <c r="I2870" s="12">
        <v>0</v>
      </c>
      <c r="J2870" s="9" t="s">
        <v>3</v>
      </c>
      <c r="K2870" s="8">
        <v>0</v>
      </c>
    </row>
    <row r="2871" spans="1:11">
      <c r="A2871" s="2" t="s">
        <v>891</v>
      </c>
      <c r="B2871" s="2" t="s">
        <v>4284</v>
      </c>
      <c r="C2871" s="9">
        <v>10100568</v>
      </c>
      <c r="D2871" s="2" t="s">
        <v>4286</v>
      </c>
      <c r="E2871" s="10">
        <v>24</v>
      </c>
      <c r="F2871" s="9" t="s">
        <v>4287</v>
      </c>
      <c r="G2871" s="11">
        <v>46238</v>
      </c>
      <c r="H2871" s="12">
        <v>0</v>
      </c>
      <c r="I2871" s="12">
        <v>0</v>
      </c>
      <c r="J2871" s="9" t="s">
        <v>3</v>
      </c>
      <c r="K2871" s="8">
        <v>0</v>
      </c>
    </row>
    <row r="2872" spans="1:11">
      <c r="A2872" s="2" t="s">
        <v>891</v>
      </c>
      <c r="B2872" s="2" t="s">
        <v>4284</v>
      </c>
      <c r="C2872" s="9">
        <v>10100569</v>
      </c>
      <c r="D2872" s="2" t="s">
        <v>4288</v>
      </c>
      <c r="E2872" s="10">
        <v>48</v>
      </c>
      <c r="F2872" s="9" t="s">
        <v>3302</v>
      </c>
      <c r="G2872" s="11">
        <v>46238</v>
      </c>
      <c r="H2872" s="12">
        <v>0</v>
      </c>
      <c r="I2872" s="12">
        <v>0</v>
      </c>
      <c r="J2872" s="9" t="s">
        <v>3</v>
      </c>
      <c r="K2872" s="8">
        <v>0</v>
      </c>
    </row>
    <row r="2873" spans="1:11">
      <c r="A2873" s="2" t="s">
        <v>891</v>
      </c>
      <c r="B2873" s="2" t="s">
        <v>4284</v>
      </c>
      <c r="C2873" s="9">
        <v>10100570</v>
      </c>
      <c r="D2873" s="2" t="s">
        <v>4289</v>
      </c>
      <c r="E2873" s="10">
        <v>12</v>
      </c>
      <c r="F2873" s="9" t="s">
        <v>4290</v>
      </c>
      <c r="G2873" s="11">
        <v>46238</v>
      </c>
      <c r="H2873" s="12">
        <v>0</v>
      </c>
      <c r="I2873" s="12">
        <v>0</v>
      </c>
      <c r="J2873" s="9" t="s">
        <v>3</v>
      </c>
      <c r="K2873" s="8">
        <v>0</v>
      </c>
    </row>
    <row r="2874" spans="1:11">
      <c r="A2874" s="2" t="s">
        <v>891</v>
      </c>
      <c r="B2874" s="2" t="s">
        <v>4284</v>
      </c>
      <c r="C2874" s="9">
        <v>10100571</v>
      </c>
      <c r="D2874" s="2" t="s">
        <v>4291</v>
      </c>
      <c r="E2874" s="10">
        <v>24</v>
      </c>
      <c r="F2874" s="9" t="s">
        <v>711</v>
      </c>
      <c r="G2874" s="11">
        <v>46238</v>
      </c>
      <c r="H2874" s="12">
        <v>0</v>
      </c>
      <c r="I2874" s="12">
        <v>0</v>
      </c>
      <c r="J2874" s="9" t="s">
        <v>3</v>
      </c>
      <c r="K2874" s="8">
        <v>0</v>
      </c>
    </row>
    <row r="2875" spans="1:11">
      <c r="A2875" s="2" t="s">
        <v>891</v>
      </c>
      <c r="B2875" s="2" t="s">
        <v>4145</v>
      </c>
      <c r="C2875" s="9">
        <v>10100572</v>
      </c>
      <c r="D2875" s="2" t="s">
        <v>4292</v>
      </c>
      <c r="E2875" s="10">
        <v>48</v>
      </c>
      <c r="F2875" s="9" t="s">
        <v>1546</v>
      </c>
      <c r="G2875" s="11">
        <v>46238</v>
      </c>
      <c r="H2875" s="12">
        <v>0</v>
      </c>
      <c r="I2875" s="12">
        <v>0</v>
      </c>
      <c r="J2875" s="9" t="s">
        <v>3</v>
      </c>
      <c r="K2875" s="8">
        <v>0</v>
      </c>
    </row>
    <row r="2876" spans="1:11">
      <c r="A2876" s="2" t="s">
        <v>891</v>
      </c>
      <c r="B2876" s="2" t="s">
        <v>4284</v>
      </c>
      <c r="C2876" s="9">
        <v>10100573</v>
      </c>
      <c r="D2876" s="2" t="s">
        <v>4293</v>
      </c>
      <c r="E2876" s="10">
        <v>24</v>
      </c>
      <c r="F2876" s="9" t="s">
        <v>711</v>
      </c>
      <c r="G2876" s="11">
        <v>46238</v>
      </c>
      <c r="H2876" s="12">
        <v>0</v>
      </c>
      <c r="I2876" s="12">
        <v>0</v>
      </c>
      <c r="J2876" s="9" t="s">
        <v>3</v>
      </c>
      <c r="K2876" s="8">
        <v>0</v>
      </c>
    </row>
    <row r="2877" spans="1:11">
      <c r="A2877" s="2" t="s">
        <v>891</v>
      </c>
      <c r="B2877" s="2" t="s">
        <v>4284</v>
      </c>
      <c r="C2877" s="9">
        <v>10100574</v>
      </c>
      <c r="D2877" s="2" t="s">
        <v>4294</v>
      </c>
      <c r="E2877" s="10">
        <v>12</v>
      </c>
      <c r="F2877" s="9" t="s">
        <v>4290</v>
      </c>
      <c r="G2877" s="11">
        <v>46238</v>
      </c>
      <c r="H2877" s="12">
        <v>0</v>
      </c>
      <c r="I2877" s="12">
        <v>0</v>
      </c>
      <c r="J2877" s="9" t="s">
        <v>3</v>
      </c>
      <c r="K2877" s="8">
        <v>0</v>
      </c>
    </row>
    <row r="2878" spans="1:11">
      <c r="A2878" s="2" t="s">
        <v>891</v>
      </c>
      <c r="B2878" s="2" t="s">
        <v>4295</v>
      </c>
      <c r="C2878" s="9">
        <v>10100575</v>
      </c>
      <c r="D2878" s="2" t="s">
        <v>4296</v>
      </c>
      <c r="E2878" s="10">
        <v>12</v>
      </c>
      <c r="F2878" s="9" t="s">
        <v>940</v>
      </c>
      <c r="G2878" s="11">
        <v>46238</v>
      </c>
      <c r="H2878" s="12">
        <v>0</v>
      </c>
      <c r="I2878" s="12">
        <v>0</v>
      </c>
      <c r="J2878" s="9" t="s">
        <v>3</v>
      </c>
      <c r="K2878" s="8">
        <v>0</v>
      </c>
    </row>
    <row r="2879" spans="1:11">
      <c r="A2879" s="2" t="s">
        <v>891</v>
      </c>
      <c r="B2879" s="2" t="s">
        <v>4297</v>
      </c>
      <c r="C2879" s="9">
        <v>10100576</v>
      </c>
      <c r="D2879" s="2" t="s">
        <v>4298</v>
      </c>
      <c r="E2879" s="10">
        <v>24</v>
      </c>
      <c r="F2879" s="9" t="s">
        <v>711</v>
      </c>
      <c r="G2879" s="11">
        <v>46238</v>
      </c>
      <c r="H2879" s="12">
        <v>0</v>
      </c>
      <c r="I2879" s="12">
        <v>0</v>
      </c>
      <c r="J2879" s="9" t="s">
        <v>3</v>
      </c>
      <c r="K2879" s="8">
        <v>0</v>
      </c>
    </row>
    <row r="2880" spans="1:11">
      <c r="A2880" s="2" t="s">
        <v>891</v>
      </c>
      <c r="B2880" s="2" t="s">
        <v>4299</v>
      </c>
      <c r="C2880" s="9">
        <v>10100577</v>
      </c>
      <c r="D2880" s="2" t="s">
        <v>4300</v>
      </c>
      <c r="E2880" s="10">
        <v>1</v>
      </c>
      <c r="F2880" s="9" t="s">
        <v>4301</v>
      </c>
      <c r="G2880" s="11">
        <v>46238</v>
      </c>
      <c r="H2880" s="12">
        <v>0</v>
      </c>
      <c r="I2880" s="12">
        <v>0</v>
      </c>
      <c r="J2880" s="9" t="s">
        <v>3</v>
      </c>
      <c r="K2880" s="8">
        <v>0</v>
      </c>
    </row>
    <row r="2881" spans="1:11">
      <c r="A2881" s="2" t="s">
        <v>891</v>
      </c>
      <c r="B2881" s="2" t="s">
        <v>4299</v>
      </c>
      <c r="C2881" s="9">
        <v>10100578</v>
      </c>
      <c r="D2881" s="2" t="s">
        <v>4302</v>
      </c>
      <c r="E2881" s="10">
        <v>36</v>
      </c>
      <c r="F2881" s="9" t="s">
        <v>4303</v>
      </c>
      <c r="G2881" s="11">
        <v>46238</v>
      </c>
      <c r="H2881" s="12">
        <v>0</v>
      </c>
      <c r="I2881" s="12">
        <v>0</v>
      </c>
      <c r="J2881" s="9" t="s">
        <v>3</v>
      </c>
      <c r="K2881" s="8">
        <v>0</v>
      </c>
    </row>
    <row r="2882" spans="1:11">
      <c r="A2882" s="2" t="s">
        <v>891</v>
      </c>
      <c r="B2882" s="2" t="s">
        <v>4299</v>
      </c>
      <c r="C2882" s="9">
        <v>10100579</v>
      </c>
      <c r="D2882" s="2" t="s">
        <v>4304</v>
      </c>
      <c r="E2882" s="10">
        <v>60</v>
      </c>
      <c r="F2882" s="9" t="s">
        <v>1557</v>
      </c>
      <c r="G2882" s="11">
        <v>46238</v>
      </c>
      <c r="H2882" s="12">
        <v>0</v>
      </c>
      <c r="I2882" s="12">
        <v>0</v>
      </c>
      <c r="J2882" s="9" t="s">
        <v>3</v>
      </c>
      <c r="K2882" s="8">
        <v>0</v>
      </c>
    </row>
    <row r="2883" spans="1:11">
      <c r="A2883" s="2" t="s">
        <v>891</v>
      </c>
      <c r="B2883" s="2" t="s">
        <v>4299</v>
      </c>
      <c r="C2883" s="9">
        <v>10100580</v>
      </c>
      <c r="D2883" s="2" t="s">
        <v>4305</v>
      </c>
      <c r="E2883" s="10">
        <v>36</v>
      </c>
      <c r="F2883" s="9" t="s">
        <v>4306</v>
      </c>
      <c r="G2883" s="11">
        <v>46238</v>
      </c>
      <c r="H2883" s="12">
        <v>0</v>
      </c>
      <c r="I2883" s="12">
        <v>0</v>
      </c>
      <c r="J2883" s="9" t="s">
        <v>3</v>
      </c>
      <c r="K2883" s="8">
        <v>0</v>
      </c>
    </row>
    <row r="2884" spans="1:11">
      <c r="A2884" s="2" t="s">
        <v>891</v>
      </c>
      <c r="B2884" s="2" t="s">
        <v>4299</v>
      </c>
      <c r="C2884" s="9">
        <v>10100581</v>
      </c>
      <c r="D2884" s="2" t="s">
        <v>4307</v>
      </c>
      <c r="E2884" s="10">
        <v>6</v>
      </c>
      <c r="F2884" s="9" t="s">
        <v>1940</v>
      </c>
      <c r="G2884" s="11">
        <v>46238</v>
      </c>
      <c r="H2884" s="12">
        <v>0</v>
      </c>
      <c r="I2884" s="12">
        <v>0</v>
      </c>
      <c r="J2884" s="9" t="s">
        <v>3</v>
      </c>
      <c r="K2884" s="8">
        <v>0</v>
      </c>
    </row>
    <row r="2885" spans="1:11">
      <c r="A2885" s="2" t="s">
        <v>891</v>
      </c>
      <c r="B2885" s="2" t="s">
        <v>4299</v>
      </c>
      <c r="C2885" s="9">
        <v>10100582</v>
      </c>
      <c r="D2885" s="2" t="s">
        <v>4308</v>
      </c>
      <c r="E2885" s="10">
        <v>72</v>
      </c>
      <c r="F2885" s="9" t="s">
        <v>4301</v>
      </c>
      <c r="G2885" s="11">
        <v>46238</v>
      </c>
      <c r="H2885" s="12">
        <v>0</v>
      </c>
      <c r="I2885" s="12">
        <v>0</v>
      </c>
      <c r="J2885" s="9" t="s">
        <v>3</v>
      </c>
      <c r="K2885" s="8">
        <v>0</v>
      </c>
    </row>
    <row r="2886" spans="1:11">
      <c r="A2886" s="2" t="s">
        <v>891</v>
      </c>
      <c r="B2886" s="2" t="s">
        <v>4145</v>
      </c>
      <c r="C2886" s="9">
        <v>10100583</v>
      </c>
      <c r="D2886" s="2" t="s">
        <v>4309</v>
      </c>
      <c r="E2886" s="10">
        <v>48</v>
      </c>
      <c r="F2886" s="9" t="s">
        <v>1546</v>
      </c>
      <c r="G2886" s="11">
        <v>46238</v>
      </c>
      <c r="H2886" s="12">
        <v>0</v>
      </c>
      <c r="I2886" s="12">
        <v>0</v>
      </c>
      <c r="J2886" s="9" t="s">
        <v>3</v>
      </c>
      <c r="K2886" s="8">
        <v>0</v>
      </c>
    </row>
    <row r="2887" spans="1:11">
      <c r="A2887" s="2" t="s">
        <v>891</v>
      </c>
      <c r="B2887" s="2" t="s">
        <v>4299</v>
      </c>
      <c r="C2887" s="9">
        <v>10100584</v>
      </c>
      <c r="D2887" s="2" t="s">
        <v>4310</v>
      </c>
      <c r="E2887" s="10">
        <v>72</v>
      </c>
      <c r="F2887" s="9" t="s">
        <v>4301</v>
      </c>
      <c r="G2887" s="11">
        <v>46238</v>
      </c>
      <c r="H2887" s="12">
        <v>0</v>
      </c>
      <c r="I2887" s="12">
        <v>0</v>
      </c>
      <c r="J2887" s="9" t="s">
        <v>3</v>
      </c>
      <c r="K2887" s="8">
        <v>0</v>
      </c>
    </row>
    <row r="2888" spans="1:11">
      <c r="A2888" s="2" t="s">
        <v>891</v>
      </c>
      <c r="B2888" s="2" t="s">
        <v>4299</v>
      </c>
      <c r="C2888" s="9">
        <v>10100585</v>
      </c>
      <c r="D2888" s="2" t="s">
        <v>4311</v>
      </c>
      <c r="E2888" s="10">
        <v>12</v>
      </c>
      <c r="F2888" s="9" t="s">
        <v>728</v>
      </c>
      <c r="G2888" s="11">
        <v>46238</v>
      </c>
      <c r="H2888" s="12">
        <v>0</v>
      </c>
      <c r="I2888" s="12">
        <v>0</v>
      </c>
      <c r="J2888" s="9" t="s">
        <v>3</v>
      </c>
      <c r="K2888" s="8">
        <v>0</v>
      </c>
    </row>
    <row r="2889" spans="1:11">
      <c r="A2889" s="2" t="s">
        <v>891</v>
      </c>
      <c r="B2889" s="2" t="s">
        <v>4312</v>
      </c>
      <c r="C2889" s="9">
        <v>10100586</v>
      </c>
      <c r="D2889" s="2" t="s">
        <v>4313</v>
      </c>
      <c r="E2889" s="10">
        <v>6</v>
      </c>
      <c r="F2889" s="9" t="s">
        <v>1367</v>
      </c>
      <c r="G2889" s="11">
        <v>46238</v>
      </c>
      <c r="H2889" s="12">
        <v>0</v>
      </c>
      <c r="I2889" s="12">
        <v>0</v>
      </c>
      <c r="J2889" s="9" t="s">
        <v>3</v>
      </c>
      <c r="K2889" s="8">
        <v>0</v>
      </c>
    </row>
    <row r="2890" spans="1:11">
      <c r="A2890" s="2" t="s">
        <v>891</v>
      </c>
      <c r="B2890" s="2" t="s">
        <v>4312</v>
      </c>
      <c r="C2890" s="9">
        <v>10100587</v>
      </c>
      <c r="D2890" s="2" t="s">
        <v>4314</v>
      </c>
      <c r="E2890" s="10">
        <v>12</v>
      </c>
      <c r="F2890" s="9" t="s">
        <v>969</v>
      </c>
      <c r="G2890" s="11">
        <v>46238</v>
      </c>
      <c r="H2890" s="12">
        <v>0</v>
      </c>
      <c r="I2890" s="12">
        <v>0</v>
      </c>
      <c r="J2890" s="9" t="s">
        <v>3</v>
      </c>
      <c r="K2890" s="8">
        <v>0</v>
      </c>
    </row>
    <row r="2891" spans="1:11">
      <c r="A2891" s="2" t="s">
        <v>891</v>
      </c>
      <c r="B2891" s="2" t="s">
        <v>4312</v>
      </c>
      <c r="C2891" s="9">
        <v>10100588</v>
      </c>
      <c r="D2891" s="2" t="s">
        <v>4315</v>
      </c>
      <c r="E2891" s="10">
        <v>12</v>
      </c>
      <c r="F2891" s="9" t="s">
        <v>944</v>
      </c>
      <c r="G2891" s="11">
        <v>46238</v>
      </c>
      <c r="H2891" s="12">
        <v>0</v>
      </c>
      <c r="I2891" s="12">
        <v>0</v>
      </c>
      <c r="J2891" s="9" t="s">
        <v>3</v>
      </c>
      <c r="K2891" s="8">
        <v>0</v>
      </c>
    </row>
    <row r="2892" spans="1:11">
      <c r="A2892" s="2" t="s">
        <v>891</v>
      </c>
      <c r="B2892" s="2" t="s">
        <v>4312</v>
      </c>
      <c r="C2892" s="9">
        <v>10100589</v>
      </c>
      <c r="D2892" s="2" t="s">
        <v>4316</v>
      </c>
      <c r="E2892" s="10">
        <v>12</v>
      </c>
      <c r="F2892" s="9" t="s">
        <v>1524</v>
      </c>
      <c r="G2892" s="11">
        <v>46238</v>
      </c>
      <c r="H2892" s="12">
        <v>0</v>
      </c>
      <c r="I2892" s="12">
        <v>0</v>
      </c>
      <c r="J2892" s="9" t="s">
        <v>3</v>
      </c>
      <c r="K2892" s="8">
        <v>0</v>
      </c>
    </row>
    <row r="2893" spans="1:11">
      <c r="A2893" s="2" t="s">
        <v>891</v>
      </c>
      <c r="B2893" s="2" t="s">
        <v>4312</v>
      </c>
      <c r="C2893" s="9">
        <v>10100590</v>
      </c>
      <c r="D2893" s="2" t="s">
        <v>4317</v>
      </c>
      <c r="E2893" s="10">
        <v>12</v>
      </c>
      <c r="F2893" s="9" t="s">
        <v>1524</v>
      </c>
      <c r="G2893" s="11">
        <v>46238</v>
      </c>
      <c r="H2893" s="12">
        <v>0</v>
      </c>
      <c r="I2893" s="12">
        <v>0</v>
      </c>
      <c r="J2893" s="9" t="s">
        <v>3</v>
      </c>
      <c r="K2893" s="8">
        <v>0</v>
      </c>
    </row>
    <row r="2894" spans="1:11">
      <c r="A2894" s="2" t="s">
        <v>891</v>
      </c>
      <c r="B2894" s="2" t="s">
        <v>4318</v>
      </c>
      <c r="C2894" s="9">
        <v>10100591</v>
      </c>
      <c r="D2894" s="2" t="s">
        <v>4319</v>
      </c>
      <c r="E2894" s="10">
        <v>120</v>
      </c>
      <c r="F2894" s="9" t="s">
        <v>2163</v>
      </c>
      <c r="G2894" s="11">
        <v>46238</v>
      </c>
      <c r="H2894" s="12">
        <v>0</v>
      </c>
      <c r="I2894" s="12">
        <v>0</v>
      </c>
      <c r="J2894" s="9" t="s">
        <v>3</v>
      </c>
      <c r="K2894" s="8">
        <v>0</v>
      </c>
    </row>
    <row r="2895" spans="1:11">
      <c r="A2895" s="2" t="s">
        <v>891</v>
      </c>
      <c r="B2895" s="2" t="s">
        <v>4318</v>
      </c>
      <c r="C2895" s="9">
        <v>10100592</v>
      </c>
      <c r="D2895" s="2" t="s">
        <v>4320</v>
      </c>
      <c r="E2895" s="10">
        <v>100</v>
      </c>
      <c r="F2895" s="9" t="s">
        <v>1695</v>
      </c>
      <c r="G2895" s="11">
        <v>46238</v>
      </c>
      <c r="H2895" s="12">
        <v>0</v>
      </c>
      <c r="I2895" s="12">
        <v>0</v>
      </c>
      <c r="J2895" s="9" t="s">
        <v>3</v>
      </c>
      <c r="K2895" s="8">
        <v>0</v>
      </c>
    </row>
    <row r="2896" spans="1:11">
      <c r="A2896" s="2" t="s">
        <v>891</v>
      </c>
      <c r="B2896" s="2" t="s">
        <v>4318</v>
      </c>
      <c r="C2896" s="9">
        <v>10100593</v>
      </c>
      <c r="D2896" s="2" t="s">
        <v>4321</v>
      </c>
      <c r="E2896" s="10">
        <v>1</v>
      </c>
      <c r="F2896" s="9" t="s">
        <v>2163</v>
      </c>
      <c r="G2896" s="11">
        <v>46238</v>
      </c>
      <c r="H2896" s="12">
        <v>0</v>
      </c>
      <c r="I2896" s="12">
        <v>0</v>
      </c>
      <c r="J2896" s="9" t="s">
        <v>3</v>
      </c>
      <c r="K2896" s="8">
        <v>0</v>
      </c>
    </row>
    <row r="2897" spans="1:11">
      <c r="A2897" s="2" t="s">
        <v>891</v>
      </c>
      <c r="B2897" s="2" t="s">
        <v>4145</v>
      </c>
      <c r="C2897" s="9">
        <v>10100594</v>
      </c>
      <c r="D2897" s="2" t="s">
        <v>4322</v>
      </c>
      <c r="E2897" s="10">
        <v>48</v>
      </c>
      <c r="F2897" s="9" t="s">
        <v>1546</v>
      </c>
      <c r="G2897" s="11">
        <v>46238</v>
      </c>
      <c r="H2897" s="12">
        <v>0</v>
      </c>
      <c r="I2897" s="12">
        <v>0</v>
      </c>
      <c r="J2897" s="9" t="s">
        <v>3</v>
      </c>
      <c r="K2897" s="8">
        <v>0</v>
      </c>
    </row>
    <row r="2898" spans="1:11">
      <c r="A2898" s="2" t="s">
        <v>891</v>
      </c>
      <c r="B2898" s="2" t="s">
        <v>4318</v>
      </c>
      <c r="C2898" s="9">
        <v>10100595</v>
      </c>
      <c r="D2898" s="2" t="s">
        <v>4323</v>
      </c>
      <c r="E2898" s="10">
        <v>64</v>
      </c>
      <c r="F2898" s="9" t="s">
        <v>2830</v>
      </c>
      <c r="G2898" s="11">
        <v>46238</v>
      </c>
      <c r="H2898" s="12">
        <v>0</v>
      </c>
      <c r="I2898" s="12">
        <v>0</v>
      </c>
      <c r="J2898" s="9" t="s">
        <v>3</v>
      </c>
      <c r="K2898" s="8">
        <v>0</v>
      </c>
    </row>
    <row r="2899" spans="1:11">
      <c r="A2899" s="2" t="s">
        <v>891</v>
      </c>
      <c r="B2899" s="2" t="s">
        <v>4324</v>
      </c>
      <c r="C2899" s="9">
        <v>10100596</v>
      </c>
      <c r="D2899" s="2" t="s">
        <v>4325</v>
      </c>
      <c r="E2899" s="10">
        <v>24</v>
      </c>
      <c r="F2899" s="9" t="s">
        <v>1716</v>
      </c>
      <c r="G2899" s="11">
        <v>46238</v>
      </c>
      <c r="H2899" s="12">
        <v>0</v>
      </c>
      <c r="I2899" s="12">
        <v>0</v>
      </c>
      <c r="J2899" s="9" t="s">
        <v>3</v>
      </c>
      <c r="K2899" s="8">
        <v>0</v>
      </c>
    </row>
    <row r="2900" spans="1:11">
      <c r="A2900" s="2" t="s">
        <v>891</v>
      </c>
      <c r="B2900" s="2" t="s">
        <v>4324</v>
      </c>
      <c r="C2900" s="9">
        <v>10100597</v>
      </c>
      <c r="D2900" s="2" t="s">
        <v>4326</v>
      </c>
      <c r="E2900" s="10">
        <v>24</v>
      </c>
      <c r="F2900" s="9" t="s">
        <v>1367</v>
      </c>
      <c r="G2900" s="11">
        <v>46238</v>
      </c>
      <c r="H2900" s="12">
        <v>0</v>
      </c>
      <c r="I2900" s="12">
        <v>0</v>
      </c>
      <c r="J2900" s="9" t="s">
        <v>3</v>
      </c>
      <c r="K2900" s="8">
        <v>0</v>
      </c>
    </row>
    <row r="2901" spans="1:11">
      <c r="A2901" s="2" t="s">
        <v>851</v>
      </c>
      <c r="B2901" s="2" t="s">
        <v>4327</v>
      </c>
      <c r="C2901" s="9">
        <v>10100598</v>
      </c>
      <c r="D2901" s="2" t="s">
        <v>4328</v>
      </c>
      <c r="E2901" s="10">
        <v>12</v>
      </c>
      <c r="F2901" s="9" t="s">
        <v>2302</v>
      </c>
      <c r="G2901" s="11">
        <v>46238</v>
      </c>
      <c r="H2901" s="12">
        <v>35.06</v>
      </c>
      <c r="I2901" s="12">
        <v>31.2</v>
      </c>
      <c r="J2901" s="9" t="s">
        <v>3</v>
      </c>
      <c r="K2901" s="8">
        <v>0</v>
      </c>
    </row>
    <row r="2902" spans="1:11">
      <c r="A2902" s="2" t="s">
        <v>851</v>
      </c>
      <c r="B2902" s="2" t="s">
        <v>4327</v>
      </c>
      <c r="C2902" s="9">
        <v>10100599</v>
      </c>
      <c r="D2902" s="2" t="s">
        <v>4329</v>
      </c>
      <c r="E2902" s="10">
        <v>12</v>
      </c>
      <c r="F2902" s="9" t="s">
        <v>2302</v>
      </c>
      <c r="G2902" s="11">
        <v>46238</v>
      </c>
      <c r="H2902" s="12">
        <v>35.06</v>
      </c>
      <c r="I2902" s="12">
        <v>31.2</v>
      </c>
      <c r="J2902" s="9" t="s">
        <v>3</v>
      </c>
      <c r="K2902" s="8">
        <v>0</v>
      </c>
    </row>
    <row r="2903" spans="1:11">
      <c r="A2903" s="2" t="s">
        <v>891</v>
      </c>
      <c r="B2903" s="2" t="s">
        <v>4330</v>
      </c>
      <c r="C2903" s="9">
        <v>10100600</v>
      </c>
      <c r="D2903" s="2" t="s">
        <v>4331</v>
      </c>
      <c r="E2903" s="10">
        <v>144</v>
      </c>
      <c r="F2903" s="9" t="s">
        <v>4332</v>
      </c>
      <c r="G2903" s="11">
        <v>46238</v>
      </c>
      <c r="H2903" s="12">
        <v>0</v>
      </c>
      <c r="I2903" s="12">
        <v>0</v>
      </c>
      <c r="J2903" s="9" t="s">
        <v>3</v>
      </c>
      <c r="K2903" s="8">
        <v>0</v>
      </c>
    </row>
    <row r="2904" spans="1:11">
      <c r="A2904" s="2" t="s">
        <v>891</v>
      </c>
      <c r="B2904" s="2" t="s">
        <v>4330</v>
      </c>
      <c r="C2904" s="9">
        <v>10100601</v>
      </c>
      <c r="D2904" s="2" t="s">
        <v>4333</v>
      </c>
      <c r="E2904" s="10">
        <v>144</v>
      </c>
      <c r="F2904" s="9" t="s">
        <v>4332</v>
      </c>
      <c r="G2904" s="11">
        <v>46238</v>
      </c>
      <c r="H2904" s="12">
        <v>0</v>
      </c>
      <c r="I2904" s="12">
        <v>0</v>
      </c>
      <c r="J2904" s="9" t="s">
        <v>3</v>
      </c>
      <c r="K2904" s="8">
        <v>0</v>
      </c>
    </row>
    <row r="2905" spans="1:11">
      <c r="A2905" s="2" t="s">
        <v>891</v>
      </c>
      <c r="B2905" s="2" t="s">
        <v>4330</v>
      </c>
      <c r="C2905" s="9">
        <v>10100602</v>
      </c>
      <c r="D2905" s="2" t="s">
        <v>4334</v>
      </c>
      <c r="E2905" s="10">
        <v>144</v>
      </c>
      <c r="F2905" s="9" t="s">
        <v>4332</v>
      </c>
      <c r="G2905" s="11">
        <v>46238</v>
      </c>
      <c r="H2905" s="12">
        <v>0</v>
      </c>
      <c r="I2905" s="12">
        <v>0</v>
      </c>
      <c r="J2905" s="9" t="s">
        <v>3</v>
      </c>
      <c r="K2905" s="8">
        <v>0</v>
      </c>
    </row>
    <row r="2906" spans="1:11">
      <c r="A2906" s="2" t="s">
        <v>891</v>
      </c>
      <c r="B2906" s="2" t="s">
        <v>4335</v>
      </c>
      <c r="C2906" s="9">
        <v>10100603</v>
      </c>
      <c r="D2906" s="2" t="s">
        <v>4336</v>
      </c>
      <c r="E2906" s="10">
        <v>24</v>
      </c>
      <c r="F2906" s="9" t="s">
        <v>985</v>
      </c>
      <c r="G2906" s="11">
        <v>46238</v>
      </c>
      <c r="H2906" s="12">
        <v>0</v>
      </c>
      <c r="I2906" s="12">
        <v>0</v>
      </c>
      <c r="J2906" s="9" t="s">
        <v>3</v>
      </c>
      <c r="K2906" s="8">
        <v>0</v>
      </c>
    </row>
    <row r="2907" spans="1:11">
      <c r="A2907" s="2" t="s">
        <v>891</v>
      </c>
      <c r="B2907" s="2" t="s">
        <v>4337</v>
      </c>
      <c r="C2907" s="9">
        <v>10100604</v>
      </c>
      <c r="D2907" s="2" t="s">
        <v>4338</v>
      </c>
      <c r="E2907" s="10">
        <v>24</v>
      </c>
      <c r="F2907" s="9" t="s">
        <v>2233</v>
      </c>
      <c r="G2907" s="11">
        <v>46238</v>
      </c>
      <c r="H2907" s="12">
        <v>0</v>
      </c>
      <c r="I2907" s="12">
        <v>0</v>
      </c>
      <c r="J2907" s="9" t="s">
        <v>3</v>
      </c>
      <c r="K2907" s="8">
        <v>0</v>
      </c>
    </row>
    <row r="2908" spans="1:11">
      <c r="A2908" s="2" t="s">
        <v>891</v>
      </c>
      <c r="B2908" s="2" t="s">
        <v>4145</v>
      </c>
      <c r="C2908" s="9">
        <v>10100605</v>
      </c>
      <c r="D2908" s="2" t="s">
        <v>4339</v>
      </c>
      <c r="E2908" s="10">
        <v>48</v>
      </c>
      <c r="F2908" s="9" t="s">
        <v>1546</v>
      </c>
      <c r="G2908" s="11">
        <v>46238</v>
      </c>
      <c r="H2908" s="12">
        <v>0</v>
      </c>
      <c r="I2908" s="12">
        <v>0</v>
      </c>
      <c r="J2908" s="9" t="s">
        <v>3</v>
      </c>
      <c r="K2908" s="8">
        <v>0</v>
      </c>
    </row>
    <row r="2909" spans="1:11">
      <c r="A2909" s="2" t="s">
        <v>891</v>
      </c>
      <c r="B2909" s="2" t="s">
        <v>4337</v>
      </c>
      <c r="C2909" s="9">
        <v>10100606</v>
      </c>
      <c r="D2909" s="2" t="s">
        <v>4340</v>
      </c>
      <c r="E2909" s="10">
        <v>6</v>
      </c>
      <c r="F2909" s="9" t="s">
        <v>2138</v>
      </c>
      <c r="G2909" s="11">
        <v>46238</v>
      </c>
      <c r="H2909" s="12">
        <v>0</v>
      </c>
      <c r="I2909" s="12">
        <v>0</v>
      </c>
      <c r="J2909" s="9" t="s">
        <v>3</v>
      </c>
      <c r="K2909" s="8">
        <v>0</v>
      </c>
    </row>
    <row r="2910" spans="1:11">
      <c r="A2910" s="2" t="s">
        <v>891</v>
      </c>
      <c r="B2910" s="2" t="s">
        <v>4337</v>
      </c>
      <c r="C2910" s="9">
        <v>10100607</v>
      </c>
      <c r="D2910" s="2" t="s">
        <v>4341</v>
      </c>
      <c r="E2910" s="10">
        <v>6</v>
      </c>
      <c r="F2910" s="9" t="s">
        <v>2138</v>
      </c>
      <c r="G2910" s="11">
        <v>46238</v>
      </c>
      <c r="H2910" s="12">
        <v>0</v>
      </c>
      <c r="I2910" s="12">
        <v>0</v>
      </c>
      <c r="J2910" s="9" t="s">
        <v>3</v>
      </c>
      <c r="K2910" s="8">
        <v>0</v>
      </c>
    </row>
    <row r="2911" spans="1:11">
      <c r="A2911" s="2" t="s">
        <v>891</v>
      </c>
      <c r="B2911" s="2" t="s">
        <v>4337</v>
      </c>
      <c r="C2911" s="9">
        <v>10100608</v>
      </c>
      <c r="D2911" s="2" t="s">
        <v>4342</v>
      </c>
      <c r="E2911" s="10">
        <v>20</v>
      </c>
      <c r="F2911" s="9" t="s">
        <v>4343</v>
      </c>
      <c r="G2911" s="11">
        <v>46238</v>
      </c>
      <c r="H2911" s="12">
        <v>0</v>
      </c>
      <c r="I2911" s="12">
        <v>0</v>
      </c>
      <c r="J2911" s="9" t="s">
        <v>3</v>
      </c>
      <c r="K2911" s="8">
        <v>0</v>
      </c>
    </row>
    <row r="2912" spans="1:11">
      <c r="A2912" s="2" t="s">
        <v>891</v>
      </c>
      <c r="B2912" s="2" t="s">
        <v>4337</v>
      </c>
      <c r="C2912" s="9">
        <v>10100609</v>
      </c>
      <c r="D2912" s="2" t="s">
        <v>4344</v>
      </c>
      <c r="E2912" s="10">
        <v>20</v>
      </c>
      <c r="F2912" s="9" t="s">
        <v>2571</v>
      </c>
      <c r="G2912" s="11">
        <v>46238</v>
      </c>
      <c r="H2912" s="12">
        <v>0</v>
      </c>
      <c r="I2912" s="12">
        <v>0</v>
      </c>
      <c r="J2912" s="9" t="s">
        <v>3</v>
      </c>
      <c r="K2912" s="8">
        <v>0</v>
      </c>
    </row>
    <row r="2913" spans="1:11">
      <c r="A2913" s="2" t="s">
        <v>891</v>
      </c>
      <c r="B2913" s="2" t="s">
        <v>4337</v>
      </c>
      <c r="C2913" s="9">
        <v>10100610</v>
      </c>
      <c r="D2913" s="2" t="s">
        <v>4345</v>
      </c>
      <c r="E2913" s="10">
        <v>6</v>
      </c>
      <c r="F2913" s="9" t="s">
        <v>1158</v>
      </c>
      <c r="G2913" s="11">
        <v>46238</v>
      </c>
      <c r="H2913" s="12">
        <v>0</v>
      </c>
      <c r="I2913" s="12">
        <v>0</v>
      </c>
      <c r="J2913" s="9" t="s">
        <v>3</v>
      </c>
      <c r="K2913" s="8">
        <v>0</v>
      </c>
    </row>
    <row r="2914" spans="1:11">
      <c r="A2914" s="2" t="s">
        <v>891</v>
      </c>
      <c r="B2914" s="2" t="s">
        <v>4346</v>
      </c>
      <c r="C2914" s="9">
        <v>10100611</v>
      </c>
      <c r="D2914" s="2" t="s">
        <v>4347</v>
      </c>
      <c r="E2914" s="10">
        <v>2</v>
      </c>
      <c r="F2914" s="9" t="s">
        <v>4348</v>
      </c>
      <c r="G2914" s="11">
        <v>46238</v>
      </c>
      <c r="H2914" s="12">
        <v>0</v>
      </c>
      <c r="I2914" s="12">
        <v>0</v>
      </c>
      <c r="J2914" s="9" t="s">
        <v>3</v>
      </c>
      <c r="K2914" s="8">
        <v>0</v>
      </c>
    </row>
    <row r="2915" spans="1:11">
      <c r="A2915" s="2" t="s">
        <v>891</v>
      </c>
      <c r="B2915" s="2" t="s">
        <v>4346</v>
      </c>
      <c r="C2915" s="9">
        <v>10100612</v>
      </c>
      <c r="D2915" s="2" t="s">
        <v>4349</v>
      </c>
      <c r="E2915" s="10">
        <v>2</v>
      </c>
      <c r="F2915" s="9" t="s">
        <v>4348</v>
      </c>
      <c r="G2915" s="11">
        <v>46238</v>
      </c>
      <c r="H2915" s="12">
        <v>0</v>
      </c>
      <c r="I2915" s="12">
        <v>0</v>
      </c>
      <c r="J2915" s="9" t="s">
        <v>3</v>
      </c>
      <c r="K2915" s="8">
        <v>0</v>
      </c>
    </row>
    <row r="2916" spans="1:11">
      <c r="A2916" s="2" t="s">
        <v>891</v>
      </c>
      <c r="B2916" s="2" t="s">
        <v>4346</v>
      </c>
      <c r="C2916" s="9">
        <v>10100613</v>
      </c>
      <c r="D2916" s="2" t="s">
        <v>4350</v>
      </c>
      <c r="E2916" s="10">
        <v>12</v>
      </c>
      <c r="F2916" s="9" t="s">
        <v>4351</v>
      </c>
      <c r="G2916" s="11">
        <v>46238</v>
      </c>
      <c r="H2916" s="12">
        <v>0</v>
      </c>
      <c r="I2916" s="12">
        <v>0</v>
      </c>
      <c r="J2916" s="9" t="s">
        <v>3</v>
      </c>
      <c r="K2916" s="8">
        <v>0</v>
      </c>
    </row>
    <row r="2917" spans="1:11">
      <c r="A2917" s="2" t="s">
        <v>891</v>
      </c>
      <c r="B2917" s="2" t="s">
        <v>4346</v>
      </c>
      <c r="C2917" s="9">
        <v>10100614</v>
      </c>
      <c r="D2917" s="2" t="s">
        <v>4352</v>
      </c>
      <c r="E2917" s="10">
        <v>12</v>
      </c>
      <c r="F2917" s="9" t="s">
        <v>4353</v>
      </c>
      <c r="G2917" s="11">
        <v>46238</v>
      </c>
      <c r="H2917" s="12">
        <v>0</v>
      </c>
      <c r="I2917" s="12">
        <v>0</v>
      </c>
      <c r="J2917" s="9" t="s">
        <v>3</v>
      </c>
      <c r="K2917" s="8">
        <v>0</v>
      </c>
    </row>
    <row r="2918" spans="1:11">
      <c r="A2918" s="2" t="s">
        <v>891</v>
      </c>
      <c r="B2918" s="2" t="s">
        <v>4346</v>
      </c>
      <c r="C2918" s="9">
        <v>10100615</v>
      </c>
      <c r="D2918" s="2" t="s">
        <v>4354</v>
      </c>
      <c r="E2918" s="10">
        <v>12</v>
      </c>
      <c r="F2918" s="9" t="s">
        <v>4353</v>
      </c>
      <c r="G2918" s="11">
        <v>46238</v>
      </c>
      <c r="H2918" s="12">
        <v>0</v>
      </c>
      <c r="I2918" s="12">
        <v>0</v>
      </c>
      <c r="J2918" s="9" t="s">
        <v>3</v>
      </c>
      <c r="K2918" s="8">
        <v>0</v>
      </c>
    </row>
    <row r="2919" spans="1:11">
      <c r="A2919" s="2" t="s">
        <v>891</v>
      </c>
      <c r="B2919" s="2" t="s">
        <v>4145</v>
      </c>
      <c r="C2919" s="9">
        <v>10100616</v>
      </c>
      <c r="D2919" s="2" t="s">
        <v>4355</v>
      </c>
      <c r="E2919" s="10">
        <v>48</v>
      </c>
      <c r="F2919" s="9" t="s">
        <v>1546</v>
      </c>
      <c r="G2919" s="11">
        <v>46238</v>
      </c>
      <c r="H2919" s="12">
        <v>0</v>
      </c>
      <c r="I2919" s="12">
        <v>0</v>
      </c>
      <c r="J2919" s="9" t="s">
        <v>3</v>
      </c>
      <c r="K2919" s="8">
        <v>0</v>
      </c>
    </row>
    <row r="2920" spans="1:11">
      <c r="A2920" s="2" t="s">
        <v>891</v>
      </c>
      <c r="B2920" s="2" t="s">
        <v>4346</v>
      </c>
      <c r="C2920" s="9">
        <v>10100617</v>
      </c>
      <c r="D2920" s="2" t="s">
        <v>4356</v>
      </c>
      <c r="E2920" s="10">
        <v>12</v>
      </c>
      <c r="F2920" s="9" t="s">
        <v>882</v>
      </c>
      <c r="G2920" s="11">
        <v>46238</v>
      </c>
      <c r="H2920" s="12">
        <v>0</v>
      </c>
      <c r="I2920" s="12">
        <v>0</v>
      </c>
      <c r="J2920" s="9" t="s">
        <v>3</v>
      </c>
      <c r="K2920" s="8">
        <v>0</v>
      </c>
    </row>
    <row r="2921" spans="1:11">
      <c r="A2921" s="2" t="s">
        <v>891</v>
      </c>
      <c r="B2921" s="2" t="s">
        <v>4357</v>
      </c>
      <c r="C2921" s="9">
        <v>10100618</v>
      </c>
      <c r="D2921" s="2" t="s">
        <v>4358</v>
      </c>
      <c r="E2921" s="10">
        <v>144</v>
      </c>
      <c r="F2921" s="9" t="s">
        <v>4359</v>
      </c>
      <c r="G2921" s="11">
        <v>46238</v>
      </c>
      <c r="H2921" s="12">
        <v>0</v>
      </c>
      <c r="I2921" s="12">
        <v>0</v>
      </c>
      <c r="J2921" s="9" t="s">
        <v>3</v>
      </c>
      <c r="K2921" s="8">
        <v>0</v>
      </c>
    </row>
    <row r="2922" spans="1:11">
      <c r="A2922" s="2" t="s">
        <v>919</v>
      </c>
      <c r="B2922" s="2" t="s">
        <v>4360</v>
      </c>
      <c r="C2922" s="9">
        <v>10100619</v>
      </c>
      <c r="D2922" s="2" t="s">
        <v>4361</v>
      </c>
      <c r="E2922" s="10">
        <v>4</v>
      </c>
      <c r="F2922" s="9" t="s">
        <v>4362</v>
      </c>
      <c r="G2922" s="11">
        <v>46238</v>
      </c>
      <c r="H2922" s="12">
        <v>71.91</v>
      </c>
      <c r="I2922" s="12">
        <v>64</v>
      </c>
      <c r="J2922" s="9" t="s">
        <v>3</v>
      </c>
      <c r="K2922" s="8">
        <v>0</v>
      </c>
    </row>
    <row r="2923" spans="1:11">
      <c r="A2923" s="2" t="s">
        <v>1662</v>
      </c>
      <c r="B2923" s="2" t="s">
        <v>3855</v>
      </c>
      <c r="C2923" s="9">
        <v>10100621</v>
      </c>
      <c r="D2923" s="2" t="s">
        <v>4363</v>
      </c>
      <c r="E2923" s="10">
        <v>10</v>
      </c>
      <c r="F2923" s="9" t="s">
        <v>1412</v>
      </c>
      <c r="G2923" s="11">
        <v>46238</v>
      </c>
      <c r="H2923" s="12">
        <v>32.22</v>
      </c>
      <c r="I2923" s="12">
        <v>29.64</v>
      </c>
      <c r="J2923" s="9" t="s">
        <v>3</v>
      </c>
      <c r="K2923" s="8">
        <v>1</v>
      </c>
    </row>
    <row r="2924" spans="1:11">
      <c r="A2924" s="2" t="s">
        <v>1662</v>
      </c>
      <c r="B2924" s="2" t="s">
        <v>3855</v>
      </c>
      <c r="C2924" s="9">
        <v>10100622</v>
      </c>
      <c r="D2924" s="2" t="s">
        <v>4364</v>
      </c>
      <c r="E2924" s="10">
        <v>14</v>
      </c>
      <c r="F2924" s="9" t="s">
        <v>728</v>
      </c>
      <c r="G2924" s="11">
        <v>46238</v>
      </c>
      <c r="H2924" s="12">
        <v>37.92</v>
      </c>
      <c r="I2924" s="12">
        <v>34.89</v>
      </c>
      <c r="J2924" s="9" t="s">
        <v>3</v>
      </c>
      <c r="K2924" s="8">
        <v>1</v>
      </c>
    </row>
    <row r="2925" spans="1:11">
      <c r="A2925" s="2" t="s">
        <v>1662</v>
      </c>
      <c r="B2925" s="2" t="s">
        <v>3855</v>
      </c>
      <c r="C2925" s="9">
        <v>10100623</v>
      </c>
      <c r="D2925" s="2" t="s">
        <v>4365</v>
      </c>
      <c r="E2925" s="10">
        <v>14</v>
      </c>
      <c r="F2925" s="9" t="s">
        <v>728</v>
      </c>
      <c r="G2925" s="11">
        <v>46238</v>
      </c>
      <c r="H2925" s="12">
        <v>37.92</v>
      </c>
      <c r="I2925" s="12">
        <v>34.89</v>
      </c>
      <c r="J2925" s="9" t="s">
        <v>3</v>
      </c>
      <c r="K2925" s="8">
        <v>1</v>
      </c>
    </row>
    <row r="2926" spans="1:11">
      <c r="A2926" s="2" t="s">
        <v>1662</v>
      </c>
      <c r="B2926" s="2" t="s">
        <v>3855</v>
      </c>
      <c r="C2926" s="9">
        <v>10100624</v>
      </c>
      <c r="D2926" s="2" t="s">
        <v>4366</v>
      </c>
      <c r="E2926" s="10">
        <v>14</v>
      </c>
      <c r="F2926" s="9" t="s">
        <v>728</v>
      </c>
      <c r="G2926" s="11">
        <v>46238</v>
      </c>
      <c r="H2926" s="12">
        <v>37.92</v>
      </c>
      <c r="I2926" s="12">
        <v>34.89</v>
      </c>
      <c r="J2926" s="9" t="s">
        <v>3</v>
      </c>
      <c r="K2926" s="8">
        <v>1</v>
      </c>
    </row>
    <row r="2927" spans="1:11">
      <c r="A2927" s="2" t="s">
        <v>1662</v>
      </c>
      <c r="B2927" s="2" t="s">
        <v>3855</v>
      </c>
      <c r="C2927" s="9">
        <v>10100625</v>
      </c>
      <c r="D2927" s="2" t="s">
        <v>4367</v>
      </c>
      <c r="E2927" s="10">
        <v>14</v>
      </c>
      <c r="F2927" s="9" t="s">
        <v>728</v>
      </c>
      <c r="G2927" s="11">
        <v>46238</v>
      </c>
      <c r="H2927" s="12">
        <v>43.64</v>
      </c>
      <c r="I2927" s="12">
        <v>40.15</v>
      </c>
      <c r="J2927" s="9" t="s">
        <v>3</v>
      </c>
      <c r="K2927" s="8">
        <v>1</v>
      </c>
    </row>
    <row r="2928" spans="1:11">
      <c r="A2928" s="2" t="s">
        <v>949</v>
      </c>
      <c r="B2928" s="2" t="s">
        <v>1003</v>
      </c>
      <c r="C2928" s="9">
        <v>10100626</v>
      </c>
      <c r="D2928" s="2" t="s">
        <v>4368</v>
      </c>
      <c r="E2928" s="10">
        <v>12</v>
      </c>
      <c r="F2928" s="9" t="s">
        <v>955</v>
      </c>
      <c r="G2928" s="11">
        <v>46238</v>
      </c>
      <c r="H2928" s="12">
        <v>124</v>
      </c>
      <c r="I2928" s="12">
        <v>110.36</v>
      </c>
      <c r="J2928" s="9" t="s">
        <v>3</v>
      </c>
      <c r="K2928" s="8">
        <v>0</v>
      </c>
    </row>
    <row r="2929" spans="1:11">
      <c r="A2929" s="2" t="s">
        <v>906</v>
      </c>
      <c r="B2929" s="2" t="s">
        <v>983</v>
      </c>
      <c r="C2929" s="9">
        <v>10100627</v>
      </c>
      <c r="D2929" s="2" t="s">
        <v>4369</v>
      </c>
      <c r="E2929" s="10">
        <v>12</v>
      </c>
      <c r="F2929" s="9" t="s">
        <v>776</v>
      </c>
      <c r="G2929" s="11">
        <v>46238</v>
      </c>
      <c r="H2929" s="12">
        <v>98.59</v>
      </c>
      <c r="I2929" s="12">
        <v>90.7</v>
      </c>
      <c r="J2929" s="9" t="s">
        <v>3</v>
      </c>
      <c r="K2929" s="8">
        <v>0</v>
      </c>
    </row>
    <row r="2930" spans="1:11">
      <c r="A2930" s="2" t="s">
        <v>663</v>
      </c>
      <c r="B2930" s="2" t="s">
        <v>2660</v>
      </c>
      <c r="C2930" s="9">
        <v>10100628</v>
      </c>
      <c r="D2930" s="2" t="s">
        <v>4370</v>
      </c>
      <c r="E2930" s="10">
        <v>12</v>
      </c>
      <c r="F2930" s="9" t="s">
        <v>1213</v>
      </c>
      <c r="G2930" s="11">
        <v>46238</v>
      </c>
      <c r="H2930" s="12">
        <v>35.43</v>
      </c>
      <c r="I2930" s="12">
        <v>31.53</v>
      </c>
      <c r="J2930" s="9" t="s">
        <v>3</v>
      </c>
      <c r="K2930" s="8">
        <v>0</v>
      </c>
    </row>
    <row r="2931" spans="1:11">
      <c r="A2931" s="2" t="s">
        <v>663</v>
      </c>
      <c r="B2931" s="2" t="s">
        <v>2660</v>
      </c>
      <c r="C2931" s="9">
        <v>10100629</v>
      </c>
      <c r="D2931" s="2" t="s">
        <v>4371</v>
      </c>
      <c r="E2931" s="10">
        <v>12</v>
      </c>
      <c r="F2931" s="9" t="s">
        <v>1306</v>
      </c>
      <c r="G2931" s="11">
        <v>46238</v>
      </c>
      <c r="H2931" s="12">
        <v>50.56</v>
      </c>
      <c r="I2931" s="12">
        <v>45</v>
      </c>
      <c r="J2931" s="9" t="s">
        <v>3</v>
      </c>
      <c r="K2931" s="8">
        <v>0</v>
      </c>
    </row>
    <row r="2932" spans="1:11">
      <c r="A2932" s="2" t="s">
        <v>1319</v>
      </c>
      <c r="B2932" s="2" t="s">
        <v>1320</v>
      </c>
      <c r="C2932" s="9">
        <v>10100630</v>
      </c>
      <c r="D2932" s="2" t="s">
        <v>4372</v>
      </c>
      <c r="E2932" s="10">
        <v>1</v>
      </c>
      <c r="F2932" s="9" t="s">
        <v>1023</v>
      </c>
      <c r="G2932" s="11">
        <v>46238</v>
      </c>
      <c r="H2932" s="12">
        <v>26.28</v>
      </c>
      <c r="I2932" s="12">
        <v>26.28</v>
      </c>
      <c r="J2932" s="9" t="s">
        <v>3</v>
      </c>
      <c r="K2932" s="8">
        <v>1</v>
      </c>
    </row>
    <row r="2933" spans="1:11">
      <c r="A2933" s="2" t="s">
        <v>906</v>
      </c>
      <c r="B2933" s="2" t="s">
        <v>1288</v>
      </c>
      <c r="C2933" s="9">
        <v>10100631</v>
      </c>
      <c r="D2933" s="2" t="s">
        <v>4373</v>
      </c>
      <c r="E2933" s="10">
        <v>12</v>
      </c>
      <c r="F2933" s="9" t="s">
        <v>969</v>
      </c>
      <c r="G2933" s="11">
        <v>46238</v>
      </c>
      <c r="H2933" s="12">
        <v>88.42</v>
      </c>
      <c r="I2933" s="12">
        <v>81.349999999999994</v>
      </c>
      <c r="J2933" s="9" t="s">
        <v>3</v>
      </c>
      <c r="K2933" s="8">
        <v>0</v>
      </c>
    </row>
    <row r="2934" spans="1:11">
      <c r="A2934" s="2" t="s">
        <v>834</v>
      </c>
      <c r="B2934" s="2" t="s">
        <v>835</v>
      </c>
      <c r="C2934" s="9">
        <v>10100632</v>
      </c>
      <c r="D2934" s="2" t="s">
        <v>4374</v>
      </c>
      <c r="E2934" s="10">
        <v>1</v>
      </c>
      <c r="F2934" s="9" t="s">
        <v>837</v>
      </c>
      <c r="G2934" s="11">
        <v>46238</v>
      </c>
      <c r="H2934" s="12">
        <v>26.85</v>
      </c>
      <c r="I2934" s="12">
        <v>24.7</v>
      </c>
      <c r="J2934" s="9" t="s">
        <v>3</v>
      </c>
      <c r="K2934" s="8">
        <v>1</v>
      </c>
    </row>
    <row r="2935" spans="1:11">
      <c r="A2935" s="2" t="s">
        <v>906</v>
      </c>
      <c r="B2935" s="2" t="s">
        <v>3005</v>
      </c>
      <c r="C2935" s="9">
        <v>10100633</v>
      </c>
      <c r="D2935" s="2" t="s">
        <v>4375</v>
      </c>
      <c r="E2935" s="10">
        <v>12</v>
      </c>
      <c r="F2935" s="9" t="s">
        <v>1392</v>
      </c>
      <c r="G2935" s="11">
        <v>46238</v>
      </c>
      <c r="H2935" s="12">
        <v>46.96</v>
      </c>
      <c r="I2935" s="12">
        <v>43.2</v>
      </c>
      <c r="J2935" s="9" t="s">
        <v>3</v>
      </c>
      <c r="K2935" s="8">
        <v>0</v>
      </c>
    </row>
    <row r="2936" spans="1:11">
      <c r="A2936" s="2" t="s">
        <v>906</v>
      </c>
      <c r="B2936" s="2" t="s">
        <v>2997</v>
      </c>
      <c r="C2936" s="9">
        <v>10100634</v>
      </c>
      <c r="D2936" s="2" t="s">
        <v>4376</v>
      </c>
      <c r="E2936" s="10">
        <v>12</v>
      </c>
      <c r="F2936" s="9" t="s">
        <v>1263</v>
      </c>
      <c r="G2936" s="11">
        <v>46238</v>
      </c>
      <c r="H2936" s="12">
        <v>118.3</v>
      </c>
      <c r="I2936" s="12">
        <v>108.84</v>
      </c>
      <c r="J2936" s="9" t="s">
        <v>3</v>
      </c>
      <c r="K2936" s="8">
        <v>0</v>
      </c>
    </row>
    <row r="2937" spans="1:11">
      <c r="A2937" s="2" t="s">
        <v>1120</v>
      </c>
      <c r="B2937" s="2" t="s">
        <v>3752</v>
      </c>
      <c r="C2937" s="9">
        <v>10100635</v>
      </c>
      <c r="D2937" s="2" t="s">
        <v>4377</v>
      </c>
      <c r="E2937" s="10">
        <v>12</v>
      </c>
      <c r="F2937" s="9" t="s">
        <v>3754</v>
      </c>
      <c r="G2937" s="11">
        <v>46238</v>
      </c>
      <c r="H2937" s="12">
        <v>70.63</v>
      </c>
      <c r="I2937" s="12">
        <v>61.45</v>
      </c>
      <c r="J2937" s="9" t="s">
        <v>3</v>
      </c>
      <c r="K2937" s="8">
        <v>0</v>
      </c>
    </row>
    <row r="2938" spans="1:11">
      <c r="A2938" s="2" t="s">
        <v>1120</v>
      </c>
      <c r="B2938" s="2" t="s">
        <v>3752</v>
      </c>
      <c r="C2938" s="9">
        <v>10100636</v>
      </c>
      <c r="D2938" s="2" t="s">
        <v>4378</v>
      </c>
      <c r="E2938" s="10">
        <v>80</v>
      </c>
      <c r="F2938" s="9" t="s">
        <v>3314</v>
      </c>
      <c r="G2938" s="11">
        <v>46238</v>
      </c>
      <c r="H2938" s="12">
        <v>70.63</v>
      </c>
      <c r="I2938" s="12">
        <v>61.45</v>
      </c>
      <c r="J2938" s="9" t="s">
        <v>3</v>
      </c>
      <c r="K2938" s="8">
        <v>0</v>
      </c>
    </row>
    <row r="2939" spans="1:11">
      <c r="A2939" s="2" t="s">
        <v>607</v>
      </c>
      <c r="B2939" s="2" t="s">
        <v>608</v>
      </c>
      <c r="C2939" s="9">
        <v>10100637</v>
      </c>
      <c r="D2939" s="2" t="s">
        <v>4379</v>
      </c>
      <c r="E2939" s="10">
        <v>24</v>
      </c>
      <c r="F2939" s="9" t="s">
        <v>610</v>
      </c>
      <c r="G2939" s="11">
        <v>46238</v>
      </c>
      <c r="H2939" s="12">
        <v>38.94</v>
      </c>
      <c r="I2939" s="12">
        <v>34.659999999999997</v>
      </c>
      <c r="J2939" s="9" t="s">
        <v>3</v>
      </c>
      <c r="K2939" s="8">
        <v>0</v>
      </c>
    </row>
    <row r="2940" spans="1:11">
      <c r="A2940" s="2" t="s">
        <v>834</v>
      </c>
      <c r="B2940" s="2" t="s">
        <v>4096</v>
      </c>
      <c r="C2940" s="9">
        <v>10100638</v>
      </c>
      <c r="D2940" s="2" t="s">
        <v>4380</v>
      </c>
      <c r="E2940" s="10">
        <v>1</v>
      </c>
      <c r="F2940" s="9" t="s">
        <v>4100</v>
      </c>
      <c r="G2940" s="11">
        <v>46238</v>
      </c>
      <c r="H2940" s="12">
        <v>29.49</v>
      </c>
      <c r="I2940" s="12">
        <v>27.13</v>
      </c>
      <c r="J2940" s="9" t="s">
        <v>3</v>
      </c>
      <c r="K2940" s="8">
        <v>1</v>
      </c>
    </row>
    <row r="2941" spans="1:11">
      <c r="A2941" s="2" t="s">
        <v>834</v>
      </c>
      <c r="B2941" s="2" t="s">
        <v>4096</v>
      </c>
      <c r="C2941" s="9">
        <v>10100639</v>
      </c>
      <c r="D2941" s="2" t="s">
        <v>4381</v>
      </c>
      <c r="E2941" s="10">
        <v>1</v>
      </c>
      <c r="F2941" s="9" t="s">
        <v>4382</v>
      </c>
      <c r="G2941" s="11">
        <v>46238</v>
      </c>
      <c r="H2941" s="12">
        <v>26.21</v>
      </c>
      <c r="I2941" s="12">
        <v>24.11</v>
      </c>
      <c r="J2941" s="9" t="s">
        <v>3</v>
      </c>
      <c r="K2941" s="8">
        <v>1</v>
      </c>
    </row>
    <row r="2942" spans="1:11">
      <c r="A2942" s="2" t="s">
        <v>834</v>
      </c>
      <c r="B2942" s="2" t="s">
        <v>4096</v>
      </c>
      <c r="C2942" s="9">
        <v>10100640</v>
      </c>
      <c r="D2942" s="2" t="s">
        <v>4383</v>
      </c>
      <c r="E2942" s="10">
        <v>1</v>
      </c>
      <c r="F2942" s="9" t="s">
        <v>1377</v>
      </c>
      <c r="G2942" s="11">
        <v>46238</v>
      </c>
      <c r="H2942" s="12">
        <v>31</v>
      </c>
      <c r="I2942" s="12">
        <v>28.52</v>
      </c>
      <c r="J2942" s="9" t="s">
        <v>3</v>
      </c>
      <c r="K2942" s="8">
        <v>1</v>
      </c>
    </row>
    <row r="2943" spans="1:11">
      <c r="A2943" s="2" t="s">
        <v>834</v>
      </c>
      <c r="B2943" s="2" t="s">
        <v>4096</v>
      </c>
      <c r="C2943" s="9">
        <v>10100641</v>
      </c>
      <c r="D2943" s="2" t="s">
        <v>4384</v>
      </c>
      <c r="E2943" s="10">
        <v>1</v>
      </c>
      <c r="F2943" s="9" t="s">
        <v>2978</v>
      </c>
      <c r="G2943" s="11">
        <v>46238</v>
      </c>
      <c r="H2943" s="12">
        <v>38.18</v>
      </c>
      <c r="I2943" s="12">
        <v>35.130000000000003</v>
      </c>
      <c r="J2943" s="9" t="s">
        <v>3</v>
      </c>
      <c r="K2943" s="8">
        <v>1</v>
      </c>
    </row>
    <row r="2944" spans="1:11">
      <c r="A2944" s="2" t="s">
        <v>834</v>
      </c>
      <c r="B2944" s="2" t="s">
        <v>4096</v>
      </c>
      <c r="C2944" s="9">
        <v>10100642</v>
      </c>
      <c r="D2944" s="2" t="s">
        <v>4385</v>
      </c>
      <c r="E2944" s="10">
        <v>1</v>
      </c>
      <c r="F2944" s="9" t="s">
        <v>2978</v>
      </c>
      <c r="G2944" s="11">
        <v>46238</v>
      </c>
      <c r="H2944" s="12">
        <v>45.03</v>
      </c>
      <c r="I2944" s="12">
        <v>41.43</v>
      </c>
      <c r="J2944" s="9" t="s">
        <v>3</v>
      </c>
      <c r="K2944" s="8">
        <v>1</v>
      </c>
    </row>
    <row r="2945" spans="1:11">
      <c r="A2945" s="2" t="s">
        <v>834</v>
      </c>
      <c r="B2945" s="2" t="s">
        <v>4096</v>
      </c>
      <c r="C2945" s="9">
        <v>10100643</v>
      </c>
      <c r="D2945" s="2" t="s">
        <v>4386</v>
      </c>
      <c r="E2945" s="10">
        <v>2</v>
      </c>
      <c r="F2945" s="9" t="s">
        <v>1377</v>
      </c>
      <c r="G2945" s="11">
        <v>46238</v>
      </c>
      <c r="H2945" s="12">
        <v>39.35</v>
      </c>
      <c r="I2945" s="12">
        <v>36.200000000000003</v>
      </c>
      <c r="J2945" s="9" t="s">
        <v>3</v>
      </c>
      <c r="K2945" s="8">
        <v>1</v>
      </c>
    </row>
    <row r="2946" spans="1:11">
      <c r="A2946" s="2" t="s">
        <v>834</v>
      </c>
      <c r="B2946" s="2" t="s">
        <v>4096</v>
      </c>
      <c r="C2946" s="9">
        <v>10100644</v>
      </c>
      <c r="D2946" s="2" t="s">
        <v>4387</v>
      </c>
      <c r="E2946" s="10">
        <v>12</v>
      </c>
      <c r="F2946" s="9" t="s">
        <v>1045</v>
      </c>
      <c r="G2946" s="11">
        <v>46238</v>
      </c>
      <c r="H2946" s="12">
        <v>86.22</v>
      </c>
      <c r="I2946" s="12">
        <v>79.319999999999993</v>
      </c>
      <c r="J2946" s="9" t="s">
        <v>3</v>
      </c>
      <c r="K2946" s="8">
        <v>0</v>
      </c>
    </row>
    <row r="2947" spans="1:11">
      <c r="A2947" s="2" t="s">
        <v>834</v>
      </c>
      <c r="B2947" s="2" t="s">
        <v>4096</v>
      </c>
      <c r="C2947" s="9">
        <v>10100645</v>
      </c>
      <c r="D2947" s="2" t="s">
        <v>4388</v>
      </c>
      <c r="E2947" s="10">
        <v>1</v>
      </c>
      <c r="F2947" s="9" t="s">
        <v>4389</v>
      </c>
      <c r="G2947" s="11">
        <v>46238</v>
      </c>
      <c r="H2947" s="12">
        <v>17.82</v>
      </c>
      <c r="I2947" s="12">
        <v>16.39</v>
      </c>
      <c r="J2947" s="9" t="s">
        <v>3</v>
      </c>
      <c r="K2947" s="8">
        <v>1</v>
      </c>
    </row>
    <row r="2948" spans="1:11">
      <c r="A2948" s="2" t="s">
        <v>834</v>
      </c>
      <c r="B2948" s="2" t="s">
        <v>4096</v>
      </c>
      <c r="C2948" s="9">
        <v>10100646</v>
      </c>
      <c r="D2948" s="2" t="s">
        <v>4390</v>
      </c>
      <c r="E2948" s="10">
        <v>2</v>
      </c>
      <c r="F2948" s="9" t="s">
        <v>863</v>
      </c>
      <c r="G2948" s="11">
        <v>46238</v>
      </c>
      <c r="H2948" s="12">
        <v>21.54</v>
      </c>
      <c r="I2948" s="12">
        <v>19.82</v>
      </c>
      <c r="J2948" s="9" t="s">
        <v>3</v>
      </c>
      <c r="K2948" s="8">
        <v>1</v>
      </c>
    </row>
    <row r="2949" spans="1:11">
      <c r="A2949" s="2" t="s">
        <v>834</v>
      </c>
      <c r="B2949" s="2" t="s">
        <v>4096</v>
      </c>
      <c r="C2949" s="9">
        <v>10100647</v>
      </c>
      <c r="D2949" s="2" t="s">
        <v>4391</v>
      </c>
      <c r="E2949" s="10">
        <v>15</v>
      </c>
      <c r="F2949" s="9" t="s">
        <v>982</v>
      </c>
      <c r="G2949" s="11">
        <v>46238</v>
      </c>
      <c r="H2949" s="12">
        <v>87.55</v>
      </c>
      <c r="I2949" s="12">
        <v>80.55</v>
      </c>
      <c r="J2949" s="9" t="s">
        <v>3</v>
      </c>
      <c r="K2949" s="8">
        <v>0</v>
      </c>
    </row>
    <row r="2950" spans="1:11">
      <c r="A2950" s="2" t="s">
        <v>834</v>
      </c>
      <c r="B2950" s="2" t="s">
        <v>4096</v>
      </c>
      <c r="C2950" s="9">
        <v>10100648</v>
      </c>
      <c r="D2950" s="2" t="s">
        <v>4392</v>
      </c>
      <c r="E2950" s="10">
        <v>1</v>
      </c>
      <c r="F2950" s="9" t="s">
        <v>2978</v>
      </c>
      <c r="G2950" s="11">
        <v>46238</v>
      </c>
      <c r="H2950" s="12">
        <v>20.29</v>
      </c>
      <c r="I2950" s="12">
        <v>18.670000000000002</v>
      </c>
      <c r="J2950" s="9" t="s">
        <v>3</v>
      </c>
      <c r="K2950" s="8">
        <v>1</v>
      </c>
    </row>
    <row r="2951" spans="1:11">
      <c r="A2951" s="2" t="s">
        <v>834</v>
      </c>
      <c r="B2951" s="2" t="s">
        <v>4096</v>
      </c>
      <c r="C2951" s="9">
        <v>10100649</v>
      </c>
      <c r="D2951" s="2" t="s">
        <v>4393</v>
      </c>
      <c r="E2951" s="10">
        <v>2</v>
      </c>
      <c r="F2951" s="9" t="s">
        <v>1377</v>
      </c>
      <c r="G2951" s="11">
        <v>46238</v>
      </c>
      <c r="H2951" s="12">
        <v>21.57</v>
      </c>
      <c r="I2951" s="12">
        <v>19.84</v>
      </c>
      <c r="J2951" s="9" t="s">
        <v>3</v>
      </c>
      <c r="K2951" s="8">
        <v>1</v>
      </c>
    </row>
    <row r="2952" spans="1:11">
      <c r="A2952" s="2" t="s">
        <v>891</v>
      </c>
      <c r="B2952" s="2" t="s">
        <v>4394</v>
      </c>
      <c r="C2952" s="9">
        <v>10100651</v>
      </c>
      <c r="D2952" s="2" t="s">
        <v>4395</v>
      </c>
      <c r="E2952" s="10">
        <v>6</v>
      </c>
      <c r="F2952" s="9" t="s">
        <v>4396</v>
      </c>
      <c r="G2952" s="11">
        <v>46238</v>
      </c>
      <c r="H2952" s="12">
        <v>142.16999999999999</v>
      </c>
      <c r="I2952" s="12">
        <v>123.69</v>
      </c>
      <c r="J2952" s="9" t="s">
        <v>3</v>
      </c>
      <c r="K2952" s="8">
        <v>0</v>
      </c>
    </row>
    <row r="2953" spans="1:11">
      <c r="A2953" s="2" t="s">
        <v>891</v>
      </c>
      <c r="B2953" s="2" t="s">
        <v>4394</v>
      </c>
      <c r="C2953" s="9">
        <v>10100652</v>
      </c>
      <c r="D2953" s="2" t="s">
        <v>4397</v>
      </c>
      <c r="E2953" s="10">
        <v>6</v>
      </c>
      <c r="F2953" s="9" t="s">
        <v>3061</v>
      </c>
      <c r="G2953" s="11">
        <v>46238</v>
      </c>
      <c r="H2953" s="12">
        <v>128.18</v>
      </c>
      <c r="I2953" s="12">
        <v>111.52</v>
      </c>
      <c r="J2953" s="9" t="s">
        <v>3</v>
      </c>
      <c r="K2953" s="8">
        <v>0</v>
      </c>
    </row>
    <row r="2954" spans="1:11">
      <c r="A2954" s="2" t="s">
        <v>891</v>
      </c>
      <c r="B2954" s="2" t="s">
        <v>4394</v>
      </c>
      <c r="C2954" s="9">
        <v>10100653</v>
      </c>
      <c r="D2954" s="2" t="s">
        <v>4398</v>
      </c>
      <c r="E2954" s="10">
        <v>6</v>
      </c>
      <c r="F2954" s="9" t="s">
        <v>4399</v>
      </c>
      <c r="G2954" s="11">
        <v>46238</v>
      </c>
      <c r="H2954" s="12">
        <v>128.18</v>
      </c>
      <c r="I2954" s="12">
        <v>111.52</v>
      </c>
      <c r="J2954" s="9" t="s">
        <v>3</v>
      </c>
      <c r="K2954" s="8">
        <v>0</v>
      </c>
    </row>
    <row r="2955" spans="1:11">
      <c r="A2955" s="2" t="s">
        <v>891</v>
      </c>
      <c r="B2955" s="2" t="s">
        <v>4394</v>
      </c>
      <c r="C2955" s="9">
        <v>10100654</v>
      </c>
      <c r="D2955" s="2" t="s">
        <v>4400</v>
      </c>
      <c r="E2955" s="10">
        <v>6</v>
      </c>
      <c r="F2955" s="9" t="s">
        <v>4399</v>
      </c>
      <c r="G2955" s="11">
        <v>46238</v>
      </c>
      <c r="H2955" s="12">
        <v>128.18</v>
      </c>
      <c r="I2955" s="12">
        <v>111.52</v>
      </c>
      <c r="J2955" s="9" t="s">
        <v>3</v>
      </c>
      <c r="K2955" s="8">
        <v>0</v>
      </c>
    </row>
    <row r="2956" spans="1:11">
      <c r="A2956" s="2" t="s">
        <v>891</v>
      </c>
      <c r="B2956" s="2" t="s">
        <v>4394</v>
      </c>
      <c r="C2956" s="9">
        <v>10100655</v>
      </c>
      <c r="D2956" s="2" t="s">
        <v>4401</v>
      </c>
      <c r="E2956" s="10">
        <v>6</v>
      </c>
      <c r="F2956" s="9" t="s">
        <v>4402</v>
      </c>
      <c r="G2956" s="11">
        <v>46238</v>
      </c>
      <c r="H2956" s="12">
        <v>128.18</v>
      </c>
      <c r="I2956" s="12">
        <v>111.52</v>
      </c>
      <c r="J2956" s="9" t="s">
        <v>3</v>
      </c>
      <c r="K2956" s="8">
        <v>0</v>
      </c>
    </row>
    <row r="2957" spans="1:11">
      <c r="A2957" s="2" t="s">
        <v>891</v>
      </c>
      <c r="B2957" s="2" t="s">
        <v>4394</v>
      </c>
      <c r="C2957" s="9">
        <v>10100656</v>
      </c>
      <c r="D2957" s="2" t="s">
        <v>4403</v>
      </c>
      <c r="E2957" s="10">
        <v>24</v>
      </c>
      <c r="F2957" s="9" t="s">
        <v>4238</v>
      </c>
      <c r="G2957" s="11">
        <v>46238</v>
      </c>
      <c r="H2957" s="12">
        <v>95.54</v>
      </c>
      <c r="I2957" s="12">
        <v>83.12</v>
      </c>
      <c r="J2957" s="9" t="s">
        <v>3</v>
      </c>
      <c r="K2957" s="8">
        <v>0</v>
      </c>
    </row>
    <row r="2958" spans="1:11">
      <c r="A2958" s="2" t="s">
        <v>891</v>
      </c>
      <c r="B2958" s="2" t="s">
        <v>4394</v>
      </c>
      <c r="C2958" s="9">
        <v>10100657</v>
      </c>
      <c r="D2958" s="2" t="s">
        <v>4404</v>
      </c>
      <c r="E2958" s="10">
        <v>36</v>
      </c>
      <c r="F2958" s="9" t="s">
        <v>4405</v>
      </c>
      <c r="G2958" s="11">
        <v>46238</v>
      </c>
      <c r="H2958" s="12">
        <v>97.49</v>
      </c>
      <c r="I2958" s="12">
        <v>84.82</v>
      </c>
      <c r="J2958" s="9" t="s">
        <v>3</v>
      </c>
      <c r="K2958" s="8">
        <v>0</v>
      </c>
    </row>
    <row r="2959" spans="1:11">
      <c r="A2959" s="2" t="s">
        <v>891</v>
      </c>
      <c r="B2959" s="2" t="s">
        <v>4394</v>
      </c>
      <c r="C2959" s="9">
        <v>10100658</v>
      </c>
      <c r="D2959" s="2" t="s">
        <v>4406</v>
      </c>
      <c r="E2959" s="10">
        <v>36</v>
      </c>
      <c r="F2959" s="9" t="s">
        <v>3982</v>
      </c>
      <c r="G2959" s="11">
        <v>46238</v>
      </c>
      <c r="H2959" s="12">
        <v>94.29</v>
      </c>
      <c r="I2959" s="12">
        <v>82.03</v>
      </c>
      <c r="J2959" s="9" t="s">
        <v>3</v>
      </c>
      <c r="K2959" s="8">
        <v>0</v>
      </c>
    </row>
    <row r="2960" spans="1:11">
      <c r="A2960" s="2" t="s">
        <v>891</v>
      </c>
      <c r="B2960" s="2" t="s">
        <v>4394</v>
      </c>
      <c r="C2960" s="9">
        <v>10100659</v>
      </c>
      <c r="D2960" s="2" t="s">
        <v>4407</v>
      </c>
      <c r="E2960" s="10">
        <v>24</v>
      </c>
      <c r="F2960" s="9" t="s">
        <v>4238</v>
      </c>
      <c r="G2960" s="11">
        <v>46238</v>
      </c>
      <c r="H2960" s="12">
        <v>0</v>
      </c>
      <c r="I2960" s="12">
        <v>0</v>
      </c>
      <c r="J2960" s="9" t="s">
        <v>3</v>
      </c>
      <c r="K2960" s="8">
        <v>0</v>
      </c>
    </row>
    <row r="2961" spans="1:11">
      <c r="A2961" s="2" t="s">
        <v>949</v>
      </c>
      <c r="B2961" s="2" t="s">
        <v>2702</v>
      </c>
      <c r="C2961" s="9">
        <v>10100662</v>
      </c>
      <c r="D2961" s="2" t="s">
        <v>4408</v>
      </c>
      <c r="E2961" s="10">
        <v>60</v>
      </c>
      <c r="F2961" s="9" t="s">
        <v>4409</v>
      </c>
      <c r="G2961" s="11">
        <v>46238</v>
      </c>
      <c r="H2961" s="12">
        <v>333.01</v>
      </c>
      <c r="I2961" s="12">
        <v>296.38</v>
      </c>
      <c r="J2961" s="9" t="s">
        <v>3</v>
      </c>
      <c r="K2961" s="8">
        <v>0</v>
      </c>
    </row>
    <row r="2962" spans="1:11">
      <c r="A2962" s="2" t="s">
        <v>834</v>
      </c>
      <c r="B2962" s="2" t="s">
        <v>4096</v>
      </c>
      <c r="C2962" s="9">
        <v>10100664</v>
      </c>
      <c r="D2962" s="2" t="s">
        <v>4410</v>
      </c>
      <c r="E2962" s="10">
        <v>4</v>
      </c>
      <c r="F2962" s="9" t="s">
        <v>997</v>
      </c>
      <c r="G2962" s="11">
        <v>46238</v>
      </c>
      <c r="H2962" s="12">
        <v>19.91</v>
      </c>
      <c r="I2962" s="12">
        <v>18.32</v>
      </c>
      <c r="J2962" s="9" t="s">
        <v>3</v>
      </c>
      <c r="K2962" s="8">
        <v>1</v>
      </c>
    </row>
    <row r="2963" spans="1:11">
      <c r="A2963" s="2" t="s">
        <v>842</v>
      </c>
      <c r="B2963" s="2" t="s">
        <v>4411</v>
      </c>
      <c r="C2963" s="9">
        <v>10100665</v>
      </c>
      <c r="D2963" s="2" t="s">
        <v>4412</v>
      </c>
      <c r="E2963" s="10">
        <v>6</v>
      </c>
      <c r="F2963" s="9" t="s">
        <v>2584</v>
      </c>
      <c r="G2963" s="11">
        <v>46238</v>
      </c>
      <c r="H2963" s="12">
        <v>30.9</v>
      </c>
      <c r="I2963" s="12">
        <v>27.5</v>
      </c>
      <c r="J2963" s="9" t="s">
        <v>3</v>
      </c>
      <c r="K2963" s="8">
        <v>0</v>
      </c>
    </row>
    <row r="2964" spans="1:11">
      <c r="A2964" s="2" t="s">
        <v>842</v>
      </c>
      <c r="B2964" s="2" t="s">
        <v>4411</v>
      </c>
      <c r="C2964" s="9">
        <v>10100666</v>
      </c>
      <c r="D2964" s="2" t="s">
        <v>4413</v>
      </c>
      <c r="E2964" s="10">
        <v>6</v>
      </c>
      <c r="F2964" s="9" t="s">
        <v>2584</v>
      </c>
      <c r="G2964" s="11">
        <v>46238</v>
      </c>
      <c r="H2964" s="12">
        <v>30.9</v>
      </c>
      <c r="I2964" s="12">
        <v>27.5</v>
      </c>
      <c r="J2964" s="9" t="s">
        <v>3</v>
      </c>
      <c r="K2964" s="8">
        <v>0</v>
      </c>
    </row>
    <row r="2965" spans="1:11">
      <c r="A2965" s="2" t="s">
        <v>842</v>
      </c>
      <c r="B2965" s="2" t="s">
        <v>4411</v>
      </c>
      <c r="C2965" s="9">
        <v>10100667</v>
      </c>
      <c r="D2965" s="2" t="s">
        <v>4414</v>
      </c>
      <c r="E2965" s="10">
        <v>6</v>
      </c>
      <c r="F2965" s="9" t="s">
        <v>2584</v>
      </c>
      <c r="G2965" s="11">
        <v>46238</v>
      </c>
      <c r="H2965" s="12">
        <v>30.9</v>
      </c>
      <c r="I2965" s="12">
        <v>27.5</v>
      </c>
      <c r="J2965" s="9" t="s">
        <v>3</v>
      </c>
      <c r="K2965" s="8">
        <v>0</v>
      </c>
    </row>
    <row r="2966" spans="1:11">
      <c r="A2966" s="2" t="s">
        <v>842</v>
      </c>
      <c r="B2966" s="2" t="s">
        <v>4411</v>
      </c>
      <c r="C2966" s="9">
        <v>10100668</v>
      </c>
      <c r="D2966" s="2" t="s">
        <v>4415</v>
      </c>
      <c r="E2966" s="10">
        <v>6</v>
      </c>
      <c r="F2966" s="9" t="s">
        <v>2584</v>
      </c>
      <c r="G2966" s="11">
        <v>46238</v>
      </c>
      <c r="H2966" s="12">
        <v>30.9</v>
      </c>
      <c r="I2966" s="12">
        <v>27.5</v>
      </c>
      <c r="J2966" s="9" t="s">
        <v>3</v>
      </c>
      <c r="K2966" s="8">
        <v>0</v>
      </c>
    </row>
    <row r="2967" spans="1:11">
      <c r="A2967" s="2" t="s">
        <v>842</v>
      </c>
      <c r="B2967" s="2" t="s">
        <v>4411</v>
      </c>
      <c r="C2967" s="9">
        <v>10100669</v>
      </c>
      <c r="D2967" s="2" t="s">
        <v>4416</v>
      </c>
      <c r="E2967" s="10">
        <v>6</v>
      </c>
      <c r="F2967" s="9" t="s">
        <v>2584</v>
      </c>
      <c r="G2967" s="11">
        <v>46238</v>
      </c>
      <c r="H2967" s="12">
        <v>30.9</v>
      </c>
      <c r="I2967" s="12">
        <v>27.5</v>
      </c>
      <c r="J2967" s="9" t="s">
        <v>3</v>
      </c>
      <c r="K2967" s="8">
        <v>0</v>
      </c>
    </row>
    <row r="2968" spans="1:11">
      <c r="A2968" s="2" t="s">
        <v>663</v>
      </c>
      <c r="B2968" s="2" t="s">
        <v>726</v>
      </c>
      <c r="C2968" s="9">
        <v>10100671</v>
      </c>
      <c r="D2968" s="2" t="s">
        <v>4417</v>
      </c>
      <c r="E2968" s="10">
        <v>6</v>
      </c>
      <c r="F2968" s="9" t="s">
        <v>728</v>
      </c>
      <c r="G2968" s="11">
        <v>46238</v>
      </c>
      <c r="H2968" s="12">
        <v>35.19</v>
      </c>
      <c r="I2968" s="12">
        <v>31.32</v>
      </c>
      <c r="J2968" s="9" t="s">
        <v>3</v>
      </c>
      <c r="K2968" s="8">
        <v>0</v>
      </c>
    </row>
    <row r="2969" spans="1:11">
      <c r="A2969" s="2" t="s">
        <v>663</v>
      </c>
      <c r="B2969" s="2" t="s">
        <v>726</v>
      </c>
      <c r="C2969" s="9">
        <v>10100672</v>
      </c>
      <c r="D2969" s="2" t="s">
        <v>4418</v>
      </c>
      <c r="E2969" s="10">
        <v>6</v>
      </c>
      <c r="F2969" s="9" t="s">
        <v>728</v>
      </c>
      <c r="G2969" s="11">
        <v>46238</v>
      </c>
      <c r="H2969" s="12">
        <v>35.19</v>
      </c>
      <c r="I2969" s="12">
        <v>31.32</v>
      </c>
      <c r="J2969" s="9" t="s">
        <v>3</v>
      </c>
      <c r="K2969" s="8">
        <v>0</v>
      </c>
    </row>
    <row r="2970" spans="1:11">
      <c r="A2970" s="2" t="s">
        <v>663</v>
      </c>
      <c r="B2970" s="2" t="s">
        <v>726</v>
      </c>
      <c r="C2970" s="9">
        <v>10100673</v>
      </c>
      <c r="D2970" s="2" t="s">
        <v>4419</v>
      </c>
      <c r="E2970" s="10">
        <v>6</v>
      </c>
      <c r="F2970" s="9" t="s">
        <v>728</v>
      </c>
      <c r="G2970" s="11">
        <v>46238</v>
      </c>
      <c r="H2970" s="12">
        <v>35.19</v>
      </c>
      <c r="I2970" s="12">
        <v>31.32</v>
      </c>
      <c r="J2970" s="9" t="s">
        <v>3</v>
      </c>
      <c r="K2970" s="8">
        <v>0</v>
      </c>
    </row>
    <row r="2971" spans="1:11">
      <c r="A2971" s="2" t="s">
        <v>1255</v>
      </c>
      <c r="B2971" s="2" t="s">
        <v>1501</v>
      </c>
      <c r="C2971" s="9">
        <v>10100674</v>
      </c>
      <c r="D2971" s="2" t="s">
        <v>4420</v>
      </c>
      <c r="E2971" s="10">
        <v>12</v>
      </c>
      <c r="F2971" s="9" t="s">
        <v>1609</v>
      </c>
      <c r="G2971" s="11">
        <v>46238</v>
      </c>
      <c r="H2971" s="12">
        <v>53.26</v>
      </c>
      <c r="I2971" s="12">
        <v>47.4</v>
      </c>
      <c r="J2971" s="9" t="s">
        <v>3</v>
      </c>
      <c r="K2971" s="8">
        <v>0</v>
      </c>
    </row>
    <row r="2972" spans="1:11">
      <c r="A2972" s="2" t="s">
        <v>1174</v>
      </c>
      <c r="B2972" s="2" t="s">
        <v>1175</v>
      </c>
      <c r="C2972" s="9">
        <v>10100678</v>
      </c>
      <c r="D2972" s="2" t="s">
        <v>4421</v>
      </c>
      <c r="E2972" s="10">
        <v>12</v>
      </c>
      <c r="F2972" s="9" t="s">
        <v>4422</v>
      </c>
      <c r="G2972" s="11">
        <v>46238</v>
      </c>
      <c r="H2972" s="12">
        <v>96.83</v>
      </c>
      <c r="I2972" s="12">
        <v>86.18</v>
      </c>
      <c r="J2972" s="9" t="s">
        <v>3</v>
      </c>
      <c r="K2972" s="8">
        <v>0</v>
      </c>
    </row>
    <row r="2973" spans="1:11">
      <c r="A2973" s="2" t="s">
        <v>891</v>
      </c>
      <c r="B2973" s="2" t="s">
        <v>4284</v>
      </c>
      <c r="C2973" s="9">
        <v>10100679</v>
      </c>
      <c r="D2973" s="2" t="s">
        <v>4423</v>
      </c>
      <c r="E2973" s="10">
        <v>12</v>
      </c>
      <c r="F2973" s="9" t="s">
        <v>4290</v>
      </c>
      <c r="G2973" s="11">
        <v>46238</v>
      </c>
      <c r="H2973" s="12">
        <v>0</v>
      </c>
      <c r="I2973" s="12">
        <v>0</v>
      </c>
      <c r="J2973" s="9" t="s">
        <v>3</v>
      </c>
      <c r="K2973" s="8">
        <v>0</v>
      </c>
    </row>
    <row r="2974" spans="1:11">
      <c r="A2974" s="2" t="s">
        <v>891</v>
      </c>
      <c r="B2974" s="2" t="s">
        <v>4424</v>
      </c>
      <c r="C2974" s="9">
        <v>10100680</v>
      </c>
      <c r="D2974" s="2" t="s">
        <v>4425</v>
      </c>
      <c r="E2974" s="10">
        <v>12</v>
      </c>
      <c r="F2974" s="9" t="s">
        <v>3216</v>
      </c>
      <c r="G2974" s="11">
        <v>46238</v>
      </c>
      <c r="H2974" s="12">
        <v>0</v>
      </c>
      <c r="I2974" s="12">
        <v>0</v>
      </c>
      <c r="J2974" s="9" t="s">
        <v>3</v>
      </c>
      <c r="K2974" s="8">
        <v>0</v>
      </c>
    </row>
    <row r="2975" spans="1:11">
      <c r="A2975" s="2" t="s">
        <v>834</v>
      </c>
      <c r="B2975" s="2" t="s">
        <v>4426</v>
      </c>
      <c r="C2975" s="9">
        <v>10100681</v>
      </c>
      <c r="D2975" s="2" t="s">
        <v>4427</v>
      </c>
      <c r="E2975" s="10">
        <v>16</v>
      </c>
      <c r="F2975" s="9" t="s">
        <v>2830</v>
      </c>
      <c r="G2975" s="11">
        <v>46238</v>
      </c>
      <c r="H2975" s="12">
        <v>33.909999999999997</v>
      </c>
      <c r="I2975" s="12">
        <v>31.2</v>
      </c>
      <c r="J2975" s="9" t="s">
        <v>3</v>
      </c>
      <c r="K2975" s="8">
        <v>1</v>
      </c>
    </row>
    <row r="2976" spans="1:11">
      <c r="A2976" s="2" t="s">
        <v>834</v>
      </c>
      <c r="B2976" s="2" t="s">
        <v>4426</v>
      </c>
      <c r="C2976" s="9">
        <v>10100682</v>
      </c>
      <c r="D2976" s="2" t="s">
        <v>4428</v>
      </c>
      <c r="E2976" s="10">
        <v>8</v>
      </c>
      <c r="F2976" s="9" t="s">
        <v>2830</v>
      </c>
      <c r="G2976" s="11">
        <v>46238</v>
      </c>
      <c r="H2976" s="12">
        <v>41.04</v>
      </c>
      <c r="I2976" s="12">
        <v>37.76</v>
      </c>
      <c r="J2976" s="9" t="s">
        <v>3</v>
      </c>
      <c r="K2976" s="8">
        <v>1</v>
      </c>
    </row>
    <row r="2977" spans="1:11">
      <c r="A2977" s="2" t="s">
        <v>834</v>
      </c>
      <c r="B2977" s="2" t="s">
        <v>4426</v>
      </c>
      <c r="C2977" s="9">
        <v>10100683</v>
      </c>
      <c r="D2977" s="2" t="s">
        <v>4429</v>
      </c>
      <c r="E2977" s="10">
        <v>16</v>
      </c>
      <c r="F2977" s="9" t="s">
        <v>2830</v>
      </c>
      <c r="G2977" s="11">
        <v>46238</v>
      </c>
      <c r="H2977" s="12">
        <v>33.57</v>
      </c>
      <c r="I2977" s="12">
        <v>30.88</v>
      </c>
      <c r="J2977" s="9" t="s">
        <v>3</v>
      </c>
      <c r="K2977" s="8">
        <v>1</v>
      </c>
    </row>
    <row r="2978" spans="1:11">
      <c r="A2978" s="2" t="s">
        <v>834</v>
      </c>
      <c r="B2978" s="2" t="s">
        <v>4426</v>
      </c>
      <c r="C2978" s="9">
        <v>10100684</v>
      </c>
      <c r="D2978" s="2" t="s">
        <v>4430</v>
      </c>
      <c r="E2978" s="10">
        <v>8</v>
      </c>
      <c r="F2978" s="9" t="s">
        <v>2033</v>
      </c>
      <c r="G2978" s="11">
        <v>46238</v>
      </c>
      <c r="H2978" s="12">
        <v>32.26</v>
      </c>
      <c r="I2978" s="12">
        <v>29.68</v>
      </c>
      <c r="J2978" s="9" t="s">
        <v>3</v>
      </c>
      <c r="K2978" s="8">
        <v>1</v>
      </c>
    </row>
    <row r="2979" spans="1:11">
      <c r="A2979" s="2" t="s">
        <v>663</v>
      </c>
      <c r="B2979" s="2" t="s">
        <v>664</v>
      </c>
      <c r="C2979" s="9">
        <v>10100687</v>
      </c>
      <c r="D2979" s="2" t="s">
        <v>4431</v>
      </c>
      <c r="E2979" s="10">
        <v>6</v>
      </c>
      <c r="F2979" s="9" t="s">
        <v>666</v>
      </c>
      <c r="G2979" s="11">
        <v>46238</v>
      </c>
      <c r="H2979" s="12">
        <v>0</v>
      </c>
      <c r="I2979" s="12">
        <v>0</v>
      </c>
      <c r="J2979" s="9" t="s">
        <v>3</v>
      </c>
      <c r="K2979" s="8">
        <v>0</v>
      </c>
    </row>
    <row r="2980" spans="1:11">
      <c r="A2980" s="2" t="s">
        <v>891</v>
      </c>
      <c r="B2980" s="2" t="s">
        <v>4432</v>
      </c>
      <c r="C2980" s="9">
        <v>10100688</v>
      </c>
      <c r="D2980" s="2" t="s">
        <v>4433</v>
      </c>
      <c r="E2980" s="10">
        <v>6</v>
      </c>
      <c r="F2980" s="9" t="s">
        <v>4434</v>
      </c>
      <c r="G2980" s="11">
        <v>46238</v>
      </c>
      <c r="H2980" s="12">
        <v>41.93</v>
      </c>
      <c r="I2980" s="12">
        <v>38.58</v>
      </c>
      <c r="J2980" s="9" t="s">
        <v>3</v>
      </c>
      <c r="K2980" s="8">
        <v>0</v>
      </c>
    </row>
    <row r="2981" spans="1:11">
      <c r="A2981" s="2" t="s">
        <v>2740</v>
      </c>
      <c r="B2981" s="2" t="s">
        <v>2741</v>
      </c>
      <c r="C2981" s="9">
        <v>10100690</v>
      </c>
      <c r="D2981" s="2" t="s">
        <v>2752</v>
      </c>
      <c r="E2981" s="10">
        <v>12</v>
      </c>
      <c r="F2981" s="9" t="s">
        <v>2753</v>
      </c>
      <c r="G2981" s="11">
        <v>46238</v>
      </c>
      <c r="H2981" s="12">
        <v>104.64</v>
      </c>
      <c r="I2981" s="12">
        <v>93.13</v>
      </c>
      <c r="J2981" s="9" t="s">
        <v>3</v>
      </c>
      <c r="K2981" s="8">
        <v>0</v>
      </c>
    </row>
    <row r="2982" spans="1:11">
      <c r="A2982" s="2" t="s">
        <v>2740</v>
      </c>
      <c r="B2982" s="2" t="s">
        <v>2741</v>
      </c>
      <c r="C2982" s="9">
        <v>10100691</v>
      </c>
      <c r="D2982" s="2" t="s">
        <v>2758</v>
      </c>
      <c r="E2982" s="10">
        <v>12</v>
      </c>
      <c r="F2982" s="9" t="s">
        <v>813</v>
      </c>
      <c r="G2982" s="11">
        <v>46238</v>
      </c>
      <c r="H2982" s="12">
        <v>31.35</v>
      </c>
      <c r="I2982" s="12">
        <v>27.9</v>
      </c>
      <c r="J2982" s="9" t="s">
        <v>3</v>
      </c>
      <c r="K2982" s="8">
        <v>0</v>
      </c>
    </row>
    <row r="2983" spans="1:11">
      <c r="A2983" s="2" t="s">
        <v>2740</v>
      </c>
      <c r="B2983" s="2" t="s">
        <v>2741</v>
      </c>
      <c r="C2983" s="9">
        <v>10100692</v>
      </c>
      <c r="D2983" s="2" t="s">
        <v>2759</v>
      </c>
      <c r="E2983" s="10">
        <v>12</v>
      </c>
      <c r="F2983" s="9" t="s">
        <v>804</v>
      </c>
      <c r="G2983" s="11">
        <v>46238</v>
      </c>
      <c r="H2983" s="12">
        <v>50.47</v>
      </c>
      <c r="I2983" s="12">
        <v>44.92</v>
      </c>
      <c r="J2983" s="9" t="s">
        <v>3</v>
      </c>
      <c r="K2983" s="8">
        <v>0</v>
      </c>
    </row>
    <row r="2984" spans="1:11">
      <c r="A2984" s="2" t="s">
        <v>2740</v>
      </c>
      <c r="B2984" s="2" t="s">
        <v>2741</v>
      </c>
      <c r="C2984" s="9">
        <v>10100693</v>
      </c>
      <c r="D2984" s="2" t="s">
        <v>2760</v>
      </c>
      <c r="E2984" s="10">
        <v>12</v>
      </c>
      <c r="F2984" s="9" t="s">
        <v>2753</v>
      </c>
      <c r="G2984" s="11">
        <v>46238</v>
      </c>
      <c r="H2984" s="12">
        <v>80.069999999999993</v>
      </c>
      <c r="I2984" s="12">
        <v>71.260000000000005</v>
      </c>
      <c r="J2984" s="9" t="s">
        <v>3</v>
      </c>
      <c r="K2984" s="8">
        <v>0</v>
      </c>
    </row>
    <row r="2985" spans="1:11">
      <c r="A2985" s="2" t="s">
        <v>2740</v>
      </c>
      <c r="B2985" s="2" t="s">
        <v>2761</v>
      </c>
      <c r="C2985" s="9">
        <v>10100694</v>
      </c>
      <c r="D2985" s="2" t="s">
        <v>2762</v>
      </c>
      <c r="E2985" s="10">
        <v>6</v>
      </c>
      <c r="F2985" s="9" t="s">
        <v>1173</v>
      </c>
      <c r="G2985" s="11">
        <v>46238</v>
      </c>
      <c r="H2985" s="12">
        <v>70.64</v>
      </c>
      <c r="I2985" s="12">
        <v>62.87</v>
      </c>
      <c r="J2985" s="9" t="s">
        <v>3</v>
      </c>
      <c r="K2985" s="8">
        <v>0</v>
      </c>
    </row>
    <row r="2986" spans="1:11">
      <c r="A2986" s="2" t="s">
        <v>2740</v>
      </c>
      <c r="B2986" s="2" t="s">
        <v>2741</v>
      </c>
      <c r="C2986" s="9">
        <v>10100695</v>
      </c>
      <c r="D2986" s="2" t="s">
        <v>2763</v>
      </c>
      <c r="E2986" s="10">
        <v>12</v>
      </c>
      <c r="F2986" s="9" t="s">
        <v>813</v>
      </c>
      <c r="G2986" s="11">
        <v>46238</v>
      </c>
      <c r="H2986" s="12">
        <v>45.62</v>
      </c>
      <c r="I2986" s="12">
        <v>40.6</v>
      </c>
      <c r="J2986" s="9" t="s">
        <v>3</v>
      </c>
      <c r="K2986" s="8">
        <v>0</v>
      </c>
    </row>
    <row r="2987" spans="1:11">
      <c r="A2987" s="2" t="s">
        <v>2740</v>
      </c>
      <c r="B2987" s="2" t="s">
        <v>2741</v>
      </c>
      <c r="C2987" s="9">
        <v>10100696</v>
      </c>
      <c r="D2987" s="2" t="s">
        <v>2764</v>
      </c>
      <c r="E2987" s="10">
        <v>12</v>
      </c>
      <c r="F2987" s="9" t="s">
        <v>1219</v>
      </c>
      <c r="G2987" s="11">
        <v>46238</v>
      </c>
      <c r="H2987" s="12">
        <v>66.22</v>
      </c>
      <c r="I2987" s="12">
        <v>58.94</v>
      </c>
      <c r="J2987" s="9" t="s">
        <v>3</v>
      </c>
      <c r="K2987" s="8">
        <v>0</v>
      </c>
    </row>
    <row r="2988" spans="1:11">
      <c r="A2988" s="2" t="s">
        <v>2740</v>
      </c>
      <c r="B2988" s="2" t="s">
        <v>2741</v>
      </c>
      <c r="C2988" s="9">
        <v>10100697</v>
      </c>
      <c r="D2988" s="2" t="s">
        <v>2766</v>
      </c>
      <c r="E2988" s="10">
        <v>12</v>
      </c>
      <c r="F2988" s="9" t="s">
        <v>1219</v>
      </c>
      <c r="G2988" s="11">
        <v>46238</v>
      </c>
      <c r="H2988" s="12">
        <v>66.22</v>
      </c>
      <c r="I2988" s="12">
        <v>58.94</v>
      </c>
      <c r="J2988" s="9" t="s">
        <v>3</v>
      </c>
      <c r="K2988" s="8">
        <v>0</v>
      </c>
    </row>
    <row r="2989" spans="1:11">
      <c r="A2989" s="2" t="s">
        <v>2740</v>
      </c>
      <c r="B2989" s="2" t="s">
        <v>2741</v>
      </c>
      <c r="C2989" s="9">
        <v>10100698</v>
      </c>
      <c r="D2989" s="2" t="s">
        <v>2767</v>
      </c>
      <c r="E2989" s="10">
        <v>12</v>
      </c>
      <c r="F2989" s="9" t="s">
        <v>804</v>
      </c>
      <c r="G2989" s="11">
        <v>46238</v>
      </c>
      <c r="H2989" s="12">
        <v>50.47</v>
      </c>
      <c r="I2989" s="12">
        <v>44.92</v>
      </c>
      <c r="J2989" s="9" t="s">
        <v>3</v>
      </c>
      <c r="K2989" s="8">
        <v>0</v>
      </c>
    </row>
    <row r="2990" spans="1:11">
      <c r="A2990" s="2" t="s">
        <v>2740</v>
      </c>
      <c r="B2990" s="2" t="s">
        <v>2741</v>
      </c>
      <c r="C2990" s="9">
        <v>10100699</v>
      </c>
      <c r="D2990" s="2" t="s">
        <v>2768</v>
      </c>
      <c r="E2990" s="10">
        <v>12</v>
      </c>
      <c r="F2990" s="9" t="s">
        <v>2753</v>
      </c>
      <c r="G2990" s="11">
        <v>46238</v>
      </c>
      <c r="H2990" s="12">
        <v>80.069999999999993</v>
      </c>
      <c r="I2990" s="12">
        <v>71.260000000000005</v>
      </c>
      <c r="J2990" s="9" t="s">
        <v>3</v>
      </c>
      <c r="K2990" s="8">
        <v>0</v>
      </c>
    </row>
    <row r="2991" spans="1:11">
      <c r="A2991" s="2" t="s">
        <v>2740</v>
      </c>
      <c r="B2991" s="2" t="s">
        <v>2741</v>
      </c>
      <c r="C2991" s="9">
        <v>10100700</v>
      </c>
      <c r="D2991" s="2" t="s">
        <v>2770</v>
      </c>
      <c r="E2991" s="10">
        <v>12</v>
      </c>
      <c r="F2991" s="9" t="s">
        <v>804</v>
      </c>
      <c r="G2991" s="11">
        <v>46238</v>
      </c>
      <c r="H2991" s="12">
        <v>60.92</v>
      </c>
      <c r="I2991" s="12">
        <v>54.22</v>
      </c>
      <c r="J2991" s="9" t="s">
        <v>3</v>
      </c>
      <c r="K2991" s="8">
        <v>0</v>
      </c>
    </row>
    <row r="2992" spans="1:11">
      <c r="A2992" s="2" t="s">
        <v>2740</v>
      </c>
      <c r="B2992" s="2" t="s">
        <v>2741</v>
      </c>
      <c r="C2992" s="9">
        <v>10100701</v>
      </c>
      <c r="D2992" s="2" t="s">
        <v>2860</v>
      </c>
      <c r="E2992" s="10">
        <v>6</v>
      </c>
      <c r="F2992" s="9" t="s">
        <v>2861</v>
      </c>
      <c r="G2992" s="11">
        <v>46238</v>
      </c>
      <c r="H2992" s="12">
        <v>65.489999999999995</v>
      </c>
      <c r="I2992" s="12">
        <v>58.29</v>
      </c>
      <c r="J2992" s="9" t="s">
        <v>3</v>
      </c>
      <c r="K2992" s="8">
        <v>0</v>
      </c>
    </row>
    <row r="2993" spans="1:11">
      <c r="A2993" s="2" t="s">
        <v>2740</v>
      </c>
      <c r="B2993" s="2" t="s">
        <v>2741</v>
      </c>
      <c r="C2993" s="9">
        <v>10100702</v>
      </c>
      <c r="D2993" s="2" t="s">
        <v>2751</v>
      </c>
      <c r="E2993" s="10">
        <v>12</v>
      </c>
      <c r="F2993" s="9" t="s">
        <v>804</v>
      </c>
      <c r="G2993" s="11">
        <v>46238</v>
      </c>
      <c r="H2993" s="12">
        <v>60.91</v>
      </c>
      <c r="I2993" s="12">
        <v>54.22</v>
      </c>
      <c r="J2993" s="9" t="s">
        <v>3</v>
      </c>
      <c r="K2993" s="8">
        <v>0</v>
      </c>
    </row>
    <row r="2994" spans="1:11">
      <c r="A2994" s="2" t="s">
        <v>708</v>
      </c>
      <c r="B2994" s="2" t="s">
        <v>2727</v>
      </c>
      <c r="C2994" s="9">
        <v>10100704</v>
      </c>
      <c r="D2994" s="2" t="s">
        <v>4435</v>
      </c>
      <c r="E2994" s="10">
        <v>12</v>
      </c>
      <c r="F2994" s="9" t="s">
        <v>3156</v>
      </c>
      <c r="G2994" s="11">
        <v>46238</v>
      </c>
      <c r="H2994" s="12">
        <v>53.28</v>
      </c>
      <c r="I2994" s="12">
        <v>47.42</v>
      </c>
      <c r="J2994" s="9" t="s">
        <v>3</v>
      </c>
      <c r="K2994" s="8">
        <v>0</v>
      </c>
    </row>
    <row r="2995" spans="1:11">
      <c r="A2995" s="2" t="s">
        <v>708</v>
      </c>
      <c r="B2995" s="2" t="s">
        <v>2727</v>
      </c>
      <c r="C2995" s="9">
        <v>10100708</v>
      </c>
      <c r="D2995" s="2" t="s">
        <v>4436</v>
      </c>
      <c r="E2995" s="10">
        <v>12</v>
      </c>
      <c r="F2995" s="9" t="s">
        <v>3156</v>
      </c>
      <c r="G2995" s="11">
        <v>46238</v>
      </c>
      <c r="H2995" s="12">
        <v>53.28</v>
      </c>
      <c r="I2995" s="12">
        <v>47.42</v>
      </c>
      <c r="J2995" s="9" t="s">
        <v>3</v>
      </c>
      <c r="K2995" s="8">
        <v>0</v>
      </c>
    </row>
    <row r="2996" spans="1:11">
      <c r="A2996" s="2" t="s">
        <v>708</v>
      </c>
      <c r="B2996" s="2" t="s">
        <v>743</v>
      </c>
      <c r="C2996" s="9">
        <v>10100709</v>
      </c>
      <c r="D2996" s="2" t="s">
        <v>4437</v>
      </c>
      <c r="E2996" s="10">
        <v>1</v>
      </c>
      <c r="F2996" s="9" t="s">
        <v>745</v>
      </c>
      <c r="G2996" s="11">
        <v>46238</v>
      </c>
      <c r="H2996" s="12">
        <v>139.33000000000001</v>
      </c>
      <c r="I2996" s="12">
        <v>124</v>
      </c>
      <c r="J2996" s="9" t="s">
        <v>3</v>
      </c>
      <c r="K2996" s="8">
        <v>0</v>
      </c>
    </row>
    <row r="2997" spans="1:11">
      <c r="A2997" s="2" t="s">
        <v>834</v>
      </c>
      <c r="B2997" s="2" t="s">
        <v>2976</v>
      </c>
      <c r="C2997" s="9">
        <v>10100710</v>
      </c>
      <c r="D2997" s="2" t="s">
        <v>4438</v>
      </c>
      <c r="E2997" s="10">
        <v>1</v>
      </c>
      <c r="F2997" s="9" t="s">
        <v>863</v>
      </c>
      <c r="G2997" s="11">
        <v>46238</v>
      </c>
      <c r="H2997" s="12">
        <v>26.09</v>
      </c>
      <c r="I2997" s="12">
        <v>24</v>
      </c>
      <c r="J2997" s="9" t="s">
        <v>3</v>
      </c>
      <c r="K2997" s="8">
        <v>1</v>
      </c>
    </row>
    <row r="2998" spans="1:11">
      <c r="A2998" s="2" t="s">
        <v>1120</v>
      </c>
      <c r="B2998" s="2" t="s">
        <v>1121</v>
      </c>
      <c r="C2998" s="9">
        <v>10100711</v>
      </c>
      <c r="D2998" s="2" t="s">
        <v>4439</v>
      </c>
      <c r="E2998" s="10">
        <v>1</v>
      </c>
      <c r="F2998" s="9" t="s">
        <v>1232</v>
      </c>
      <c r="G2998" s="11">
        <v>46238</v>
      </c>
      <c r="H2998" s="12">
        <v>53.88</v>
      </c>
      <c r="I2998" s="12">
        <v>47.95</v>
      </c>
      <c r="J2998" s="9" t="s">
        <v>3</v>
      </c>
      <c r="K2998" s="8">
        <v>0</v>
      </c>
    </row>
    <row r="2999" spans="1:11">
      <c r="A2999" s="2" t="s">
        <v>1255</v>
      </c>
      <c r="B2999" s="2" t="s">
        <v>1261</v>
      </c>
      <c r="C2999" s="9">
        <v>10100713</v>
      </c>
      <c r="D2999" s="2" t="s">
        <v>4440</v>
      </c>
      <c r="E2999" s="10">
        <v>9</v>
      </c>
      <c r="F2999" s="9" t="s">
        <v>4441</v>
      </c>
      <c r="G2999" s="11">
        <v>46238</v>
      </c>
      <c r="H2999" s="12">
        <v>87.64</v>
      </c>
      <c r="I2999" s="12">
        <v>78</v>
      </c>
      <c r="J2999" s="9" t="s">
        <v>3</v>
      </c>
      <c r="K2999" s="8">
        <v>0</v>
      </c>
    </row>
    <row r="3000" spans="1:11">
      <c r="A3000" s="2" t="s">
        <v>1255</v>
      </c>
      <c r="B3000" s="2" t="s">
        <v>1261</v>
      </c>
      <c r="C3000" s="9">
        <v>10100714</v>
      </c>
      <c r="D3000" s="2" t="s">
        <v>4442</v>
      </c>
      <c r="E3000" s="10">
        <v>9</v>
      </c>
      <c r="F3000" s="9" t="s">
        <v>4441</v>
      </c>
      <c r="G3000" s="11">
        <v>46238</v>
      </c>
      <c r="H3000" s="12">
        <v>87.64</v>
      </c>
      <c r="I3000" s="12">
        <v>78</v>
      </c>
      <c r="J3000" s="9" t="s">
        <v>3</v>
      </c>
      <c r="K3000" s="8">
        <v>0</v>
      </c>
    </row>
    <row r="3001" spans="1:11">
      <c r="A3001" s="2" t="s">
        <v>1319</v>
      </c>
      <c r="B3001" s="2" t="s">
        <v>1320</v>
      </c>
      <c r="C3001" s="9">
        <v>10100726</v>
      </c>
      <c r="D3001" s="2" t="s">
        <v>4443</v>
      </c>
      <c r="E3001" s="10">
        <v>1</v>
      </c>
      <c r="F3001" s="9" t="s">
        <v>4444</v>
      </c>
      <c r="G3001" s="11">
        <v>46238</v>
      </c>
      <c r="H3001" s="12">
        <v>0</v>
      </c>
      <c r="I3001" s="12">
        <v>0</v>
      </c>
      <c r="J3001" s="9" t="s">
        <v>3</v>
      </c>
      <c r="K3001" s="8">
        <v>1</v>
      </c>
    </row>
    <row r="3002" spans="1:11">
      <c r="A3002" s="2" t="s">
        <v>1319</v>
      </c>
      <c r="B3002" s="2" t="s">
        <v>1320</v>
      </c>
      <c r="C3002" s="9">
        <v>10100727</v>
      </c>
      <c r="D3002" s="2" t="s">
        <v>4445</v>
      </c>
      <c r="E3002" s="10">
        <v>1</v>
      </c>
      <c r="F3002" s="9" t="s">
        <v>4444</v>
      </c>
      <c r="G3002" s="11">
        <v>46238</v>
      </c>
      <c r="H3002" s="12">
        <v>0</v>
      </c>
      <c r="I3002" s="12">
        <v>0</v>
      </c>
      <c r="J3002" s="9" t="s">
        <v>3</v>
      </c>
      <c r="K3002" s="8">
        <v>1</v>
      </c>
    </row>
    <row r="3003" spans="1:11">
      <c r="A3003" s="2" t="s">
        <v>1319</v>
      </c>
      <c r="B3003" s="2" t="s">
        <v>1320</v>
      </c>
      <c r="C3003" s="9">
        <v>10100728</v>
      </c>
      <c r="D3003" s="2" t="s">
        <v>4446</v>
      </c>
      <c r="E3003" s="10">
        <v>1</v>
      </c>
      <c r="F3003" s="9" t="s">
        <v>4444</v>
      </c>
      <c r="G3003" s="11">
        <v>46238</v>
      </c>
      <c r="H3003" s="12">
        <v>0</v>
      </c>
      <c r="I3003" s="12">
        <v>0</v>
      </c>
      <c r="J3003" s="9" t="s">
        <v>3</v>
      </c>
      <c r="K3003" s="8">
        <v>1</v>
      </c>
    </row>
    <row r="3004" spans="1:11">
      <c r="A3004" s="2" t="s">
        <v>1319</v>
      </c>
      <c r="B3004" s="2" t="s">
        <v>1320</v>
      </c>
      <c r="C3004" s="9">
        <v>10100729</v>
      </c>
      <c r="D3004" s="2" t="s">
        <v>4447</v>
      </c>
      <c r="E3004" s="10">
        <v>1</v>
      </c>
      <c r="F3004" s="9" t="s">
        <v>4444</v>
      </c>
      <c r="G3004" s="11">
        <v>46238</v>
      </c>
      <c r="H3004" s="12">
        <v>0</v>
      </c>
      <c r="I3004" s="12">
        <v>0</v>
      </c>
      <c r="J3004" s="9" t="s">
        <v>3</v>
      </c>
      <c r="K3004" s="8">
        <v>1</v>
      </c>
    </row>
    <row r="3005" spans="1:11">
      <c r="A3005" s="2" t="s">
        <v>1319</v>
      </c>
      <c r="B3005" s="2" t="s">
        <v>1320</v>
      </c>
      <c r="C3005" s="9">
        <v>10100730</v>
      </c>
      <c r="D3005" s="2" t="s">
        <v>4448</v>
      </c>
      <c r="E3005" s="10">
        <v>12</v>
      </c>
      <c r="F3005" s="9" t="s">
        <v>4449</v>
      </c>
      <c r="G3005" s="11">
        <v>46238</v>
      </c>
      <c r="H3005" s="12">
        <v>0</v>
      </c>
      <c r="I3005" s="12">
        <v>0</v>
      </c>
      <c r="J3005" s="9" t="s">
        <v>3</v>
      </c>
      <c r="K3005" s="8">
        <v>0</v>
      </c>
    </row>
    <row r="3006" spans="1:11">
      <c r="A3006" s="2" t="s">
        <v>1319</v>
      </c>
      <c r="B3006" s="2" t="s">
        <v>1320</v>
      </c>
      <c r="C3006" s="9">
        <v>10100731</v>
      </c>
      <c r="D3006" s="2" t="s">
        <v>4450</v>
      </c>
      <c r="E3006" s="10">
        <v>12</v>
      </c>
      <c r="F3006" s="9" t="s">
        <v>4449</v>
      </c>
      <c r="G3006" s="11">
        <v>46238</v>
      </c>
      <c r="H3006" s="12">
        <v>0</v>
      </c>
      <c r="I3006" s="12">
        <v>0</v>
      </c>
      <c r="J3006" s="9" t="s">
        <v>3</v>
      </c>
      <c r="K3006" s="8">
        <v>0</v>
      </c>
    </row>
    <row r="3007" spans="1:11">
      <c r="A3007" s="2" t="s">
        <v>1319</v>
      </c>
      <c r="B3007" s="2" t="s">
        <v>1320</v>
      </c>
      <c r="C3007" s="9">
        <v>10100732</v>
      </c>
      <c r="D3007" s="2" t="s">
        <v>4451</v>
      </c>
      <c r="E3007" s="10">
        <v>12</v>
      </c>
      <c r="F3007" s="9" t="s">
        <v>985</v>
      </c>
      <c r="G3007" s="11">
        <v>46238</v>
      </c>
      <c r="H3007" s="12">
        <v>0</v>
      </c>
      <c r="I3007" s="12">
        <v>0</v>
      </c>
      <c r="J3007" s="9" t="s">
        <v>3</v>
      </c>
      <c r="K3007" s="8">
        <v>0</v>
      </c>
    </row>
    <row r="3008" spans="1:11">
      <c r="A3008" s="2" t="s">
        <v>1319</v>
      </c>
      <c r="B3008" s="2" t="s">
        <v>1320</v>
      </c>
      <c r="C3008" s="9">
        <v>10100733</v>
      </c>
      <c r="D3008" s="2" t="s">
        <v>4452</v>
      </c>
      <c r="E3008" s="10">
        <v>12</v>
      </c>
      <c r="F3008" s="9" t="s">
        <v>985</v>
      </c>
      <c r="G3008" s="11">
        <v>46238</v>
      </c>
      <c r="H3008" s="12">
        <v>0</v>
      </c>
      <c r="I3008" s="12">
        <v>0</v>
      </c>
      <c r="J3008" s="9" t="s">
        <v>3</v>
      </c>
      <c r="K3008" s="8">
        <v>0</v>
      </c>
    </row>
    <row r="3009" spans="1:11">
      <c r="A3009" s="2" t="s">
        <v>1319</v>
      </c>
      <c r="B3009" s="2" t="s">
        <v>1320</v>
      </c>
      <c r="C3009" s="9">
        <v>10100734</v>
      </c>
      <c r="D3009" s="2" t="s">
        <v>4453</v>
      </c>
      <c r="E3009" s="10">
        <v>12</v>
      </c>
      <c r="F3009" s="9" t="s">
        <v>969</v>
      </c>
      <c r="G3009" s="11">
        <v>46238</v>
      </c>
      <c r="H3009" s="12">
        <v>0</v>
      </c>
      <c r="I3009" s="12">
        <v>0</v>
      </c>
      <c r="J3009" s="9" t="s">
        <v>3</v>
      </c>
      <c r="K3009" s="8">
        <v>0</v>
      </c>
    </row>
    <row r="3010" spans="1:11">
      <c r="A3010" s="2" t="s">
        <v>949</v>
      </c>
      <c r="B3010" s="2" t="s">
        <v>1003</v>
      </c>
      <c r="C3010" s="9">
        <v>10100735</v>
      </c>
      <c r="D3010" s="2" t="s">
        <v>4454</v>
      </c>
      <c r="E3010" s="10">
        <v>12</v>
      </c>
      <c r="F3010" s="9" t="s">
        <v>955</v>
      </c>
      <c r="G3010" s="11">
        <v>46238</v>
      </c>
      <c r="H3010" s="12">
        <v>128.09</v>
      </c>
      <c r="I3010" s="12">
        <v>114</v>
      </c>
      <c r="J3010" s="9" t="s">
        <v>3</v>
      </c>
      <c r="K3010" s="8">
        <v>0</v>
      </c>
    </row>
    <row r="3011" spans="1:11">
      <c r="A3011" s="2" t="s">
        <v>949</v>
      </c>
      <c r="B3011" s="2" t="s">
        <v>1003</v>
      </c>
      <c r="C3011" s="9">
        <v>10100736</v>
      </c>
      <c r="D3011" s="2" t="s">
        <v>4455</v>
      </c>
      <c r="E3011" s="10">
        <v>12</v>
      </c>
      <c r="F3011" s="9" t="s">
        <v>955</v>
      </c>
      <c r="G3011" s="11">
        <v>46238</v>
      </c>
      <c r="H3011" s="12">
        <v>128.09</v>
      </c>
      <c r="I3011" s="12">
        <v>114</v>
      </c>
      <c r="J3011" s="9" t="s">
        <v>3</v>
      </c>
      <c r="K3011" s="8">
        <v>0</v>
      </c>
    </row>
    <row r="3012" spans="1:11">
      <c r="A3012" s="2" t="s">
        <v>834</v>
      </c>
      <c r="B3012" s="2" t="s">
        <v>835</v>
      </c>
      <c r="C3012" s="9">
        <v>10100738</v>
      </c>
      <c r="D3012" s="2" t="s">
        <v>4456</v>
      </c>
      <c r="E3012" s="10">
        <v>12</v>
      </c>
      <c r="F3012" s="9" t="s">
        <v>985</v>
      </c>
      <c r="G3012" s="11">
        <v>46238</v>
      </c>
      <c r="H3012" s="12">
        <v>41.48</v>
      </c>
      <c r="I3012" s="12">
        <v>38.159999999999997</v>
      </c>
      <c r="J3012" s="9" t="s">
        <v>3</v>
      </c>
      <c r="K3012" s="8">
        <v>1</v>
      </c>
    </row>
    <row r="3013" spans="1:11">
      <c r="A3013" s="2" t="s">
        <v>834</v>
      </c>
      <c r="B3013" s="2" t="s">
        <v>835</v>
      </c>
      <c r="C3013" s="9">
        <v>10100739</v>
      </c>
      <c r="D3013" s="2" t="s">
        <v>4457</v>
      </c>
      <c r="E3013" s="10">
        <v>1</v>
      </c>
      <c r="F3013" s="9" t="s">
        <v>4458</v>
      </c>
      <c r="G3013" s="11">
        <v>46238</v>
      </c>
      <c r="H3013" s="12">
        <v>42.67</v>
      </c>
      <c r="I3013" s="12">
        <v>39.26</v>
      </c>
      <c r="J3013" s="9" t="s">
        <v>3</v>
      </c>
      <c r="K3013" s="8">
        <v>1</v>
      </c>
    </row>
    <row r="3014" spans="1:11">
      <c r="A3014" s="2" t="s">
        <v>842</v>
      </c>
      <c r="B3014" s="2" t="s">
        <v>4459</v>
      </c>
      <c r="C3014" s="9">
        <v>10100740</v>
      </c>
      <c r="D3014" s="2" t="s">
        <v>4460</v>
      </c>
      <c r="E3014" s="10">
        <v>12</v>
      </c>
      <c r="F3014" s="9" t="s">
        <v>1306</v>
      </c>
      <c r="G3014" s="11">
        <v>46238</v>
      </c>
      <c r="H3014" s="12">
        <v>108.99</v>
      </c>
      <c r="I3014" s="12">
        <v>97</v>
      </c>
      <c r="J3014" s="9" t="s">
        <v>3</v>
      </c>
      <c r="K3014" s="8">
        <v>0</v>
      </c>
    </row>
    <row r="3015" spans="1:11">
      <c r="A3015" s="2" t="s">
        <v>842</v>
      </c>
      <c r="B3015" s="2" t="s">
        <v>4459</v>
      </c>
      <c r="C3015" s="9">
        <v>10100741</v>
      </c>
      <c r="D3015" s="2" t="s">
        <v>4461</v>
      </c>
      <c r="E3015" s="10">
        <v>24</v>
      </c>
      <c r="F3015" s="9" t="s">
        <v>650</v>
      </c>
      <c r="G3015" s="11">
        <v>46238</v>
      </c>
      <c r="H3015" s="12">
        <v>71.91</v>
      </c>
      <c r="I3015" s="12">
        <v>64</v>
      </c>
      <c r="J3015" s="9" t="s">
        <v>3</v>
      </c>
      <c r="K3015" s="8">
        <v>0</v>
      </c>
    </row>
    <row r="3016" spans="1:11">
      <c r="A3016" s="2" t="s">
        <v>842</v>
      </c>
      <c r="B3016" s="2" t="s">
        <v>4459</v>
      </c>
      <c r="C3016" s="9">
        <v>10100742</v>
      </c>
      <c r="D3016" s="2" t="s">
        <v>4462</v>
      </c>
      <c r="E3016" s="10">
        <v>12</v>
      </c>
      <c r="F3016" s="9" t="s">
        <v>1306</v>
      </c>
      <c r="G3016" s="11">
        <v>46238</v>
      </c>
      <c r="H3016" s="12">
        <v>87.64</v>
      </c>
      <c r="I3016" s="12">
        <v>78</v>
      </c>
      <c r="J3016" s="9" t="s">
        <v>3</v>
      </c>
      <c r="K3016" s="8">
        <v>0</v>
      </c>
    </row>
    <row r="3017" spans="1:11">
      <c r="A3017" s="2" t="s">
        <v>842</v>
      </c>
      <c r="B3017" s="2" t="s">
        <v>4459</v>
      </c>
      <c r="C3017" s="9">
        <v>10100743</v>
      </c>
      <c r="D3017" s="2" t="s">
        <v>4463</v>
      </c>
      <c r="E3017" s="10">
        <v>12</v>
      </c>
      <c r="F3017" s="9" t="s">
        <v>1306</v>
      </c>
      <c r="G3017" s="11">
        <v>46238</v>
      </c>
      <c r="H3017" s="12">
        <v>87.64</v>
      </c>
      <c r="I3017" s="12">
        <v>78</v>
      </c>
      <c r="J3017" s="9" t="s">
        <v>3</v>
      </c>
      <c r="K3017" s="8">
        <v>0</v>
      </c>
    </row>
    <row r="3018" spans="1:11">
      <c r="A3018" s="2" t="s">
        <v>1255</v>
      </c>
      <c r="B3018" s="2" t="s">
        <v>1501</v>
      </c>
      <c r="C3018" s="9">
        <v>10100744</v>
      </c>
      <c r="D3018" s="2" t="s">
        <v>4464</v>
      </c>
      <c r="E3018" s="10">
        <v>12</v>
      </c>
      <c r="F3018" s="9" t="s">
        <v>1524</v>
      </c>
      <c r="G3018" s="11">
        <v>46238</v>
      </c>
      <c r="H3018" s="12">
        <v>44.49</v>
      </c>
      <c r="I3018" s="12">
        <v>39.6</v>
      </c>
      <c r="J3018" s="9" t="s">
        <v>3</v>
      </c>
      <c r="K3018" s="8">
        <v>0</v>
      </c>
    </row>
    <row r="3019" spans="1:11">
      <c r="A3019" s="2" t="s">
        <v>1255</v>
      </c>
      <c r="B3019" s="2" t="s">
        <v>1501</v>
      </c>
      <c r="C3019" s="9">
        <v>10100745</v>
      </c>
      <c r="D3019" s="2" t="s">
        <v>4465</v>
      </c>
      <c r="E3019" s="10">
        <v>12</v>
      </c>
      <c r="F3019" s="9" t="s">
        <v>1524</v>
      </c>
      <c r="G3019" s="11">
        <v>46238</v>
      </c>
      <c r="H3019" s="12">
        <v>44.49</v>
      </c>
      <c r="I3019" s="12">
        <v>39.6</v>
      </c>
      <c r="J3019" s="9" t="s">
        <v>3</v>
      </c>
      <c r="K3019" s="8">
        <v>0</v>
      </c>
    </row>
    <row r="3020" spans="1:11">
      <c r="A3020" s="2" t="s">
        <v>2740</v>
      </c>
      <c r="B3020" s="2" t="s">
        <v>2761</v>
      </c>
      <c r="C3020" s="9">
        <v>10100748</v>
      </c>
      <c r="D3020" s="2" t="s">
        <v>3212</v>
      </c>
      <c r="E3020" s="10">
        <v>6</v>
      </c>
      <c r="F3020" s="9" t="s">
        <v>3213</v>
      </c>
      <c r="G3020" s="11">
        <v>46238</v>
      </c>
      <c r="H3020" s="12">
        <v>69.33</v>
      </c>
      <c r="I3020" s="12">
        <v>61.7</v>
      </c>
      <c r="J3020" s="9" t="s">
        <v>3</v>
      </c>
      <c r="K3020" s="8">
        <v>0</v>
      </c>
    </row>
    <row r="3021" spans="1:11">
      <c r="A3021" s="2" t="s">
        <v>1255</v>
      </c>
      <c r="B3021" s="2" t="s">
        <v>1501</v>
      </c>
      <c r="C3021" s="9">
        <v>10100749</v>
      </c>
      <c r="D3021" s="2" t="s">
        <v>4466</v>
      </c>
      <c r="E3021" s="10">
        <v>288</v>
      </c>
      <c r="F3021" s="9" t="s">
        <v>1609</v>
      </c>
      <c r="G3021" s="11">
        <v>46238</v>
      </c>
      <c r="H3021" s="12">
        <v>1278.2</v>
      </c>
      <c r="I3021" s="12">
        <v>1137.5999999999999</v>
      </c>
      <c r="J3021" s="9" t="s">
        <v>3</v>
      </c>
      <c r="K3021" s="8">
        <v>0</v>
      </c>
    </row>
    <row r="3022" spans="1:11">
      <c r="A3022" s="2" t="s">
        <v>1255</v>
      </c>
      <c r="B3022" s="2" t="s">
        <v>1501</v>
      </c>
      <c r="C3022" s="9">
        <v>10100750</v>
      </c>
      <c r="D3022" s="2" t="s">
        <v>4467</v>
      </c>
      <c r="E3022" s="10">
        <v>60</v>
      </c>
      <c r="F3022" s="9" t="s">
        <v>1609</v>
      </c>
      <c r="G3022" s="11">
        <v>46238</v>
      </c>
      <c r="H3022" s="12">
        <v>266.29000000000002</v>
      </c>
      <c r="I3022" s="12">
        <v>237</v>
      </c>
      <c r="J3022" s="9" t="s">
        <v>3</v>
      </c>
      <c r="K3022" s="8">
        <v>0</v>
      </c>
    </row>
    <row r="3023" spans="1:11">
      <c r="A3023" s="2" t="s">
        <v>842</v>
      </c>
      <c r="B3023" s="2" t="s">
        <v>967</v>
      </c>
      <c r="C3023" s="9">
        <v>10100751</v>
      </c>
      <c r="D3023" s="2" t="s">
        <v>4468</v>
      </c>
      <c r="E3023" s="10">
        <v>12</v>
      </c>
      <c r="F3023" s="9" t="s">
        <v>969</v>
      </c>
      <c r="G3023" s="11">
        <v>46238</v>
      </c>
      <c r="H3023" s="12">
        <v>50.22</v>
      </c>
      <c r="I3023" s="12">
        <v>44.7</v>
      </c>
      <c r="J3023" s="9" t="s">
        <v>3</v>
      </c>
      <c r="K3023" s="8">
        <v>0</v>
      </c>
    </row>
    <row r="3024" spans="1:11">
      <c r="A3024" s="2" t="s">
        <v>834</v>
      </c>
      <c r="B3024" s="2" t="s">
        <v>1460</v>
      </c>
      <c r="C3024" s="9">
        <v>10100752</v>
      </c>
      <c r="D3024" s="2" t="s">
        <v>4469</v>
      </c>
      <c r="E3024" s="10">
        <v>10</v>
      </c>
      <c r="F3024" s="9" t="s">
        <v>1456</v>
      </c>
      <c r="G3024" s="11">
        <v>46238</v>
      </c>
      <c r="H3024" s="12">
        <v>63.04</v>
      </c>
      <c r="I3024" s="12">
        <v>58</v>
      </c>
      <c r="J3024" s="9" t="s">
        <v>3</v>
      </c>
      <c r="K3024" s="8">
        <v>0</v>
      </c>
    </row>
    <row r="3025" spans="1:11">
      <c r="A3025" s="2" t="s">
        <v>1255</v>
      </c>
      <c r="B3025" s="2" t="s">
        <v>1261</v>
      </c>
      <c r="C3025" s="9">
        <v>10100754</v>
      </c>
      <c r="D3025" s="2" t="s">
        <v>4470</v>
      </c>
      <c r="E3025" s="10">
        <v>12</v>
      </c>
      <c r="F3025" s="9" t="s">
        <v>1263</v>
      </c>
      <c r="G3025" s="11">
        <v>46238</v>
      </c>
      <c r="H3025" s="12">
        <v>37.75</v>
      </c>
      <c r="I3025" s="12">
        <v>33.6</v>
      </c>
      <c r="J3025" s="9" t="s">
        <v>3</v>
      </c>
      <c r="K3025" s="8">
        <v>0</v>
      </c>
    </row>
    <row r="3026" spans="1:11">
      <c r="A3026" s="2" t="s">
        <v>851</v>
      </c>
      <c r="B3026" s="2" t="s">
        <v>2026</v>
      </c>
      <c r="C3026" s="9">
        <v>10100755</v>
      </c>
      <c r="D3026" s="2" t="s">
        <v>4471</v>
      </c>
      <c r="E3026" s="10">
        <v>16</v>
      </c>
      <c r="F3026" s="9" t="s">
        <v>917</v>
      </c>
      <c r="G3026" s="11">
        <v>46238</v>
      </c>
      <c r="H3026" s="12">
        <v>89.73</v>
      </c>
      <c r="I3026" s="12">
        <v>89.73</v>
      </c>
      <c r="J3026" s="9" t="s">
        <v>3</v>
      </c>
      <c r="K3026" s="8">
        <v>0</v>
      </c>
    </row>
    <row r="3027" spans="1:11">
      <c r="A3027" s="2" t="s">
        <v>851</v>
      </c>
      <c r="B3027" s="2" t="s">
        <v>2026</v>
      </c>
      <c r="C3027" s="9">
        <v>10100756</v>
      </c>
      <c r="D3027" s="2" t="s">
        <v>4472</v>
      </c>
      <c r="E3027" s="10">
        <v>12</v>
      </c>
      <c r="F3027" s="9" t="s">
        <v>985</v>
      </c>
      <c r="G3027" s="11">
        <v>46238</v>
      </c>
      <c r="H3027" s="12">
        <v>95.96</v>
      </c>
      <c r="I3027" s="12">
        <v>95.96</v>
      </c>
      <c r="J3027" s="9" t="s">
        <v>3</v>
      </c>
      <c r="K3027" s="8">
        <v>0</v>
      </c>
    </row>
    <row r="3028" spans="1:11">
      <c r="A3028" s="2" t="s">
        <v>851</v>
      </c>
      <c r="B3028" s="2" t="s">
        <v>2026</v>
      </c>
      <c r="C3028" s="9">
        <v>10100757</v>
      </c>
      <c r="D3028" s="2" t="s">
        <v>4473</v>
      </c>
      <c r="E3028" s="10">
        <v>3</v>
      </c>
      <c r="F3028" s="9" t="s">
        <v>1023</v>
      </c>
      <c r="G3028" s="11">
        <v>46238</v>
      </c>
      <c r="H3028" s="12">
        <v>247.56</v>
      </c>
      <c r="I3028" s="12">
        <v>247.56</v>
      </c>
      <c r="J3028" s="9" t="s">
        <v>3</v>
      </c>
      <c r="K3028" s="8">
        <v>0</v>
      </c>
    </row>
    <row r="3029" spans="1:11">
      <c r="A3029" s="2" t="s">
        <v>851</v>
      </c>
      <c r="B3029" s="2" t="s">
        <v>2026</v>
      </c>
      <c r="C3029" s="9">
        <v>10100758</v>
      </c>
      <c r="D3029" s="2" t="s">
        <v>4474</v>
      </c>
      <c r="E3029" s="10">
        <v>3</v>
      </c>
      <c r="F3029" s="9" t="s">
        <v>1023</v>
      </c>
      <c r="G3029" s="11">
        <v>46238</v>
      </c>
      <c r="H3029" s="12">
        <v>247.56</v>
      </c>
      <c r="I3029" s="12">
        <v>247.56</v>
      </c>
      <c r="J3029" s="9" t="s">
        <v>3</v>
      </c>
      <c r="K3029" s="8">
        <v>0</v>
      </c>
    </row>
    <row r="3030" spans="1:11">
      <c r="A3030" s="2" t="s">
        <v>834</v>
      </c>
      <c r="B3030" s="2" t="s">
        <v>1629</v>
      </c>
      <c r="C3030" s="9">
        <v>10100759</v>
      </c>
      <c r="D3030" s="2" t="s">
        <v>4475</v>
      </c>
      <c r="E3030" s="10">
        <v>2</v>
      </c>
      <c r="F3030" s="9" t="s">
        <v>1434</v>
      </c>
      <c r="G3030" s="11">
        <v>46238</v>
      </c>
      <c r="H3030" s="12">
        <v>24.86</v>
      </c>
      <c r="I3030" s="12">
        <v>24.86</v>
      </c>
      <c r="J3030" s="9" t="s">
        <v>3</v>
      </c>
      <c r="K3030" s="8">
        <v>1</v>
      </c>
    </row>
    <row r="3031" spans="1:11">
      <c r="A3031" s="2" t="s">
        <v>834</v>
      </c>
      <c r="B3031" s="2" t="s">
        <v>3667</v>
      </c>
      <c r="C3031" s="9">
        <v>10100771</v>
      </c>
      <c r="D3031" s="2" t="s">
        <v>4476</v>
      </c>
      <c r="E3031" s="10">
        <v>12</v>
      </c>
      <c r="F3031" s="9" t="s">
        <v>1112</v>
      </c>
      <c r="G3031" s="11">
        <v>46238</v>
      </c>
      <c r="H3031" s="12">
        <v>0</v>
      </c>
      <c r="I3031" s="12">
        <v>76.45</v>
      </c>
      <c r="J3031" s="9" t="s">
        <v>3</v>
      </c>
      <c r="K3031" s="8">
        <v>0</v>
      </c>
    </row>
    <row r="3032" spans="1:11">
      <c r="A3032" s="2" t="s">
        <v>687</v>
      </c>
      <c r="B3032" s="2" t="s">
        <v>1075</v>
      </c>
      <c r="C3032" s="9">
        <v>10100772</v>
      </c>
      <c r="D3032" s="2" t="s">
        <v>4477</v>
      </c>
      <c r="E3032" s="10">
        <v>8</v>
      </c>
      <c r="F3032" s="9" t="s">
        <v>1082</v>
      </c>
      <c r="G3032" s="11">
        <v>46238</v>
      </c>
      <c r="H3032" s="12">
        <v>156.36000000000001</v>
      </c>
      <c r="I3032" s="12">
        <v>136.03</v>
      </c>
      <c r="J3032" s="9" t="s">
        <v>3</v>
      </c>
      <c r="K3032" s="8">
        <v>0</v>
      </c>
    </row>
    <row r="3033" spans="1:11">
      <c r="A3033" s="2" t="s">
        <v>687</v>
      </c>
      <c r="B3033" s="2" t="s">
        <v>1075</v>
      </c>
      <c r="C3033" s="9">
        <v>10100773</v>
      </c>
      <c r="D3033" s="2" t="s">
        <v>4478</v>
      </c>
      <c r="E3033" s="10">
        <v>8</v>
      </c>
      <c r="F3033" s="9" t="s">
        <v>1082</v>
      </c>
      <c r="G3033" s="11">
        <v>46238</v>
      </c>
      <c r="H3033" s="12">
        <v>164.79</v>
      </c>
      <c r="I3033" s="12">
        <v>143.37</v>
      </c>
      <c r="J3033" s="9" t="s">
        <v>3</v>
      </c>
      <c r="K3033" s="8">
        <v>0</v>
      </c>
    </row>
    <row r="3034" spans="1:11">
      <c r="A3034" s="2" t="s">
        <v>687</v>
      </c>
      <c r="B3034" s="2" t="s">
        <v>1075</v>
      </c>
      <c r="C3034" s="9">
        <v>10100774</v>
      </c>
      <c r="D3034" s="2" t="s">
        <v>4479</v>
      </c>
      <c r="E3034" s="10">
        <v>8</v>
      </c>
      <c r="F3034" s="9" t="s">
        <v>1082</v>
      </c>
      <c r="G3034" s="11">
        <v>46238</v>
      </c>
      <c r="H3034" s="12">
        <v>140.16</v>
      </c>
      <c r="I3034" s="12">
        <v>121.94</v>
      </c>
      <c r="J3034" s="9" t="s">
        <v>3</v>
      </c>
      <c r="K3034" s="8">
        <v>0</v>
      </c>
    </row>
    <row r="3035" spans="1:11">
      <c r="A3035" s="2" t="s">
        <v>687</v>
      </c>
      <c r="B3035" s="2" t="s">
        <v>4480</v>
      </c>
      <c r="C3035" s="9">
        <v>20037811</v>
      </c>
      <c r="D3035" s="2" t="s">
        <v>4481</v>
      </c>
      <c r="E3035" s="10">
        <v>12</v>
      </c>
      <c r="F3035" s="9" t="s">
        <v>4482</v>
      </c>
      <c r="G3035" s="11">
        <v>46238</v>
      </c>
      <c r="H3035" s="12">
        <v>33.65</v>
      </c>
      <c r="I3035" s="12">
        <v>29.92</v>
      </c>
      <c r="J3035" s="9" t="s">
        <v>3</v>
      </c>
      <c r="K3035" s="8">
        <v>0</v>
      </c>
    </row>
    <row r="3036" spans="1:11">
      <c r="A3036" s="2" t="s">
        <v>687</v>
      </c>
      <c r="B3036" s="2" t="s">
        <v>4480</v>
      </c>
      <c r="C3036" s="9">
        <v>20037812</v>
      </c>
      <c r="D3036" s="2" t="s">
        <v>4483</v>
      </c>
      <c r="E3036" s="10">
        <v>12</v>
      </c>
      <c r="F3036" s="9" t="s">
        <v>4484</v>
      </c>
      <c r="G3036" s="11">
        <v>46238</v>
      </c>
      <c r="H3036" s="12">
        <v>33.65</v>
      </c>
      <c r="I3036" s="12">
        <v>29.92</v>
      </c>
      <c r="J3036" s="9" t="s">
        <v>3</v>
      </c>
      <c r="K3036" s="8">
        <v>0</v>
      </c>
    </row>
    <row r="3037" spans="1:11">
      <c r="A3037" s="2" t="s">
        <v>687</v>
      </c>
      <c r="B3037" s="2" t="s">
        <v>4480</v>
      </c>
      <c r="C3037" s="9">
        <v>20037813</v>
      </c>
      <c r="D3037" s="2" t="s">
        <v>4485</v>
      </c>
      <c r="E3037" s="10">
        <v>12</v>
      </c>
      <c r="F3037" s="9" t="s">
        <v>4486</v>
      </c>
      <c r="G3037" s="11">
        <v>46238</v>
      </c>
      <c r="H3037" s="12">
        <v>33.65</v>
      </c>
      <c r="I3037" s="12">
        <v>29.92</v>
      </c>
      <c r="J3037" s="9" t="s">
        <v>3</v>
      </c>
      <c r="K3037" s="8">
        <v>0</v>
      </c>
    </row>
    <row r="3038" spans="1:11">
      <c r="A3038" s="2" t="s">
        <v>925</v>
      </c>
      <c r="B3038" s="2" t="s">
        <v>2231</v>
      </c>
      <c r="C3038" s="9">
        <v>20042964</v>
      </c>
      <c r="D3038" s="2" t="s">
        <v>4487</v>
      </c>
      <c r="E3038" s="10">
        <v>15</v>
      </c>
      <c r="F3038" s="9" t="s">
        <v>2233</v>
      </c>
      <c r="G3038" s="11">
        <v>46238</v>
      </c>
      <c r="H3038" s="12">
        <v>77.58</v>
      </c>
      <c r="I3038" s="12">
        <v>69.05</v>
      </c>
      <c r="J3038" s="9" t="s">
        <v>3</v>
      </c>
      <c r="K3038" s="8">
        <v>0</v>
      </c>
    </row>
    <row r="3039" spans="1:11">
      <c r="A3039" s="2" t="s">
        <v>925</v>
      </c>
      <c r="B3039" s="2" t="s">
        <v>2231</v>
      </c>
      <c r="C3039" s="9">
        <v>20042984</v>
      </c>
      <c r="D3039" s="2" t="s">
        <v>4488</v>
      </c>
      <c r="E3039" s="10">
        <v>15</v>
      </c>
      <c r="F3039" s="9" t="s">
        <v>2233</v>
      </c>
      <c r="G3039" s="11">
        <v>46238</v>
      </c>
      <c r="H3039" s="12">
        <v>77.58</v>
      </c>
      <c r="I3039" s="12">
        <v>69.05</v>
      </c>
      <c r="J3039" s="9" t="s">
        <v>3</v>
      </c>
      <c r="K3039" s="8">
        <v>0</v>
      </c>
    </row>
    <row r="3040" spans="1:11">
      <c r="A3040" s="2" t="s">
        <v>925</v>
      </c>
      <c r="B3040" s="2" t="s">
        <v>2231</v>
      </c>
      <c r="C3040" s="9">
        <v>20042985</v>
      </c>
      <c r="D3040" s="2" t="s">
        <v>4489</v>
      </c>
      <c r="E3040" s="10">
        <v>15</v>
      </c>
      <c r="F3040" s="9" t="s">
        <v>2233</v>
      </c>
      <c r="G3040" s="11">
        <v>46238</v>
      </c>
      <c r="H3040" s="12">
        <v>77.58</v>
      </c>
      <c r="I3040" s="12">
        <v>69.05</v>
      </c>
      <c r="J3040" s="9" t="s">
        <v>3</v>
      </c>
      <c r="K3040" s="8">
        <v>0</v>
      </c>
    </row>
    <row r="3041" spans="1:11">
      <c r="A3041" s="2" t="s">
        <v>607</v>
      </c>
      <c r="B3041" s="2" t="s">
        <v>2401</v>
      </c>
      <c r="C3041" s="9">
        <v>20050281</v>
      </c>
      <c r="D3041" s="2" t="s">
        <v>4490</v>
      </c>
      <c r="E3041" s="10">
        <v>6</v>
      </c>
      <c r="F3041" s="9" t="s">
        <v>2403</v>
      </c>
      <c r="G3041" s="11">
        <v>46238</v>
      </c>
      <c r="H3041" s="12">
        <v>30.97</v>
      </c>
      <c r="I3041" s="12">
        <v>27.56</v>
      </c>
      <c r="J3041" s="9" t="s">
        <v>3</v>
      </c>
      <c r="K3041" s="8">
        <v>0</v>
      </c>
    </row>
    <row r="3042" spans="1:11">
      <c r="A3042" s="2" t="s">
        <v>607</v>
      </c>
      <c r="B3042" s="2" t="s">
        <v>2401</v>
      </c>
      <c r="C3042" s="9">
        <v>20050335</v>
      </c>
      <c r="D3042" s="2" t="s">
        <v>4491</v>
      </c>
      <c r="E3042" s="10">
        <v>6</v>
      </c>
      <c r="F3042" s="9" t="s">
        <v>2403</v>
      </c>
      <c r="G3042" s="11">
        <v>46238</v>
      </c>
      <c r="H3042" s="12">
        <v>30.97</v>
      </c>
      <c r="I3042" s="12">
        <v>27.56</v>
      </c>
      <c r="J3042" s="9" t="s">
        <v>3</v>
      </c>
      <c r="K3042" s="8">
        <v>0</v>
      </c>
    </row>
    <row r="3043" spans="1:11">
      <c r="A3043" s="2" t="s">
        <v>607</v>
      </c>
      <c r="B3043" s="2" t="s">
        <v>2401</v>
      </c>
      <c r="C3043" s="9">
        <v>20050423</v>
      </c>
      <c r="D3043" s="2" t="s">
        <v>4492</v>
      </c>
      <c r="E3043" s="10">
        <v>6</v>
      </c>
      <c r="F3043" s="9" t="s">
        <v>2403</v>
      </c>
      <c r="G3043" s="11">
        <v>46238</v>
      </c>
      <c r="H3043" s="12">
        <v>30.97</v>
      </c>
      <c r="I3043" s="12">
        <v>27.56</v>
      </c>
      <c r="J3043" s="9" t="s">
        <v>3</v>
      </c>
      <c r="K3043" s="8">
        <v>0</v>
      </c>
    </row>
    <row r="3044" spans="1:11">
      <c r="A3044" s="2" t="s">
        <v>607</v>
      </c>
      <c r="B3044" s="2" t="s">
        <v>2401</v>
      </c>
      <c r="C3044" s="9">
        <v>20050425</v>
      </c>
      <c r="D3044" s="2" t="s">
        <v>4493</v>
      </c>
      <c r="E3044" s="10">
        <v>6</v>
      </c>
      <c r="F3044" s="9" t="s">
        <v>2403</v>
      </c>
      <c r="G3044" s="11">
        <v>46238</v>
      </c>
      <c r="H3044" s="12">
        <v>30.97</v>
      </c>
      <c r="I3044" s="12">
        <v>27.56</v>
      </c>
      <c r="J3044" s="9" t="s">
        <v>3</v>
      </c>
      <c r="K3044" s="8">
        <v>0</v>
      </c>
    </row>
    <row r="3045" spans="1:11">
      <c r="A3045" s="2" t="s">
        <v>949</v>
      </c>
      <c r="B3045" s="2" t="s">
        <v>1003</v>
      </c>
      <c r="C3045" s="9">
        <v>20100010</v>
      </c>
      <c r="D3045" s="2" t="s">
        <v>4368</v>
      </c>
      <c r="E3045" s="10">
        <v>6</v>
      </c>
      <c r="F3045" s="9" t="s">
        <v>955</v>
      </c>
      <c r="G3045" s="11">
        <v>46238</v>
      </c>
      <c r="H3045" s="12">
        <v>63.76</v>
      </c>
      <c r="I3045" s="12">
        <v>56.75</v>
      </c>
      <c r="J3045" s="9" t="s">
        <v>3</v>
      </c>
      <c r="K3045" s="8">
        <v>0</v>
      </c>
    </row>
    <row r="3046" spans="1:11">
      <c r="A3046" s="2" t="s">
        <v>949</v>
      </c>
      <c r="B3046" s="2" t="s">
        <v>2320</v>
      </c>
      <c r="C3046" s="9">
        <v>30010490</v>
      </c>
      <c r="D3046" s="2" t="s">
        <v>4494</v>
      </c>
      <c r="E3046" s="10">
        <v>576</v>
      </c>
      <c r="F3046" s="9" t="s">
        <v>1508</v>
      </c>
      <c r="G3046" s="11">
        <v>46238</v>
      </c>
      <c r="H3046" s="12">
        <v>1376.64</v>
      </c>
      <c r="I3046" s="12">
        <v>1226.8800000000001</v>
      </c>
      <c r="J3046" s="9" t="s">
        <v>3</v>
      </c>
      <c r="K3046" s="8">
        <v>0</v>
      </c>
    </row>
    <row r="3047" spans="1:11">
      <c r="A3047" s="2" t="s">
        <v>607</v>
      </c>
      <c r="B3047" s="2" t="s">
        <v>1207</v>
      </c>
      <c r="C3047" s="9">
        <v>30017599</v>
      </c>
      <c r="D3047" s="2" t="s">
        <v>4495</v>
      </c>
      <c r="E3047" s="10">
        <v>50</v>
      </c>
      <c r="F3047" s="9" t="s">
        <v>829</v>
      </c>
      <c r="G3047" s="11">
        <v>46238</v>
      </c>
      <c r="H3047" s="12">
        <v>0</v>
      </c>
      <c r="I3047" s="12">
        <v>0</v>
      </c>
      <c r="J3047" s="9" t="s">
        <v>3</v>
      </c>
      <c r="K3047" s="8">
        <v>0</v>
      </c>
    </row>
    <row r="3048" spans="1:11">
      <c r="A3048" s="2" t="s">
        <v>746</v>
      </c>
      <c r="B3048" s="2" t="s">
        <v>1604</v>
      </c>
      <c r="C3048" s="9">
        <v>30030560</v>
      </c>
      <c r="D3048" s="2" t="s">
        <v>4496</v>
      </c>
      <c r="E3048" s="10">
        <v>480</v>
      </c>
      <c r="F3048" s="9" t="s">
        <v>1661</v>
      </c>
      <c r="G3048" s="11">
        <v>46238</v>
      </c>
      <c r="H3048" s="12">
        <v>404.34</v>
      </c>
      <c r="I3048" s="12">
        <v>359.86</v>
      </c>
      <c r="J3048" s="9" t="s">
        <v>3</v>
      </c>
      <c r="K3048" s="8">
        <v>0</v>
      </c>
    </row>
    <row r="3049" spans="1:11">
      <c r="A3049" s="2" t="s">
        <v>925</v>
      </c>
      <c r="B3049" s="2" t="s">
        <v>2231</v>
      </c>
      <c r="C3049" s="9">
        <v>30042296</v>
      </c>
      <c r="D3049" s="2" t="s">
        <v>4497</v>
      </c>
      <c r="E3049" s="10">
        <v>90</v>
      </c>
      <c r="F3049" s="9" t="s">
        <v>829</v>
      </c>
      <c r="G3049" s="11">
        <v>46238</v>
      </c>
      <c r="H3049" s="12">
        <v>387.92</v>
      </c>
      <c r="I3049" s="12">
        <v>345.25</v>
      </c>
      <c r="J3049" s="9" t="s">
        <v>3</v>
      </c>
      <c r="K3049" s="8">
        <v>0</v>
      </c>
    </row>
    <row r="3050" spans="1:11">
      <c r="A3050" s="2" t="s">
        <v>925</v>
      </c>
      <c r="B3050" s="2" t="s">
        <v>2231</v>
      </c>
      <c r="C3050" s="9">
        <v>30042981</v>
      </c>
      <c r="D3050" s="2" t="s">
        <v>4498</v>
      </c>
      <c r="E3050" s="10">
        <v>90</v>
      </c>
      <c r="F3050" s="9" t="s">
        <v>829</v>
      </c>
      <c r="G3050" s="11">
        <v>46238</v>
      </c>
      <c r="H3050" s="12">
        <v>465.51</v>
      </c>
      <c r="I3050" s="12">
        <v>414.3</v>
      </c>
      <c r="J3050" s="9" t="s">
        <v>3</v>
      </c>
      <c r="K3050" s="8">
        <v>0</v>
      </c>
    </row>
    <row r="3051" spans="1:11">
      <c r="A3051" s="2" t="s">
        <v>949</v>
      </c>
      <c r="B3051" s="2" t="s">
        <v>1003</v>
      </c>
      <c r="C3051" s="9">
        <v>30061617</v>
      </c>
      <c r="D3051" s="2" t="s">
        <v>4499</v>
      </c>
      <c r="E3051" s="10">
        <v>6</v>
      </c>
      <c r="F3051" s="9" t="s">
        <v>955</v>
      </c>
      <c r="G3051" s="11">
        <v>46238</v>
      </c>
      <c r="H3051" s="12">
        <v>52.79</v>
      </c>
      <c r="I3051" s="12">
        <v>46.98</v>
      </c>
      <c r="J3051" s="9" t="s">
        <v>3</v>
      </c>
      <c r="K3051" s="8">
        <v>0</v>
      </c>
    </row>
    <row r="3052" spans="1:11">
      <c r="A3052" s="2" t="s">
        <v>1255</v>
      </c>
      <c r="B3052" s="2" t="s">
        <v>3130</v>
      </c>
      <c r="C3052" s="9">
        <v>30063106</v>
      </c>
      <c r="D3052" s="2" t="s">
        <v>4500</v>
      </c>
      <c r="E3052" s="10">
        <v>180</v>
      </c>
      <c r="F3052" s="9" t="s">
        <v>829</v>
      </c>
      <c r="G3052" s="11">
        <v>46238</v>
      </c>
      <c r="H3052" s="12">
        <v>709.96</v>
      </c>
      <c r="I3052" s="12">
        <v>631.86</v>
      </c>
      <c r="J3052" s="9" t="s">
        <v>3</v>
      </c>
      <c r="K3052" s="8">
        <v>0</v>
      </c>
    </row>
    <row r="3053" spans="1:11">
      <c r="A3053" s="2" t="s">
        <v>1255</v>
      </c>
      <c r="B3053" s="2" t="s">
        <v>3130</v>
      </c>
      <c r="C3053" s="9">
        <v>30063110</v>
      </c>
      <c r="D3053" s="2" t="s">
        <v>4500</v>
      </c>
      <c r="E3053" s="10">
        <v>180</v>
      </c>
      <c r="F3053" s="9" t="s">
        <v>829</v>
      </c>
      <c r="G3053" s="11">
        <v>46238</v>
      </c>
      <c r="H3053" s="12">
        <v>709.96</v>
      </c>
      <c r="I3053" s="12">
        <v>631.86</v>
      </c>
      <c r="J3053" s="9" t="s">
        <v>3</v>
      </c>
      <c r="K3053" s="8">
        <v>0</v>
      </c>
    </row>
    <row r="3054" spans="1:11">
      <c r="A3054" s="2" t="s">
        <v>1255</v>
      </c>
      <c r="B3054" s="2" t="s">
        <v>3130</v>
      </c>
      <c r="C3054" s="9">
        <v>30063111</v>
      </c>
      <c r="D3054" s="2" t="s">
        <v>4500</v>
      </c>
      <c r="E3054" s="10">
        <v>144</v>
      </c>
      <c r="F3054" s="9" t="s">
        <v>1279</v>
      </c>
      <c r="G3054" s="11">
        <v>46238</v>
      </c>
      <c r="H3054" s="12">
        <v>709.96</v>
      </c>
      <c r="I3054" s="12">
        <v>631.86</v>
      </c>
      <c r="J3054" s="9" t="s">
        <v>3</v>
      </c>
      <c r="K3054" s="8">
        <v>0</v>
      </c>
    </row>
    <row r="3055" spans="1:11">
      <c r="A3055" s="2" t="s">
        <v>949</v>
      </c>
      <c r="B3055" s="2" t="s">
        <v>1003</v>
      </c>
      <c r="C3055" s="9">
        <v>30067600</v>
      </c>
      <c r="D3055" s="2" t="s">
        <v>1009</v>
      </c>
      <c r="E3055" s="10">
        <v>6</v>
      </c>
      <c r="F3055" s="9" t="s">
        <v>955</v>
      </c>
      <c r="G3055" s="11">
        <v>46238</v>
      </c>
      <c r="H3055" s="12">
        <v>63.76</v>
      </c>
      <c r="I3055" s="12">
        <v>56.75</v>
      </c>
      <c r="J3055" s="9" t="s">
        <v>3</v>
      </c>
      <c r="K3055" s="8">
        <v>0</v>
      </c>
    </row>
    <row r="3056" spans="1:11">
      <c r="A3056" s="2" t="s">
        <v>949</v>
      </c>
      <c r="B3056" s="2" t="s">
        <v>1003</v>
      </c>
      <c r="C3056" s="9">
        <v>30067601</v>
      </c>
      <c r="D3056" s="2" t="s">
        <v>1010</v>
      </c>
      <c r="E3056" s="10">
        <v>6</v>
      </c>
      <c r="F3056" s="9" t="s">
        <v>955</v>
      </c>
      <c r="G3056" s="11">
        <v>46238</v>
      </c>
      <c r="H3056" s="12">
        <v>63.76</v>
      </c>
      <c r="I3056" s="12">
        <v>56.75</v>
      </c>
      <c r="J3056" s="9" t="s">
        <v>3</v>
      </c>
      <c r="K3056" s="8">
        <v>0</v>
      </c>
    </row>
    <row r="3057" spans="1:11">
      <c r="A3057" s="2" t="s">
        <v>949</v>
      </c>
      <c r="B3057" s="2" t="s">
        <v>1003</v>
      </c>
      <c r="C3057" s="9">
        <v>30067602</v>
      </c>
      <c r="D3057" s="2" t="s">
        <v>1005</v>
      </c>
      <c r="E3057" s="10">
        <v>6</v>
      </c>
      <c r="F3057" s="9" t="s">
        <v>955</v>
      </c>
      <c r="G3057" s="11">
        <v>46238</v>
      </c>
      <c r="H3057" s="12">
        <v>48.89</v>
      </c>
      <c r="I3057" s="12">
        <v>43.51</v>
      </c>
      <c r="J3057" s="9" t="s">
        <v>3</v>
      </c>
      <c r="K3057" s="8">
        <v>0</v>
      </c>
    </row>
    <row r="3058" spans="1:11">
      <c r="A3058" s="2" t="s">
        <v>949</v>
      </c>
      <c r="B3058" s="2" t="s">
        <v>1003</v>
      </c>
      <c r="C3058" s="9">
        <v>30067603</v>
      </c>
      <c r="D3058" s="2" t="s">
        <v>1008</v>
      </c>
      <c r="E3058" s="10">
        <v>6</v>
      </c>
      <c r="F3058" s="9" t="s">
        <v>955</v>
      </c>
      <c r="G3058" s="11">
        <v>46238</v>
      </c>
      <c r="H3058" s="12">
        <v>52.79</v>
      </c>
      <c r="I3058" s="12">
        <v>46.98</v>
      </c>
      <c r="J3058" s="9" t="s">
        <v>3</v>
      </c>
      <c r="K3058" s="8">
        <v>0</v>
      </c>
    </row>
    <row r="3059" spans="1:11">
      <c r="A3059" s="2" t="s">
        <v>949</v>
      </c>
      <c r="B3059" s="2" t="s">
        <v>1003</v>
      </c>
      <c r="C3059" s="9">
        <v>30067604</v>
      </c>
      <c r="D3059" s="2" t="s">
        <v>1004</v>
      </c>
      <c r="E3059" s="10">
        <v>6</v>
      </c>
      <c r="F3059" s="9" t="s">
        <v>955</v>
      </c>
      <c r="G3059" s="11">
        <v>46238</v>
      </c>
      <c r="H3059" s="12">
        <v>52.79</v>
      </c>
      <c r="I3059" s="12">
        <v>46.98</v>
      </c>
      <c r="J3059" s="9" t="s">
        <v>3</v>
      </c>
      <c r="K3059" s="8">
        <v>0</v>
      </c>
    </row>
    <row r="3060" spans="1:11">
      <c r="A3060" s="2" t="s">
        <v>949</v>
      </c>
      <c r="B3060" s="2" t="s">
        <v>1003</v>
      </c>
      <c r="C3060" s="9">
        <v>30067605</v>
      </c>
      <c r="D3060" s="2" t="s">
        <v>1013</v>
      </c>
      <c r="E3060" s="10">
        <v>6</v>
      </c>
      <c r="F3060" s="9" t="s">
        <v>955</v>
      </c>
      <c r="G3060" s="11">
        <v>46238</v>
      </c>
      <c r="H3060" s="12">
        <v>48.89</v>
      </c>
      <c r="I3060" s="12">
        <v>43.51</v>
      </c>
      <c r="J3060" s="9" t="s">
        <v>3</v>
      </c>
      <c r="K3060" s="8">
        <v>0</v>
      </c>
    </row>
    <row r="3061" spans="1:11">
      <c r="A3061" s="2" t="s">
        <v>949</v>
      </c>
      <c r="B3061" s="2" t="s">
        <v>1003</v>
      </c>
      <c r="C3061" s="9">
        <v>30067606</v>
      </c>
      <c r="D3061" s="2" t="s">
        <v>1006</v>
      </c>
      <c r="E3061" s="10">
        <v>6</v>
      </c>
      <c r="F3061" s="9" t="s">
        <v>955</v>
      </c>
      <c r="G3061" s="11">
        <v>46238</v>
      </c>
      <c r="H3061" s="12">
        <v>48.89</v>
      </c>
      <c r="I3061" s="12">
        <v>43.51</v>
      </c>
      <c r="J3061" s="9" t="s">
        <v>3</v>
      </c>
      <c r="K3061" s="8">
        <v>0</v>
      </c>
    </row>
    <row r="3062" spans="1:11">
      <c r="A3062" s="2" t="s">
        <v>949</v>
      </c>
      <c r="B3062" s="2" t="s">
        <v>1003</v>
      </c>
      <c r="C3062" s="9">
        <v>30067607</v>
      </c>
      <c r="D3062" s="2" t="s">
        <v>1007</v>
      </c>
      <c r="E3062" s="10">
        <v>6</v>
      </c>
      <c r="F3062" s="9" t="s">
        <v>955</v>
      </c>
      <c r="G3062" s="11">
        <v>46238</v>
      </c>
      <c r="H3062" s="12">
        <v>52.79</v>
      </c>
      <c r="I3062" s="12">
        <v>46.98</v>
      </c>
      <c r="J3062" s="9" t="s">
        <v>3</v>
      </c>
      <c r="K3062" s="8">
        <v>0</v>
      </c>
    </row>
    <row r="3063" spans="1:11">
      <c r="A3063" s="2" t="s">
        <v>949</v>
      </c>
      <c r="B3063" s="2" t="s">
        <v>1003</v>
      </c>
      <c r="C3063" s="9">
        <v>30067608</v>
      </c>
      <c r="D3063" s="2" t="s">
        <v>1012</v>
      </c>
      <c r="E3063" s="10">
        <v>6</v>
      </c>
      <c r="F3063" s="9" t="s">
        <v>955</v>
      </c>
      <c r="G3063" s="11">
        <v>46238</v>
      </c>
      <c r="H3063" s="12">
        <v>52.79</v>
      </c>
      <c r="I3063" s="12">
        <v>46.98</v>
      </c>
      <c r="J3063" s="9" t="s">
        <v>3</v>
      </c>
      <c r="K3063" s="8">
        <v>0</v>
      </c>
    </row>
    <row r="3064" spans="1:11">
      <c r="A3064" s="2" t="s">
        <v>949</v>
      </c>
      <c r="B3064" s="2" t="s">
        <v>1003</v>
      </c>
      <c r="C3064" s="9">
        <v>30067609</v>
      </c>
      <c r="D3064" s="2" t="s">
        <v>1032</v>
      </c>
      <c r="E3064" s="10">
        <v>6</v>
      </c>
      <c r="F3064" s="9" t="s">
        <v>955</v>
      </c>
      <c r="G3064" s="11">
        <v>46238</v>
      </c>
      <c r="H3064" s="12">
        <v>52.79</v>
      </c>
      <c r="I3064" s="12">
        <v>46.98</v>
      </c>
      <c r="J3064" s="9" t="s">
        <v>3</v>
      </c>
      <c r="K3064" s="8">
        <v>0</v>
      </c>
    </row>
    <row r="3065" spans="1:11">
      <c r="A3065" s="2" t="s">
        <v>949</v>
      </c>
      <c r="B3065" s="2" t="s">
        <v>1003</v>
      </c>
      <c r="C3065" s="9">
        <v>30067610</v>
      </c>
      <c r="D3065" s="2" t="s">
        <v>1011</v>
      </c>
      <c r="E3065" s="10">
        <v>6</v>
      </c>
      <c r="F3065" s="9" t="s">
        <v>955</v>
      </c>
      <c r="G3065" s="11">
        <v>46238</v>
      </c>
      <c r="H3065" s="12">
        <v>48.89</v>
      </c>
      <c r="I3065" s="12">
        <v>43.51</v>
      </c>
      <c r="J3065" s="9" t="s">
        <v>3</v>
      </c>
      <c r="K3065" s="8">
        <v>0</v>
      </c>
    </row>
    <row r="3066" spans="1:11">
      <c r="A3066" s="2" t="s">
        <v>949</v>
      </c>
      <c r="B3066" s="2" t="s">
        <v>1003</v>
      </c>
      <c r="C3066" s="9">
        <v>30067613</v>
      </c>
      <c r="D3066" s="2" t="s">
        <v>4501</v>
      </c>
      <c r="E3066" s="10">
        <v>6</v>
      </c>
      <c r="F3066" s="9" t="s">
        <v>955</v>
      </c>
      <c r="G3066" s="11">
        <v>46238</v>
      </c>
      <c r="H3066" s="12">
        <v>50.22</v>
      </c>
      <c r="I3066" s="12">
        <v>44.7</v>
      </c>
      <c r="J3066" s="9" t="s">
        <v>3</v>
      </c>
      <c r="K3066" s="8">
        <v>0</v>
      </c>
    </row>
    <row r="3067" spans="1:11">
      <c r="A3067" s="2" t="s">
        <v>949</v>
      </c>
      <c r="B3067" s="2" t="s">
        <v>1003</v>
      </c>
      <c r="C3067" s="9">
        <v>30067618</v>
      </c>
      <c r="D3067" s="2" t="s">
        <v>3244</v>
      </c>
      <c r="E3067" s="10">
        <v>6</v>
      </c>
      <c r="F3067" s="9" t="s">
        <v>955</v>
      </c>
      <c r="G3067" s="11">
        <v>46238</v>
      </c>
      <c r="H3067" s="12">
        <v>55.34</v>
      </c>
      <c r="I3067" s="12">
        <v>49.25</v>
      </c>
      <c r="J3067" s="9" t="s">
        <v>3</v>
      </c>
      <c r="K3067" s="8">
        <v>0</v>
      </c>
    </row>
    <row r="3068" spans="1:11">
      <c r="A3068" s="2" t="s">
        <v>949</v>
      </c>
      <c r="B3068" s="2" t="s">
        <v>1003</v>
      </c>
      <c r="C3068" s="9">
        <v>30067621</v>
      </c>
      <c r="D3068" s="2" t="s">
        <v>4502</v>
      </c>
      <c r="E3068" s="10">
        <v>6</v>
      </c>
      <c r="F3068" s="9" t="s">
        <v>955</v>
      </c>
      <c r="G3068" s="11">
        <v>46238</v>
      </c>
      <c r="H3068" s="12">
        <v>55.22</v>
      </c>
      <c r="I3068" s="12">
        <v>49.26</v>
      </c>
      <c r="J3068" s="9" t="s">
        <v>3</v>
      </c>
      <c r="K3068" s="8">
        <v>0</v>
      </c>
    </row>
    <row r="3069" spans="1:11">
      <c r="A3069" s="2" t="s">
        <v>2740</v>
      </c>
      <c r="B3069" s="2" t="s">
        <v>3441</v>
      </c>
      <c r="C3069" s="9">
        <v>30076524</v>
      </c>
      <c r="D3069" s="2" t="s">
        <v>4503</v>
      </c>
      <c r="E3069" s="10">
        <v>80</v>
      </c>
      <c r="F3069" s="9" t="s">
        <v>982</v>
      </c>
      <c r="G3069" s="11">
        <v>46238</v>
      </c>
      <c r="H3069" s="12">
        <v>317.43</v>
      </c>
      <c r="I3069" s="12">
        <v>282.51</v>
      </c>
      <c r="J3069" s="9" t="s">
        <v>3</v>
      </c>
      <c r="K3069" s="8">
        <v>0</v>
      </c>
    </row>
    <row r="3070" spans="1:11">
      <c r="A3070" s="2" t="s">
        <v>2740</v>
      </c>
      <c r="B3070" s="2" t="s">
        <v>3441</v>
      </c>
      <c r="C3070" s="9">
        <v>30076528</v>
      </c>
      <c r="D3070" s="2" t="s">
        <v>4504</v>
      </c>
      <c r="E3070" s="10">
        <v>60</v>
      </c>
      <c r="F3070" s="9" t="s">
        <v>829</v>
      </c>
      <c r="G3070" s="11">
        <v>46238</v>
      </c>
      <c r="H3070" s="12">
        <v>238.07</v>
      </c>
      <c r="I3070" s="12">
        <v>211.88</v>
      </c>
      <c r="J3070" s="9" t="s">
        <v>3</v>
      </c>
      <c r="K3070" s="8">
        <v>0</v>
      </c>
    </row>
    <row r="3071" spans="1:11">
      <c r="A3071" s="2" t="s">
        <v>2740</v>
      </c>
      <c r="B3071" s="2" t="s">
        <v>3441</v>
      </c>
      <c r="C3071" s="9">
        <v>30077851</v>
      </c>
      <c r="D3071" s="2" t="s">
        <v>4505</v>
      </c>
      <c r="E3071" s="10">
        <v>48</v>
      </c>
      <c r="F3071" s="9" t="s">
        <v>1045</v>
      </c>
      <c r="G3071" s="11">
        <v>46238</v>
      </c>
      <c r="H3071" s="12">
        <v>159.84</v>
      </c>
      <c r="I3071" s="12">
        <v>142.26</v>
      </c>
      <c r="J3071" s="9" t="s">
        <v>3</v>
      </c>
      <c r="K3071" s="8">
        <v>0</v>
      </c>
    </row>
    <row r="3072" spans="1:11">
      <c r="A3072" s="2" t="s">
        <v>2740</v>
      </c>
      <c r="B3072" s="2" t="s">
        <v>3441</v>
      </c>
      <c r="C3072" s="9">
        <v>30077872</v>
      </c>
      <c r="D3072" s="2" t="s">
        <v>4506</v>
      </c>
      <c r="E3072" s="10">
        <v>40</v>
      </c>
      <c r="F3072" s="9" t="s">
        <v>1392</v>
      </c>
      <c r="G3072" s="11">
        <v>46238</v>
      </c>
      <c r="H3072" s="12">
        <v>193.19</v>
      </c>
      <c r="I3072" s="12">
        <v>171.94</v>
      </c>
      <c r="J3072" s="9" t="s">
        <v>3</v>
      </c>
      <c r="K3072" s="8">
        <v>0</v>
      </c>
    </row>
    <row r="3073" spans="1:11">
      <c r="A3073" s="2" t="s">
        <v>2740</v>
      </c>
      <c r="B3073" s="2" t="s">
        <v>3441</v>
      </c>
      <c r="C3073" s="9">
        <v>30079009</v>
      </c>
      <c r="D3073" s="2" t="s">
        <v>4507</v>
      </c>
      <c r="E3073" s="10">
        <v>48</v>
      </c>
      <c r="F3073" s="9" t="s">
        <v>1797</v>
      </c>
      <c r="G3073" s="11">
        <v>46238</v>
      </c>
      <c r="H3073" s="12">
        <v>328.19</v>
      </c>
      <c r="I3073" s="12">
        <v>292.08999999999997</v>
      </c>
      <c r="J3073" s="9" t="s">
        <v>3</v>
      </c>
      <c r="K3073" s="8">
        <v>0</v>
      </c>
    </row>
    <row r="3074" spans="1:11">
      <c r="A3074" s="2" t="s">
        <v>2740</v>
      </c>
      <c r="B3074" s="2" t="s">
        <v>3441</v>
      </c>
      <c r="C3074" s="9">
        <v>30079010</v>
      </c>
      <c r="D3074" s="2" t="s">
        <v>4508</v>
      </c>
      <c r="E3074" s="10">
        <v>48</v>
      </c>
      <c r="F3074" s="9" t="s">
        <v>917</v>
      </c>
      <c r="G3074" s="11">
        <v>46238</v>
      </c>
      <c r="H3074" s="12">
        <v>251.23</v>
      </c>
      <c r="I3074" s="12">
        <v>218.44</v>
      </c>
      <c r="J3074" s="9" t="s">
        <v>3</v>
      </c>
      <c r="K3074" s="8">
        <v>0</v>
      </c>
    </row>
    <row r="3075" spans="1:11">
      <c r="A3075" s="2" t="s">
        <v>2740</v>
      </c>
      <c r="B3075" s="2" t="s">
        <v>3441</v>
      </c>
      <c r="C3075" s="9">
        <v>30079020</v>
      </c>
      <c r="D3075" s="2" t="s">
        <v>4509</v>
      </c>
      <c r="E3075" s="10">
        <v>45</v>
      </c>
      <c r="F3075" s="9" t="s">
        <v>982</v>
      </c>
      <c r="G3075" s="11">
        <v>46238</v>
      </c>
      <c r="H3075" s="12">
        <v>240.73</v>
      </c>
      <c r="I3075" s="12">
        <v>214.25</v>
      </c>
      <c r="J3075" s="9" t="s">
        <v>3</v>
      </c>
      <c r="K3075" s="8">
        <v>0</v>
      </c>
    </row>
    <row r="3076" spans="1:11">
      <c r="A3076" s="2" t="s">
        <v>2740</v>
      </c>
      <c r="B3076" s="2" t="s">
        <v>4510</v>
      </c>
      <c r="C3076" s="9">
        <v>30079132</v>
      </c>
      <c r="D3076" s="2" t="s">
        <v>4511</v>
      </c>
      <c r="E3076" s="10">
        <v>36</v>
      </c>
      <c r="F3076" s="9" t="s">
        <v>1691</v>
      </c>
      <c r="G3076" s="11">
        <v>46238</v>
      </c>
      <c r="H3076" s="12">
        <v>854.28</v>
      </c>
      <c r="I3076" s="12">
        <v>760.32</v>
      </c>
      <c r="J3076" s="9" t="s">
        <v>3</v>
      </c>
      <c r="K3076" s="8">
        <v>0</v>
      </c>
    </row>
    <row r="3077" spans="1:11">
      <c r="A3077" s="2" t="s">
        <v>3546</v>
      </c>
      <c r="B3077" s="2" t="s">
        <v>3547</v>
      </c>
      <c r="C3077" s="9">
        <v>30080645</v>
      </c>
      <c r="D3077" s="2" t="s">
        <v>4512</v>
      </c>
      <c r="E3077" s="10">
        <v>132</v>
      </c>
      <c r="F3077" s="9" t="s">
        <v>1508</v>
      </c>
      <c r="G3077" s="11">
        <v>46238</v>
      </c>
      <c r="H3077" s="12">
        <v>1176.8900000000001</v>
      </c>
      <c r="I3077" s="12">
        <v>1047.43</v>
      </c>
      <c r="J3077" s="9" t="s">
        <v>3</v>
      </c>
      <c r="K3077" s="8">
        <v>0</v>
      </c>
    </row>
    <row r="3078" spans="1:11">
      <c r="A3078" s="2" t="s">
        <v>3583</v>
      </c>
      <c r="B3078" s="2" t="s">
        <v>3584</v>
      </c>
      <c r="C3078" s="9">
        <v>30081340</v>
      </c>
      <c r="D3078" s="2" t="s">
        <v>4513</v>
      </c>
      <c r="E3078" s="10">
        <v>1</v>
      </c>
      <c r="F3078" s="9" t="s">
        <v>829</v>
      </c>
      <c r="G3078" s="11">
        <v>46238</v>
      </c>
      <c r="H3078" s="12">
        <v>509.76</v>
      </c>
      <c r="I3078" s="12">
        <v>453.6</v>
      </c>
      <c r="J3078" s="9" t="s">
        <v>3</v>
      </c>
      <c r="K3078" s="8">
        <v>0</v>
      </c>
    </row>
    <row r="3079" spans="1:11">
      <c r="A3079" s="2" t="s">
        <v>2740</v>
      </c>
      <c r="B3079" s="2" t="s">
        <v>3649</v>
      </c>
      <c r="C3079" s="9">
        <v>30083538</v>
      </c>
      <c r="D3079" s="2" t="s">
        <v>4514</v>
      </c>
      <c r="E3079" s="10">
        <v>48</v>
      </c>
      <c r="F3079" s="9" t="s">
        <v>829</v>
      </c>
      <c r="G3079" s="11">
        <v>46238</v>
      </c>
      <c r="H3079" s="12">
        <v>216.53</v>
      </c>
      <c r="I3079" s="12">
        <v>192.71</v>
      </c>
      <c r="J3079" s="9" t="s">
        <v>3</v>
      </c>
      <c r="K3079" s="8">
        <v>0</v>
      </c>
    </row>
    <row r="3080" spans="1:11">
      <c r="A3080" s="2" t="s">
        <v>2740</v>
      </c>
      <c r="B3080" s="2" t="s">
        <v>3644</v>
      </c>
      <c r="C3080" s="9">
        <v>30083600</v>
      </c>
      <c r="D3080" s="2" t="s">
        <v>4515</v>
      </c>
      <c r="E3080" s="10">
        <v>72</v>
      </c>
      <c r="F3080" s="9" t="s">
        <v>1045</v>
      </c>
      <c r="G3080" s="11">
        <v>46238</v>
      </c>
      <c r="H3080" s="12">
        <v>207.46</v>
      </c>
      <c r="I3080" s="12">
        <v>184.64</v>
      </c>
      <c r="J3080" s="9" t="s">
        <v>3</v>
      </c>
      <c r="K3080" s="8">
        <v>0</v>
      </c>
    </row>
    <row r="3081" spans="1:11">
      <c r="A3081" s="2" t="s">
        <v>2740</v>
      </c>
      <c r="B3081" s="2" t="s">
        <v>3649</v>
      </c>
      <c r="C3081" s="9">
        <v>30099044</v>
      </c>
      <c r="D3081" s="2" t="s">
        <v>4516</v>
      </c>
      <c r="E3081" s="10">
        <v>48</v>
      </c>
      <c r="F3081" s="9" t="s">
        <v>829</v>
      </c>
      <c r="G3081" s="11">
        <v>46238</v>
      </c>
      <c r="H3081" s="12">
        <v>216.53</v>
      </c>
      <c r="I3081" s="12">
        <v>192.71</v>
      </c>
      <c r="J3081" s="9" t="s">
        <v>3</v>
      </c>
      <c r="K3081" s="8">
        <v>0</v>
      </c>
    </row>
    <row r="3082" spans="1:11">
      <c r="A3082" s="2" t="s">
        <v>1246</v>
      </c>
      <c r="B3082" s="2" t="s">
        <v>1879</v>
      </c>
      <c r="C3082" s="9">
        <v>30100011</v>
      </c>
      <c r="D3082" s="2" t="s">
        <v>4517</v>
      </c>
      <c r="E3082" s="10">
        <v>60</v>
      </c>
      <c r="F3082" s="9" t="s">
        <v>829</v>
      </c>
      <c r="G3082" s="11">
        <v>46238</v>
      </c>
      <c r="H3082" s="12">
        <v>646.5</v>
      </c>
      <c r="I3082" s="12">
        <v>575.4</v>
      </c>
      <c r="J3082" s="9" t="s">
        <v>3</v>
      </c>
      <c r="K3082" s="8">
        <v>0</v>
      </c>
    </row>
    <row r="3083" spans="1:11">
      <c r="A3083" s="2" t="s">
        <v>3546</v>
      </c>
      <c r="B3083" s="2" t="s">
        <v>3547</v>
      </c>
      <c r="C3083" s="9">
        <v>30100013</v>
      </c>
      <c r="D3083" s="2" t="s">
        <v>4518</v>
      </c>
      <c r="E3083" s="10">
        <v>132</v>
      </c>
      <c r="F3083" s="9" t="s">
        <v>1508</v>
      </c>
      <c r="G3083" s="11">
        <v>46238</v>
      </c>
      <c r="H3083" s="12">
        <v>1176.8900000000001</v>
      </c>
      <c r="I3083" s="12">
        <v>1047.43</v>
      </c>
      <c r="J3083" s="9" t="s">
        <v>3</v>
      </c>
      <c r="K3083" s="8">
        <v>0</v>
      </c>
    </row>
    <row r="3084" spans="1:11">
      <c r="A3084" s="2" t="s">
        <v>2740</v>
      </c>
      <c r="B3084" s="2" t="s">
        <v>3441</v>
      </c>
      <c r="C3084" s="9">
        <v>30100014</v>
      </c>
      <c r="D3084" s="2" t="s">
        <v>4519</v>
      </c>
      <c r="E3084" s="10">
        <v>40</v>
      </c>
      <c r="F3084" s="9" t="s">
        <v>1584</v>
      </c>
      <c r="G3084" s="11">
        <v>46238</v>
      </c>
      <c r="H3084" s="12">
        <v>386.39</v>
      </c>
      <c r="I3084" s="12">
        <v>343.89</v>
      </c>
      <c r="J3084" s="9" t="s">
        <v>3</v>
      </c>
      <c r="K3084" s="8">
        <v>0</v>
      </c>
    </row>
    <row r="3085" spans="1:11">
      <c r="A3085" s="2" t="s">
        <v>3546</v>
      </c>
      <c r="B3085" s="2" t="s">
        <v>3547</v>
      </c>
      <c r="C3085" s="9">
        <v>30100015</v>
      </c>
      <c r="D3085" s="2" t="s">
        <v>4520</v>
      </c>
      <c r="E3085" s="10">
        <v>60</v>
      </c>
      <c r="F3085" s="9" t="s">
        <v>4521</v>
      </c>
      <c r="G3085" s="11">
        <v>46238</v>
      </c>
      <c r="H3085" s="12">
        <v>0</v>
      </c>
      <c r="I3085" s="12">
        <v>0</v>
      </c>
      <c r="J3085" s="9" t="s">
        <v>3</v>
      </c>
      <c r="K3085" s="8">
        <v>0</v>
      </c>
    </row>
    <row r="3086" spans="1:11">
      <c r="A3086" s="2" t="s">
        <v>3546</v>
      </c>
      <c r="B3086" s="2" t="s">
        <v>3547</v>
      </c>
      <c r="C3086" s="9">
        <v>30100016</v>
      </c>
      <c r="D3086" s="2" t="s">
        <v>4522</v>
      </c>
      <c r="E3086" s="10">
        <v>60</v>
      </c>
      <c r="F3086" s="9" t="s">
        <v>4521</v>
      </c>
      <c r="G3086" s="11">
        <v>46238</v>
      </c>
      <c r="H3086" s="12">
        <v>0</v>
      </c>
      <c r="I3086" s="12">
        <v>0</v>
      </c>
      <c r="J3086" s="9" t="s">
        <v>3</v>
      </c>
      <c r="K3086" s="8">
        <v>0</v>
      </c>
    </row>
    <row r="3087" spans="1:11">
      <c r="A3087" s="2" t="s">
        <v>949</v>
      </c>
      <c r="B3087" s="2" t="s">
        <v>1003</v>
      </c>
      <c r="C3087" s="9">
        <v>30100017</v>
      </c>
      <c r="D3087" s="2" t="s">
        <v>3735</v>
      </c>
      <c r="E3087" s="10">
        <v>6</v>
      </c>
      <c r="F3087" s="9" t="s">
        <v>955</v>
      </c>
      <c r="G3087" s="11">
        <v>46238</v>
      </c>
      <c r="H3087" s="12">
        <v>52.79</v>
      </c>
      <c r="I3087" s="12">
        <v>46.98</v>
      </c>
      <c r="J3087" s="9" t="s">
        <v>3</v>
      </c>
      <c r="K3087" s="8">
        <v>0</v>
      </c>
    </row>
    <row r="3088" spans="1:11">
      <c r="A3088" s="2" t="s">
        <v>2740</v>
      </c>
      <c r="B3088" s="2" t="s">
        <v>3441</v>
      </c>
      <c r="C3088" s="9">
        <v>30100018</v>
      </c>
      <c r="D3088" s="2" t="s">
        <v>4523</v>
      </c>
      <c r="E3088" s="10">
        <v>48</v>
      </c>
      <c r="F3088" s="9" t="s">
        <v>1045</v>
      </c>
      <c r="G3088" s="11">
        <v>46238</v>
      </c>
      <c r="H3088" s="12">
        <v>159.84</v>
      </c>
      <c r="I3088" s="12">
        <v>142.26</v>
      </c>
      <c r="J3088" s="9" t="s">
        <v>3</v>
      </c>
      <c r="K3088" s="8">
        <v>0</v>
      </c>
    </row>
    <row r="3089" spans="1:11">
      <c r="A3089" s="2" t="s">
        <v>2740</v>
      </c>
      <c r="B3089" s="2" t="s">
        <v>3441</v>
      </c>
      <c r="C3089" s="9">
        <v>30100021</v>
      </c>
      <c r="D3089" s="2" t="s">
        <v>4524</v>
      </c>
      <c r="E3089" s="10">
        <v>40</v>
      </c>
      <c r="F3089" s="9" t="s">
        <v>4409</v>
      </c>
      <c r="G3089" s="11">
        <v>46238</v>
      </c>
      <c r="H3089" s="12">
        <v>158.71</v>
      </c>
      <c r="I3089" s="12">
        <v>141.25</v>
      </c>
      <c r="J3089" s="9" t="s">
        <v>3</v>
      </c>
      <c r="K3089" s="8">
        <v>0</v>
      </c>
    </row>
    <row r="3090" spans="1:11">
      <c r="A3090" s="2" t="s">
        <v>607</v>
      </c>
      <c r="B3090" s="2" t="s">
        <v>608</v>
      </c>
      <c r="C3090" s="9">
        <v>30100030</v>
      </c>
      <c r="D3090" s="2" t="s">
        <v>4525</v>
      </c>
      <c r="E3090" s="10">
        <v>1</v>
      </c>
      <c r="F3090" s="9" t="s">
        <v>707</v>
      </c>
      <c r="G3090" s="11">
        <v>46238</v>
      </c>
      <c r="H3090" s="12">
        <v>2201.8000000000002</v>
      </c>
      <c r="I3090" s="12">
        <v>1959.6</v>
      </c>
      <c r="J3090" s="9" t="s">
        <v>3</v>
      </c>
      <c r="K3090" s="8">
        <v>0</v>
      </c>
    </row>
    <row r="3091" spans="1:11">
      <c r="A3091" s="2" t="s">
        <v>687</v>
      </c>
      <c r="B3091" s="2" t="s">
        <v>792</v>
      </c>
      <c r="C3091" s="9">
        <v>30100031</v>
      </c>
      <c r="D3091" s="2" t="s">
        <v>4526</v>
      </c>
      <c r="E3091" s="10">
        <v>24</v>
      </c>
      <c r="F3091" s="9" t="s">
        <v>4527</v>
      </c>
      <c r="G3091" s="11">
        <v>46238</v>
      </c>
      <c r="H3091" s="12">
        <v>367.28</v>
      </c>
      <c r="I3091" s="12">
        <v>326.88</v>
      </c>
      <c r="J3091" s="9" t="s">
        <v>3</v>
      </c>
      <c r="K3091" s="8">
        <v>0</v>
      </c>
    </row>
    <row r="3092" spans="1:11">
      <c r="A3092" s="2" t="s">
        <v>687</v>
      </c>
      <c r="B3092" s="2" t="s">
        <v>792</v>
      </c>
      <c r="C3092" s="9">
        <v>30100032</v>
      </c>
      <c r="D3092" s="2" t="s">
        <v>4528</v>
      </c>
      <c r="E3092" s="10">
        <v>24</v>
      </c>
      <c r="F3092" s="9" t="s">
        <v>4527</v>
      </c>
      <c r="G3092" s="11">
        <v>46238</v>
      </c>
      <c r="H3092" s="12">
        <v>367.28</v>
      </c>
      <c r="I3092" s="12">
        <v>326.88</v>
      </c>
      <c r="J3092" s="9" t="s">
        <v>3</v>
      </c>
      <c r="K3092" s="8">
        <v>0</v>
      </c>
    </row>
    <row r="3093" spans="1:11">
      <c r="A3093" s="2" t="s">
        <v>687</v>
      </c>
      <c r="B3093" s="2" t="s">
        <v>792</v>
      </c>
      <c r="C3093" s="9">
        <v>30100033</v>
      </c>
      <c r="D3093" s="2" t="s">
        <v>4529</v>
      </c>
      <c r="E3093" s="10">
        <v>24</v>
      </c>
      <c r="F3093" s="9" t="s">
        <v>4530</v>
      </c>
      <c r="G3093" s="11">
        <v>46238</v>
      </c>
      <c r="H3093" s="12">
        <v>367.28</v>
      </c>
      <c r="I3093" s="12">
        <v>326.88</v>
      </c>
      <c r="J3093" s="9" t="s">
        <v>3</v>
      </c>
      <c r="K3093" s="8">
        <v>0</v>
      </c>
    </row>
    <row r="3094" spans="1:11">
      <c r="A3094" s="2" t="s">
        <v>687</v>
      </c>
      <c r="B3094" s="2" t="s">
        <v>792</v>
      </c>
      <c r="C3094" s="9">
        <v>30100034</v>
      </c>
      <c r="D3094" s="2" t="s">
        <v>4531</v>
      </c>
      <c r="E3094" s="10">
        <v>24</v>
      </c>
      <c r="F3094" s="9" t="s">
        <v>4530</v>
      </c>
      <c r="G3094" s="11">
        <v>46238</v>
      </c>
      <c r="H3094" s="12">
        <v>367.28</v>
      </c>
      <c r="I3094" s="12">
        <v>326.88</v>
      </c>
      <c r="J3094" s="9" t="s">
        <v>3</v>
      </c>
      <c r="K3094" s="8">
        <v>0</v>
      </c>
    </row>
    <row r="3095" spans="1:11">
      <c r="A3095" s="2" t="s">
        <v>687</v>
      </c>
      <c r="B3095" s="2" t="s">
        <v>792</v>
      </c>
      <c r="C3095" s="9">
        <v>30100035</v>
      </c>
      <c r="D3095" s="2" t="s">
        <v>4532</v>
      </c>
      <c r="E3095" s="10">
        <v>24</v>
      </c>
      <c r="F3095" s="9" t="s">
        <v>4530</v>
      </c>
      <c r="G3095" s="11">
        <v>46238</v>
      </c>
      <c r="H3095" s="12">
        <v>367.28</v>
      </c>
      <c r="I3095" s="12">
        <v>326.88</v>
      </c>
      <c r="J3095" s="9" t="s">
        <v>3</v>
      </c>
      <c r="K3095" s="8">
        <v>0</v>
      </c>
    </row>
    <row r="3096" spans="1:11">
      <c r="A3096" s="2" t="s">
        <v>687</v>
      </c>
      <c r="B3096" s="2" t="s">
        <v>792</v>
      </c>
      <c r="C3096" s="9">
        <v>30100036</v>
      </c>
      <c r="D3096" s="2" t="s">
        <v>4533</v>
      </c>
      <c r="E3096" s="10">
        <v>24</v>
      </c>
      <c r="F3096" s="9" t="s">
        <v>4530</v>
      </c>
      <c r="G3096" s="11">
        <v>46238</v>
      </c>
      <c r="H3096" s="12">
        <v>367.28</v>
      </c>
      <c r="I3096" s="12">
        <v>326.88</v>
      </c>
      <c r="J3096" s="9" t="s">
        <v>3</v>
      </c>
      <c r="K3096" s="8">
        <v>0</v>
      </c>
    </row>
    <row r="3097" spans="1:11">
      <c r="A3097" s="2" t="s">
        <v>687</v>
      </c>
      <c r="B3097" s="2" t="s">
        <v>792</v>
      </c>
      <c r="C3097" s="9">
        <v>30100037</v>
      </c>
      <c r="D3097" s="2" t="s">
        <v>4534</v>
      </c>
      <c r="E3097" s="10">
        <v>24</v>
      </c>
      <c r="F3097" s="9" t="s">
        <v>4527</v>
      </c>
      <c r="G3097" s="11">
        <v>46238</v>
      </c>
      <c r="H3097" s="12">
        <v>367.28</v>
      </c>
      <c r="I3097" s="12">
        <v>326.88</v>
      </c>
      <c r="J3097" s="9" t="s">
        <v>3</v>
      </c>
      <c r="K3097" s="8">
        <v>0</v>
      </c>
    </row>
    <row r="3098" spans="1:11">
      <c r="A3098" s="2" t="s">
        <v>687</v>
      </c>
      <c r="B3098" s="2" t="s">
        <v>792</v>
      </c>
      <c r="C3098" s="9">
        <v>30100038</v>
      </c>
      <c r="D3098" s="2" t="s">
        <v>4535</v>
      </c>
      <c r="E3098" s="10">
        <v>24</v>
      </c>
      <c r="F3098" s="9" t="s">
        <v>4527</v>
      </c>
      <c r="G3098" s="11">
        <v>46238</v>
      </c>
      <c r="H3098" s="12">
        <v>367.28</v>
      </c>
      <c r="I3098" s="12">
        <v>326.88</v>
      </c>
      <c r="J3098" s="9" t="s">
        <v>3</v>
      </c>
      <c r="K3098" s="8">
        <v>0</v>
      </c>
    </row>
    <row r="3099" spans="1:11">
      <c r="A3099" s="2" t="s">
        <v>607</v>
      </c>
      <c r="B3099" s="2" t="s">
        <v>608</v>
      </c>
      <c r="C3099" s="9">
        <v>30100040</v>
      </c>
      <c r="D3099" s="2" t="s">
        <v>4536</v>
      </c>
      <c r="E3099" s="10">
        <v>60</v>
      </c>
      <c r="F3099" s="9" t="s">
        <v>610</v>
      </c>
      <c r="G3099" s="11">
        <v>46238</v>
      </c>
      <c r="H3099" s="12">
        <v>2336.63</v>
      </c>
      <c r="I3099" s="12">
        <v>2079.6</v>
      </c>
      <c r="J3099" s="9" t="s">
        <v>3</v>
      </c>
      <c r="K3099" s="8">
        <v>0</v>
      </c>
    </row>
    <row r="3100" spans="1:11">
      <c r="A3100" s="2" t="s">
        <v>949</v>
      </c>
      <c r="B3100" s="2" t="s">
        <v>1003</v>
      </c>
      <c r="C3100" s="9">
        <v>30100050</v>
      </c>
      <c r="D3100" s="2" t="s">
        <v>4454</v>
      </c>
      <c r="E3100" s="10">
        <v>6</v>
      </c>
      <c r="F3100" s="9" t="s">
        <v>955</v>
      </c>
      <c r="G3100" s="11">
        <v>46238</v>
      </c>
      <c r="H3100" s="12">
        <v>66.430000000000007</v>
      </c>
      <c r="I3100" s="12">
        <v>59.12</v>
      </c>
      <c r="J3100" s="9" t="s">
        <v>3</v>
      </c>
      <c r="K3100" s="8">
        <v>0</v>
      </c>
    </row>
    <row r="3101" spans="1:11">
      <c r="A3101" s="2" t="s">
        <v>949</v>
      </c>
      <c r="B3101" s="2" t="s">
        <v>1003</v>
      </c>
      <c r="C3101" s="9">
        <v>30100051</v>
      </c>
      <c r="D3101" s="2" t="s">
        <v>4455</v>
      </c>
      <c r="E3101" s="10">
        <v>6</v>
      </c>
      <c r="F3101" s="9" t="s">
        <v>955</v>
      </c>
      <c r="G3101" s="11">
        <v>46238</v>
      </c>
      <c r="H3101" s="12">
        <v>66.430000000000007</v>
      </c>
      <c r="I3101" s="12">
        <v>59.12</v>
      </c>
      <c r="J3101" s="9" t="s">
        <v>3</v>
      </c>
      <c r="K3101" s="8">
        <v>0</v>
      </c>
    </row>
    <row r="3102" spans="1:11">
      <c r="A3102" s="2" t="s">
        <v>4537</v>
      </c>
      <c r="B3102" s="2" t="s">
        <v>4538</v>
      </c>
      <c r="C3102" s="9">
        <v>40001012</v>
      </c>
      <c r="D3102" s="2" t="s">
        <v>4539</v>
      </c>
      <c r="E3102" s="10">
        <v>1</v>
      </c>
      <c r="F3102" s="9" t="s">
        <v>4540</v>
      </c>
      <c r="G3102" s="11">
        <v>46238</v>
      </c>
      <c r="H3102" s="12">
        <v>0</v>
      </c>
      <c r="I3102" s="12">
        <v>0</v>
      </c>
      <c r="J3102" s="9" t="s">
        <v>3</v>
      </c>
      <c r="K3102" s="8">
        <v>0</v>
      </c>
    </row>
    <row r="3103" spans="1:11">
      <c r="A3103" s="2" t="s">
        <v>4537</v>
      </c>
      <c r="B3103" s="2" t="s">
        <v>4538</v>
      </c>
      <c r="C3103" s="9">
        <v>40001013</v>
      </c>
      <c r="D3103" s="2" t="s">
        <v>4541</v>
      </c>
      <c r="E3103" s="10">
        <v>1</v>
      </c>
      <c r="F3103" s="9" t="s">
        <v>4540</v>
      </c>
      <c r="G3103" s="11">
        <v>46238</v>
      </c>
      <c r="H3103" s="12">
        <v>0</v>
      </c>
      <c r="I3103" s="12">
        <v>0</v>
      </c>
      <c r="J3103" s="9" t="s">
        <v>3</v>
      </c>
      <c r="K3103" s="8">
        <v>0</v>
      </c>
    </row>
    <row r="3104" spans="1:11">
      <c r="A3104" s="2" t="s">
        <v>687</v>
      </c>
      <c r="B3104" s="2" t="s">
        <v>792</v>
      </c>
      <c r="C3104" s="9">
        <v>40008924</v>
      </c>
      <c r="D3104" s="2" t="s">
        <v>4542</v>
      </c>
      <c r="E3104" s="10">
        <v>1</v>
      </c>
      <c r="F3104" s="9" t="s">
        <v>829</v>
      </c>
      <c r="G3104" s="11">
        <v>46238</v>
      </c>
      <c r="H3104" s="12">
        <v>0</v>
      </c>
      <c r="I3104" s="12">
        <v>0</v>
      </c>
      <c r="J3104" s="9" t="s">
        <v>3</v>
      </c>
      <c r="K3104" s="8">
        <v>0</v>
      </c>
    </row>
    <row r="3105" spans="1:11">
      <c r="A3105" s="2" t="s">
        <v>949</v>
      </c>
      <c r="B3105" s="2" t="s">
        <v>953</v>
      </c>
      <c r="C3105" s="9">
        <v>40013773</v>
      </c>
      <c r="D3105" s="2" t="s">
        <v>4543</v>
      </c>
      <c r="E3105" s="10">
        <v>1</v>
      </c>
      <c r="F3105" s="9" t="s">
        <v>4521</v>
      </c>
      <c r="G3105" s="11">
        <v>46238</v>
      </c>
      <c r="H3105" s="12">
        <v>0</v>
      </c>
      <c r="I3105" s="12">
        <v>0</v>
      </c>
      <c r="J3105" s="9" t="s">
        <v>3</v>
      </c>
      <c r="K3105" s="8">
        <v>0</v>
      </c>
    </row>
    <row r="3106" spans="1:11">
      <c r="A3106" s="2" t="s">
        <v>607</v>
      </c>
      <c r="B3106" s="2" t="s">
        <v>1207</v>
      </c>
      <c r="C3106" s="9">
        <v>40018011</v>
      </c>
      <c r="D3106" s="2" t="s">
        <v>4544</v>
      </c>
      <c r="E3106" s="10">
        <v>1</v>
      </c>
      <c r="F3106" s="9" t="s">
        <v>829</v>
      </c>
      <c r="G3106" s="11">
        <v>46238</v>
      </c>
      <c r="H3106" s="12">
        <v>0</v>
      </c>
      <c r="I3106" s="12">
        <v>0</v>
      </c>
      <c r="J3106" s="9" t="s">
        <v>3</v>
      </c>
      <c r="K3106" s="8">
        <v>0</v>
      </c>
    </row>
    <row r="3107" spans="1:11">
      <c r="A3107" s="2" t="s">
        <v>721</v>
      </c>
      <c r="B3107" s="2" t="s">
        <v>1161</v>
      </c>
      <c r="C3107" s="9">
        <v>40018030</v>
      </c>
      <c r="D3107" s="2" t="s">
        <v>4545</v>
      </c>
      <c r="E3107" s="10">
        <v>1</v>
      </c>
      <c r="F3107" s="9" t="s">
        <v>4546</v>
      </c>
      <c r="G3107" s="11">
        <v>46238</v>
      </c>
      <c r="H3107" s="12">
        <v>0</v>
      </c>
      <c r="I3107" s="12">
        <v>0</v>
      </c>
      <c r="J3107" s="9" t="s">
        <v>3</v>
      </c>
      <c r="K3107" s="8">
        <v>0</v>
      </c>
    </row>
    <row r="3108" spans="1:11">
      <c r="A3108" s="2" t="s">
        <v>687</v>
      </c>
      <c r="B3108" s="2" t="s">
        <v>4480</v>
      </c>
      <c r="C3108" s="9">
        <v>40037807</v>
      </c>
      <c r="D3108" s="2" t="s">
        <v>4547</v>
      </c>
      <c r="E3108" s="10">
        <v>12</v>
      </c>
      <c r="F3108" s="9" t="s">
        <v>763</v>
      </c>
      <c r="G3108" s="11">
        <v>46238</v>
      </c>
      <c r="H3108" s="12">
        <v>0</v>
      </c>
      <c r="I3108" s="12">
        <v>0</v>
      </c>
      <c r="J3108" s="9" t="s">
        <v>3</v>
      </c>
      <c r="K3108" s="8">
        <v>0</v>
      </c>
    </row>
    <row r="3109" spans="1:11">
      <c r="A3109" s="2" t="s">
        <v>687</v>
      </c>
      <c r="B3109" s="2" t="s">
        <v>4480</v>
      </c>
      <c r="C3109" s="9">
        <v>40037808</v>
      </c>
      <c r="D3109" s="2" t="s">
        <v>4481</v>
      </c>
      <c r="E3109" s="10">
        <v>12</v>
      </c>
      <c r="F3109" s="9" t="s">
        <v>4482</v>
      </c>
      <c r="G3109" s="11">
        <v>46238</v>
      </c>
      <c r="H3109" s="12">
        <v>0</v>
      </c>
      <c r="I3109" s="12">
        <v>0</v>
      </c>
      <c r="J3109" s="9" t="s">
        <v>3</v>
      </c>
      <c r="K3109" s="8">
        <v>0</v>
      </c>
    </row>
    <row r="3110" spans="1:11">
      <c r="A3110" s="2" t="s">
        <v>687</v>
      </c>
      <c r="B3110" s="2" t="s">
        <v>4480</v>
      </c>
      <c r="C3110" s="9">
        <v>40037809</v>
      </c>
      <c r="D3110" s="2" t="s">
        <v>4483</v>
      </c>
      <c r="E3110" s="10">
        <v>12</v>
      </c>
      <c r="F3110" s="9" t="s">
        <v>4484</v>
      </c>
      <c r="G3110" s="11">
        <v>46238</v>
      </c>
      <c r="H3110" s="12">
        <v>0</v>
      </c>
      <c r="I3110" s="12">
        <v>0</v>
      </c>
      <c r="J3110" s="9" t="s">
        <v>3</v>
      </c>
      <c r="K3110" s="8">
        <v>0</v>
      </c>
    </row>
    <row r="3111" spans="1:11">
      <c r="A3111" s="2" t="s">
        <v>687</v>
      </c>
      <c r="B3111" s="2" t="s">
        <v>4480</v>
      </c>
      <c r="C3111" s="9">
        <v>40037810</v>
      </c>
      <c r="D3111" s="2" t="s">
        <v>4485</v>
      </c>
      <c r="E3111" s="10">
        <v>12</v>
      </c>
      <c r="F3111" s="9" t="s">
        <v>4486</v>
      </c>
      <c r="G3111" s="11">
        <v>46238</v>
      </c>
      <c r="H3111" s="12">
        <v>0</v>
      </c>
      <c r="I3111" s="12">
        <v>0</v>
      </c>
      <c r="J3111" s="9" t="s">
        <v>3</v>
      </c>
      <c r="K3111" s="8">
        <v>0</v>
      </c>
    </row>
    <row r="3112" spans="1:11">
      <c r="A3112" s="2" t="s">
        <v>925</v>
      </c>
      <c r="B3112" s="2" t="s">
        <v>2231</v>
      </c>
      <c r="C3112" s="9">
        <v>40042287</v>
      </c>
      <c r="D3112" s="2" t="s">
        <v>4548</v>
      </c>
      <c r="E3112" s="10">
        <v>1</v>
      </c>
      <c r="F3112" s="9" t="s">
        <v>4549</v>
      </c>
      <c r="G3112" s="11">
        <v>46238</v>
      </c>
      <c r="H3112" s="12">
        <v>0</v>
      </c>
      <c r="I3112" s="12">
        <v>0</v>
      </c>
      <c r="J3112" s="9" t="s">
        <v>3</v>
      </c>
      <c r="K3112" s="8">
        <v>0</v>
      </c>
    </row>
    <row r="3113" spans="1:11">
      <c r="A3113" s="2" t="s">
        <v>925</v>
      </c>
      <c r="B3113" s="2" t="s">
        <v>2231</v>
      </c>
      <c r="C3113" s="9">
        <v>40042593</v>
      </c>
      <c r="D3113" s="2" t="s">
        <v>4550</v>
      </c>
      <c r="E3113" s="10">
        <v>1</v>
      </c>
      <c r="F3113" s="9" t="s">
        <v>4549</v>
      </c>
      <c r="G3113" s="11">
        <v>46238</v>
      </c>
      <c r="H3113" s="12">
        <v>0</v>
      </c>
      <c r="I3113" s="12">
        <v>0</v>
      </c>
      <c r="J3113" s="9" t="s">
        <v>3</v>
      </c>
      <c r="K3113" s="8">
        <v>0</v>
      </c>
    </row>
    <row r="3114" spans="1:11">
      <c r="A3114" s="2" t="s">
        <v>925</v>
      </c>
      <c r="B3114" s="2" t="s">
        <v>2231</v>
      </c>
      <c r="C3114" s="9">
        <v>40042621</v>
      </c>
      <c r="D3114" s="2" t="s">
        <v>4551</v>
      </c>
      <c r="E3114" s="10">
        <v>1</v>
      </c>
      <c r="F3114" s="9" t="s">
        <v>4549</v>
      </c>
      <c r="G3114" s="11">
        <v>46238</v>
      </c>
      <c r="H3114" s="12">
        <v>0</v>
      </c>
      <c r="I3114" s="12">
        <v>0</v>
      </c>
      <c r="J3114" s="9" t="s">
        <v>3</v>
      </c>
      <c r="K3114" s="8">
        <v>0</v>
      </c>
    </row>
    <row r="3115" spans="1:11">
      <c r="A3115" s="2" t="s">
        <v>925</v>
      </c>
      <c r="B3115" s="2" t="s">
        <v>2231</v>
      </c>
      <c r="C3115" s="9">
        <v>40042622</v>
      </c>
      <c r="D3115" s="2" t="s">
        <v>4552</v>
      </c>
      <c r="E3115" s="10">
        <v>1</v>
      </c>
      <c r="F3115" s="9" t="s">
        <v>4549</v>
      </c>
      <c r="G3115" s="11">
        <v>46238</v>
      </c>
      <c r="H3115" s="12">
        <v>0</v>
      </c>
      <c r="I3115" s="12">
        <v>0</v>
      </c>
      <c r="J3115" s="9" t="s">
        <v>3</v>
      </c>
      <c r="K3115" s="8">
        <v>0</v>
      </c>
    </row>
    <row r="3116" spans="1:11">
      <c r="A3116" s="2" t="s">
        <v>925</v>
      </c>
      <c r="B3116" s="2" t="s">
        <v>2231</v>
      </c>
      <c r="C3116" s="9">
        <v>40042623</v>
      </c>
      <c r="D3116" s="2" t="s">
        <v>4553</v>
      </c>
      <c r="E3116" s="10">
        <v>1</v>
      </c>
      <c r="F3116" s="9" t="s">
        <v>4549</v>
      </c>
      <c r="G3116" s="11">
        <v>46238</v>
      </c>
      <c r="H3116" s="12">
        <v>0</v>
      </c>
      <c r="I3116" s="12">
        <v>0</v>
      </c>
      <c r="J3116" s="9" t="s">
        <v>3</v>
      </c>
      <c r="K3116" s="8">
        <v>0</v>
      </c>
    </row>
    <row r="3117" spans="1:11">
      <c r="A3117" s="2" t="s">
        <v>925</v>
      </c>
      <c r="B3117" s="2" t="s">
        <v>2231</v>
      </c>
      <c r="C3117" s="9">
        <v>40042624</v>
      </c>
      <c r="D3117" s="2" t="s">
        <v>4554</v>
      </c>
      <c r="E3117" s="10">
        <v>1</v>
      </c>
      <c r="F3117" s="9" t="s">
        <v>4549</v>
      </c>
      <c r="G3117" s="11">
        <v>46238</v>
      </c>
      <c r="H3117" s="12">
        <v>0</v>
      </c>
      <c r="I3117" s="12">
        <v>0</v>
      </c>
      <c r="J3117" s="9" t="s">
        <v>3</v>
      </c>
      <c r="K3117" s="8">
        <v>0</v>
      </c>
    </row>
    <row r="3118" spans="1:11">
      <c r="A3118" s="2" t="s">
        <v>925</v>
      </c>
      <c r="B3118" s="2" t="s">
        <v>2231</v>
      </c>
      <c r="C3118" s="9">
        <v>40042626</v>
      </c>
      <c r="D3118" s="2" t="s">
        <v>4555</v>
      </c>
      <c r="E3118" s="10">
        <v>1</v>
      </c>
      <c r="F3118" s="9" t="s">
        <v>4549</v>
      </c>
      <c r="G3118" s="11">
        <v>46238</v>
      </c>
      <c r="H3118" s="12">
        <v>0</v>
      </c>
      <c r="I3118" s="12">
        <v>0</v>
      </c>
      <c r="J3118" s="9" t="s">
        <v>3</v>
      </c>
      <c r="K3118" s="8">
        <v>0</v>
      </c>
    </row>
    <row r="3119" spans="1:11">
      <c r="A3119" s="2" t="s">
        <v>925</v>
      </c>
      <c r="B3119" s="2" t="s">
        <v>2231</v>
      </c>
      <c r="C3119" s="9">
        <v>40042627</v>
      </c>
      <c r="D3119" s="2" t="s">
        <v>4555</v>
      </c>
      <c r="E3119" s="10">
        <v>1</v>
      </c>
      <c r="F3119" s="9" t="s">
        <v>4549</v>
      </c>
      <c r="G3119" s="11">
        <v>46238</v>
      </c>
      <c r="H3119" s="12">
        <v>0</v>
      </c>
      <c r="I3119" s="12">
        <v>0</v>
      </c>
      <c r="J3119" s="9" t="s">
        <v>3</v>
      </c>
      <c r="K3119" s="8">
        <v>0</v>
      </c>
    </row>
    <row r="3120" spans="1:11">
      <c r="A3120" s="2" t="s">
        <v>925</v>
      </c>
      <c r="B3120" s="2" t="s">
        <v>2231</v>
      </c>
      <c r="C3120" s="9">
        <v>40042632</v>
      </c>
      <c r="D3120" s="2" t="s">
        <v>4556</v>
      </c>
      <c r="E3120" s="10">
        <v>1</v>
      </c>
      <c r="F3120" s="9" t="s">
        <v>4549</v>
      </c>
      <c r="G3120" s="11">
        <v>46238</v>
      </c>
      <c r="H3120" s="12">
        <v>0</v>
      </c>
      <c r="I3120" s="12">
        <v>0</v>
      </c>
      <c r="J3120" s="9" t="s">
        <v>3</v>
      </c>
      <c r="K3120" s="8">
        <v>0</v>
      </c>
    </row>
    <row r="3121" spans="1:11">
      <c r="A3121" s="2" t="s">
        <v>925</v>
      </c>
      <c r="B3121" s="2" t="s">
        <v>2231</v>
      </c>
      <c r="C3121" s="9">
        <v>40042955</v>
      </c>
      <c r="D3121" s="2" t="s">
        <v>4557</v>
      </c>
      <c r="E3121" s="10">
        <v>1</v>
      </c>
      <c r="F3121" s="9" t="s">
        <v>4549</v>
      </c>
      <c r="G3121" s="11">
        <v>46238</v>
      </c>
      <c r="H3121" s="12">
        <v>0</v>
      </c>
      <c r="I3121" s="12">
        <v>0</v>
      </c>
      <c r="J3121" s="9" t="s">
        <v>3</v>
      </c>
      <c r="K3121" s="8">
        <v>0</v>
      </c>
    </row>
    <row r="3122" spans="1:11">
      <c r="A3122" s="2" t="s">
        <v>925</v>
      </c>
      <c r="B3122" s="2" t="s">
        <v>2231</v>
      </c>
      <c r="C3122" s="9">
        <v>40042966</v>
      </c>
      <c r="D3122" s="2" t="s">
        <v>4558</v>
      </c>
      <c r="E3122" s="10">
        <v>15</v>
      </c>
      <c r="F3122" s="9" t="s">
        <v>2233</v>
      </c>
      <c r="G3122" s="11">
        <v>46238</v>
      </c>
      <c r="H3122" s="12">
        <v>0</v>
      </c>
      <c r="I3122" s="12">
        <v>0</v>
      </c>
      <c r="J3122" s="9" t="s">
        <v>3</v>
      </c>
      <c r="K3122" s="8">
        <v>0</v>
      </c>
    </row>
    <row r="3123" spans="1:11">
      <c r="A3123" s="2" t="s">
        <v>925</v>
      </c>
      <c r="B3123" s="2" t="s">
        <v>2231</v>
      </c>
      <c r="C3123" s="9">
        <v>40042968</v>
      </c>
      <c r="D3123" s="2" t="s">
        <v>4559</v>
      </c>
      <c r="E3123" s="10">
        <v>1</v>
      </c>
      <c r="F3123" s="9" t="s">
        <v>4549</v>
      </c>
      <c r="G3123" s="11">
        <v>46238</v>
      </c>
      <c r="H3123" s="12">
        <v>0</v>
      </c>
      <c r="I3123" s="12">
        <v>0</v>
      </c>
      <c r="J3123" s="9" t="s">
        <v>3</v>
      </c>
      <c r="K3123" s="8">
        <v>0</v>
      </c>
    </row>
    <row r="3124" spans="1:11">
      <c r="A3124" s="2" t="s">
        <v>925</v>
      </c>
      <c r="B3124" s="2" t="s">
        <v>2231</v>
      </c>
      <c r="C3124" s="9">
        <v>40042970</v>
      </c>
      <c r="D3124" s="2" t="s">
        <v>4560</v>
      </c>
      <c r="E3124" s="10">
        <v>1</v>
      </c>
      <c r="F3124" s="9" t="s">
        <v>4549</v>
      </c>
      <c r="G3124" s="11">
        <v>46238</v>
      </c>
      <c r="H3124" s="12">
        <v>0</v>
      </c>
      <c r="I3124" s="12">
        <v>0</v>
      </c>
      <c r="J3124" s="9" t="s">
        <v>3</v>
      </c>
      <c r="K3124" s="8">
        <v>0</v>
      </c>
    </row>
    <row r="3125" spans="1:11">
      <c r="A3125" s="2" t="s">
        <v>925</v>
      </c>
      <c r="B3125" s="2" t="s">
        <v>2231</v>
      </c>
      <c r="C3125" s="9">
        <v>40042979</v>
      </c>
      <c r="D3125" s="2" t="s">
        <v>4561</v>
      </c>
      <c r="E3125" s="10">
        <v>1</v>
      </c>
      <c r="F3125" s="9" t="s">
        <v>4549</v>
      </c>
      <c r="G3125" s="11">
        <v>46238</v>
      </c>
      <c r="H3125" s="12">
        <v>0</v>
      </c>
      <c r="I3125" s="12">
        <v>0</v>
      </c>
      <c r="J3125" s="9" t="s">
        <v>3</v>
      </c>
      <c r="K3125" s="8">
        <v>0</v>
      </c>
    </row>
    <row r="3126" spans="1:11">
      <c r="A3126" s="2" t="s">
        <v>925</v>
      </c>
      <c r="B3126" s="2" t="s">
        <v>2231</v>
      </c>
      <c r="C3126" s="9">
        <v>40042980</v>
      </c>
      <c r="D3126" s="2" t="s">
        <v>4562</v>
      </c>
      <c r="E3126" s="10">
        <v>1</v>
      </c>
      <c r="F3126" s="9" t="s">
        <v>4549</v>
      </c>
      <c r="G3126" s="11">
        <v>46238</v>
      </c>
      <c r="H3126" s="12">
        <v>0</v>
      </c>
      <c r="I3126" s="12">
        <v>0</v>
      </c>
      <c r="J3126" s="9" t="s">
        <v>3</v>
      </c>
      <c r="K3126" s="8">
        <v>0</v>
      </c>
    </row>
    <row r="3127" spans="1:11">
      <c r="A3127" s="2" t="s">
        <v>925</v>
      </c>
      <c r="B3127" s="2" t="s">
        <v>2231</v>
      </c>
      <c r="C3127" s="9">
        <v>40042986</v>
      </c>
      <c r="D3127" s="2" t="s">
        <v>4563</v>
      </c>
      <c r="E3127" s="10">
        <v>15</v>
      </c>
      <c r="F3127" s="9" t="s">
        <v>2233</v>
      </c>
      <c r="G3127" s="11">
        <v>46238</v>
      </c>
      <c r="H3127" s="12">
        <v>0</v>
      </c>
      <c r="I3127" s="12">
        <v>0</v>
      </c>
      <c r="J3127" s="9" t="s">
        <v>3</v>
      </c>
      <c r="K3127" s="8">
        <v>0</v>
      </c>
    </row>
    <row r="3128" spans="1:11">
      <c r="A3128" s="2" t="s">
        <v>925</v>
      </c>
      <c r="B3128" s="2" t="s">
        <v>2231</v>
      </c>
      <c r="C3128" s="9">
        <v>40042987</v>
      </c>
      <c r="D3128" s="2" t="s">
        <v>4564</v>
      </c>
      <c r="E3128" s="10">
        <v>15</v>
      </c>
      <c r="F3128" s="9" t="s">
        <v>2233</v>
      </c>
      <c r="G3128" s="11">
        <v>46238</v>
      </c>
      <c r="H3128" s="12">
        <v>0</v>
      </c>
      <c r="I3128" s="12">
        <v>0</v>
      </c>
      <c r="J3128" s="9" t="s">
        <v>3</v>
      </c>
      <c r="K3128" s="8">
        <v>0</v>
      </c>
    </row>
    <row r="3129" spans="1:11">
      <c r="A3129" s="2" t="s">
        <v>925</v>
      </c>
      <c r="B3129" s="2" t="s">
        <v>2231</v>
      </c>
      <c r="C3129" s="9">
        <v>40042988</v>
      </c>
      <c r="D3129" s="2" t="s">
        <v>4565</v>
      </c>
      <c r="E3129" s="10">
        <v>1</v>
      </c>
      <c r="F3129" s="9" t="s">
        <v>4549</v>
      </c>
      <c r="G3129" s="11">
        <v>46238</v>
      </c>
      <c r="H3129" s="12">
        <v>0</v>
      </c>
      <c r="I3129" s="12">
        <v>0</v>
      </c>
      <c r="J3129" s="9" t="s">
        <v>3</v>
      </c>
      <c r="K3129" s="8">
        <v>0</v>
      </c>
    </row>
    <row r="3130" spans="1:11">
      <c r="A3130" s="2" t="s">
        <v>925</v>
      </c>
      <c r="B3130" s="2" t="s">
        <v>2231</v>
      </c>
      <c r="C3130" s="9">
        <v>40042989</v>
      </c>
      <c r="D3130" s="2" t="s">
        <v>4566</v>
      </c>
      <c r="E3130" s="10">
        <v>1</v>
      </c>
      <c r="F3130" s="9" t="s">
        <v>4549</v>
      </c>
      <c r="G3130" s="11">
        <v>46238</v>
      </c>
      <c r="H3130" s="12">
        <v>0</v>
      </c>
      <c r="I3130" s="12">
        <v>0</v>
      </c>
      <c r="J3130" s="9" t="s">
        <v>3</v>
      </c>
      <c r="K3130" s="8">
        <v>0</v>
      </c>
    </row>
    <row r="3131" spans="1:11">
      <c r="A3131" s="2" t="s">
        <v>925</v>
      </c>
      <c r="B3131" s="2" t="s">
        <v>2231</v>
      </c>
      <c r="C3131" s="9">
        <v>40042990</v>
      </c>
      <c r="D3131" s="2" t="s">
        <v>4567</v>
      </c>
      <c r="E3131" s="10">
        <v>1</v>
      </c>
      <c r="F3131" s="9" t="s">
        <v>4549</v>
      </c>
      <c r="G3131" s="11">
        <v>46238</v>
      </c>
      <c r="H3131" s="12">
        <v>0</v>
      </c>
      <c r="I3131" s="12">
        <v>0</v>
      </c>
      <c r="J3131" s="9" t="s">
        <v>3</v>
      </c>
      <c r="K3131" s="8">
        <v>0</v>
      </c>
    </row>
    <row r="3132" spans="1:11">
      <c r="A3132" s="2" t="s">
        <v>925</v>
      </c>
      <c r="B3132" s="2" t="s">
        <v>2231</v>
      </c>
      <c r="C3132" s="9">
        <v>40042991</v>
      </c>
      <c r="D3132" s="2" t="s">
        <v>4568</v>
      </c>
      <c r="E3132" s="10">
        <v>1</v>
      </c>
      <c r="F3132" s="9" t="s">
        <v>4549</v>
      </c>
      <c r="G3132" s="11">
        <v>46238</v>
      </c>
      <c r="H3132" s="12">
        <v>0</v>
      </c>
      <c r="I3132" s="12">
        <v>0</v>
      </c>
      <c r="J3132" s="9" t="s">
        <v>3</v>
      </c>
      <c r="K3132" s="8">
        <v>0</v>
      </c>
    </row>
    <row r="3133" spans="1:11">
      <c r="A3133" s="2" t="s">
        <v>949</v>
      </c>
      <c r="B3133" s="2" t="s">
        <v>2320</v>
      </c>
      <c r="C3133" s="9">
        <v>40048660</v>
      </c>
      <c r="D3133" s="2" t="s">
        <v>4569</v>
      </c>
      <c r="E3133" s="10">
        <v>1</v>
      </c>
      <c r="F3133" s="9" t="s">
        <v>829</v>
      </c>
      <c r="G3133" s="11">
        <v>46238</v>
      </c>
      <c r="H3133" s="12">
        <v>0</v>
      </c>
      <c r="I3133" s="12">
        <v>0</v>
      </c>
      <c r="J3133" s="9" t="s">
        <v>3</v>
      </c>
      <c r="K3133" s="8">
        <v>0</v>
      </c>
    </row>
    <row r="3134" spans="1:11">
      <c r="A3134" s="2" t="s">
        <v>949</v>
      </c>
      <c r="B3134" s="2" t="s">
        <v>2320</v>
      </c>
      <c r="C3134" s="9">
        <v>40048661</v>
      </c>
      <c r="D3134" s="2" t="s">
        <v>4570</v>
      </c>
      <c r="E3134" s="10">
        <v>1</v>
      </c>
      <c r="F3134" s="9" t="s">
        <v>4571</v>
      </c>
      <c r="G3134" s="11">
        <v>46238</v>
      </c>
      <c r="H3134" s="12">
        <v>0</v>
      </c>
      <c r="I3134" s="12">
        <v>0</v>
      </c>
      <c r="J3134" s="9" t="s">
        <v>3</v>
      </c>
      <c r="K3134" s="8">
        <v>0</v>
      </c>
    </row>
    <row r="3135" spans="1:11">
      <c r="A3135" s="2" t="s">
        <v>949</v>
      </c>
      <c r="B3135" s="2" t="s">
        <v>2320</v>
      </c>
      <c r="C3135" s="9">
        <v>40048662</v>
      </c>
      <c r="D3135" s="2" t="s">
        <v>4572</v>
      </c>
      <c r="E3135" s="10">
        <v>1</v>
      </c>
      <c r="F3135" s="9" t="s">
        <v>4571</v>
      </c>
      <c r="G3135" s="11">
        <v>46238</v>
      </c>
      <c r="H3135" s="12">
        <v>0</v>
      </c>
      <c r="I3135" s="12">
        <v>0</v>
      </c>
      <c r="J3135" s="9" t="s">
        <v>3</v>
      </c>
      <c r="K3135" s="8">
        <v>0</v>
      </c>
    </row>
    <row r="3136" spans="1:11">
      <c r="A3136" s="2" t="s">
        <v>949</v>
      </c>
      <c r="B3136" s="2" t="s">
        <v>2320</v>
      </c>
      <c r="C3136" s="9">
        <v>40048663</v>
      </c>
      <c r="D3136" s="2" t="s">
        <v>4573</v>
      </c>
      <c r="E3136" s="10">
        <v>1</v>
      </c>
      <c r="F3136" s="9" t="s">
        <v>4571</v>
      </c>
      <c r="G3136" s="11">
        <v>46238</v>
      </c>
      <c r="H3136" s="12">
        <v>0</v>
      </c>
      <c r="I3136" s="12">
        <v>0</v>
      </c>
      <c r="J3136" s="9" t="s">
        <v>3</v>
      </c>
      <c r="K3136" s="8">
        <v>0</v>
      </c>
    </row>
    <row r="3137" spans="1:11">
      <c r="A3137" s="2" t="s">
        <v>949</v>
      </c>
      <c r="B3137" s="2" t="s">
        <v>2320</v>
      </c>
      <c r="C3137" s="9">
        <v>40048664</v>
      </c>
      <c r="D3137" s="2" t="s">
        <v>4574</v>
      </c>
      <c r="E3137" s="10">
        <v>1</v>
      </c>
      <c r="F3137" s="9" t="s">
        <v>4571</v>
      </c>
      <c r="G3137" s="11">
        <v>46238</v>
      </c>
      <c r="H3137" s="12">
        <v>0</v>
      </c>
      <c r="I3137" s="12">
        <v>0</v>
      </c>
      <c r="J3137" s="9" t="s">
        <v>3</v>
      </c>
      <c r="K3137" s="8">
        <v>0</v>
      </c>
    </row>
    <row r="3138" spans="1:11">
      <c r="A3138" s="2" t="s">
        <v>949</v>
      </c>
      <c r="B3138" s="2" t="s">
        <v>2320</v>
      </c>
      <c r="C3138" s="9">
        <v>40048666</v>
      </c>
      <c r="D3138" s="2" t="s">
        <v>4575</v>
      </c>
      <c r="E3138" s="10">
        <v>1</v>
      </c>
      <c r="F3138" s="9" t="s">
        <v>4571</v>
      </c>
      <c r="G3138" s="11">
        <v>46238</v>
      </c>
      <c r="H3138" s="12">
        <v>0</v>
      </c>
      <c r="I3138" s="12">
        <v>0</v>
      </c>
      <c r="J3138" s="9" t="s">
        <v>3</v>
      </c>
      <c r="K3138" s="8">
        <v>0</v>
      </c>
    </row>
    <row r="3139" spans="1:11">
      <c r="A3139" s="2" t="s">
        <v>687</v>
      </c>
      <c r="B3139" s="2" t="s">
        <v>2388</v>
      </c>
      <c r="C3139" s="9">
        <v>40050163</v>
      </c>
      <c r="D3139" s="2" t="s">
        <v>4576</v>
      </c>
      <c r="E3139" s="10">
        <v>1</v>
      </c>
      <c r="F3139" s="9" t="s">
        <v>4571</v>
      </c>
      <c r="G3139" s="11">
        <v>46238</v>
      </c>
      <c r="H3139" s="12">
        <v>0</v>
      </c>
      <c r="I3139" s="12">
        <v>0</v>
      </c>
      <c r="J3139" s="9" t="s">
        <v>3</v>
      </c>
      <c r="K3139" s="8">
        <v>0</v>
      </c>
    </row>
    <row r="3140" spans="1:11">
      <c r="A3140" s="2" t="s">
        <v>607</v>
      </c>
      <c r="B3140" s="2" t="s">
        <v>2401</v>
      </c>
      <c r="C3140" s="9">
        <v>40050310</v>
      </c>
      <c r="D3140" s="2" t="s">
        <v>4577</v>
      </c>
      <c r="E3140" s="10">
        <v>1</v>
      </c>
      <c r="F3140" s="9" t="s">
        <v>4578</v>
      </c>
      <c r="G3140" s="11">
        <v>46238</v>
      </c>
      <c r="H3140" s="12">
        <v>0</v>
      </c>
      <c r="I3140" s="12">
        <v>0</v>
      </c>
      <c r="J3140" s="9" t="s">
        <v>3</v>
      </c>
      <c r="K3140" s="8">
        <v>0</v>
      </c>
    </row>
    <row r="3141" spans="1:11">
      <c r="A3141" s="2" t="s">
        <v>607</v>
      </c>
      <c r="B3141" s="2" t="s">
        <v>2401</v>
      </c>
      <c r="C3141" s="9">
        <v>40050312</v>
      </c>
      <c r="D3141" s="2" t="s">
        <v>4579</v>
      </c>
      <c r="E3141" s="10">
        <v>1</v>
      </c>
      <c r="F3141" s="9" t="s">
        <v>4578</v>
      </c>
      <c r="G3141" s="11">
        <v>46238</v>
      </c>
      <c r="H3141" s="12">
        <v>0</v>
      </c>
      <c r="I3141" s="12">
        <v>0</v>
      </c>
      <c r="J3141" s="9" t="s">
        <v>3</v>
      </c>
      <c r="K3141" s="8">
        <v>0</v>
      </c>
    </row>
    <row r="3142" spans="1:11">
      <c r="A3142" s="2" t="s">
        <v>607</v>
      </c>
      <c r="B3142" s="2" t="s">
        <v>2401</v>
      </c>
      <c r="C3142" s="9">
        <v>40050318</v>
      </c>
      <c r="D3142" s="2" t="s">
        <v>4580</v>
      </c>
      <c r="E3142" s="10">
        <v>1</v>
      </c>
      <c r="F3142" s="9" t="s">
        <v>4578</v>
      </c>
      <c r="G3142" s="11">
        <v>46238</v>
      </c>
      <c r="H3142" s="12">
        <v>0</v>
      </c>
      <c r="I3142" s="12">
        <v>0</v>
      </c>
      <c r="J3142" s="9" t="s">
        <v>3</v>
      </c>
      <c r="K3142" s="8">
        <v>0</v>
      </c>
    </row>
    <row r="3143" spans="1:11">
      <c r="A3143" s="2" t="s">
        <v>607</v>
      </c>
      <c r="B3143" s="2" t="s">
        <v>2401</v>
      </c>
      <c r="C3143" s="9">
        <v>40050320</v>
      </c>
      <c r="D3143" s="2" t="s">
        <v>4581</v>
      </c>
      <c r="E3143" s="10">
        <v>1</v>
      </c>
      <c r="F3143" s="9" t="s">
        <v>4578</v>
      </c>
      <c r="G3143" s="11">
        <v>46238</v>
      </c>
      <c r="H3143" s="12">
        <v>0</v>
      </c>
      <c r="I3143" s="12">
        <v>0</v>
      </c>
      <c r="J3143" s="9" t="s">
        <v>3</v>
      </c>
      <c r="K3143" s="8">
        <v>0</v>
      </c>
    </row>
    <row r="3144" spans="1:11">
      <c r="A3144" s="2" t="s">
        <v>607</v>
      </c>
      <c r="B3144" s="2" t="s">
        <v>2401</v>
      </c>
      <c r="C3144" s="9">
        <v>40050322</v>
      </c>
      <c r="D3144" s="2" t="s">
        <v>4582</v>
      </c>
      <c r="E3144" s="10">
        <v>1</v>
      </c>
      <c r="F3144" s="9" t="s">
        <v>4578</v>
      </c>
      <c r="G3144" s="11">
        <v>46238</v>
      </c>
      <c r="H3144" s="12">
        <v>0</v>
      </c>
      <c r="I3144" s="12">
        <v>0</v>
      </c>
      <c r="J3144" s="9" t="s">
        <v>3</v>
      </c>
      <c r="K3144" s="8">
        <v>0</v>
      </c>
    </row>
    <row r="3145" spans="1:11">
      <c r="A3145" s="2" t="s">
        <v>607</v>
      </c>
      <c r="B3145" s="2" t="s">
        <v>2401</v>
      </c>
      <c r="C3145" s="9">
        <v>40050329</v>
      </c>
      <c r="D3145" s="2" t="s">
        <v>4583</v>
      </c>
      <c r="E3145" s="10">
        <v>1</v>
      </c>
      <c r="F3145" s="9" t="s">
        <v>4578</v>
      </c>
      <c r="G3145" s="11">
        <v>46238</v>
      </c>
      <c r="H3145" s="12">
        <v>0</v>
      </c>
      <c r="I3145" s="12">
        <v>0</v>
      </c>
      <c r="J3145" s="9" t="s">
        <v>3</v>
      </c>
      <c r="K3145" s="8">
        <v>0</v>
      </c>
    </row>
    <row r="3146" spans="1:11">
      <c r="A3146" s="2" t="s">
        <v>607</v>
      </c>
      <c r="B3146" s="2" t="s">
        <v>2401</v>
      </c>
      <c r="C3146" s="9">
        <v>40050336</v>
      </c>
      <c r="D3146" s="2" t="s">
        <v>4584</v>
      </c>
      <c r="E3146" s="10">
        <v>1</v>
      </c>
      <c r="F3146" s="9" t="s">
        <v>4578</v>
      </c>
      <c r="G3146" s="11">
        <v>46238</v>
      </c>
      <c r="H3146" s="12">
        <v>0</v>
      </c>
      <c r="I3146" s="12">
        <v>0</v>
      </c>
      <c r="J3146" s="9" t="s">
        <v>3</v>
      </c>
      <c r="K3146" s="8">
        <v>0</v>
      </c>
    </row>
    <row r="3147" spans="1:11">
      <c r="A3147" s="2" t="s">
        <v>607</v>
      </c>
      <c r="B3147" s="2" t="s">
        <v>2401</v>
      </c>
      <c r="C3147" s="9">
        <v>40050369</v>
      </c>
      <c r="D3147" s="2" t="s">
        <v>4585</v>
      </c>
      <c r="E3147" s="10">
        <v>1</v>
      </c>
      <c r="F3147" s="9" t="s">
        <v>4578</v>
      </c>
      <c r="G3147" s="11">
        <v>46238</v>
      </c>
      <c r="H3147" s="12">
        <v>0</v>
      </c>
      <c r="I3147" s="12">
        <v>0</v>
      </c>
      <c r="J3147" s="9" t="s">
        <v>3</v>
      </c>
      <c r="K3147" s="8">
        <v>0</v>
      </c>
    </row>
    <row r="3148" spans="1:11">
      <c r="A3148" s="2" t="s">
        <v>607</v>
      </c>
      <c r="B3148" s="2" t="s">
        <v>2401</v>
      </c>
      <c r="C3148" s="9">
        <v>40050370</v>
      </c>
      <c r="D3148" s="2" t="s">
        <v>4586</v>
      </c>
      <c r="E3148" s="10">
        <v>1</v>
      </c>
      <c r="F3148" s="9" t="s">
        <v>4578</v>
      </c>
      <c r="G3148" s="11">
        <v>46238</v>
      </c>
      <c r="H3148" s="12">
        <v>0</v>
      </c>
      <c r="I3148" s="12">
        <v>0</v>
      </c>
      <c r="J3148" s="9" t="s">
        <v>3</v>
      </c>
      <c r="K3148" s="8">
        <v>0</v>
      </c>
    </row>
    <row r="3149" spans="1:11">
      <c r="A3149" s="2" t="s">
        <v>607</v>
      </c>
      <c r="B3149" s="2" t="s">
        <v>2401</v>
      </c>
      <c r="C3149" s="9">
        <v>40050374</v>
      </c>
      <c r="D3149" s="2" t="s">
        <v>4587</v>
      </c>
      <c r="E3149" s="10">
        <v>1</v>
      </c>
      <c r="F3149" s="9" t="s">
        <v>4578</v>
      </c>
      <c r="G3149" s="11">
        <v>46238</v>
      </c>
      <c r="H3149" s="12">
        <v>0</v>
      </c>
      <c r="I3149" s="12">
        <v>0</v>
      </c>
      <c r="J3149" s="9" t="s">
        <v>3</v>
      </c>
      <c r="K3149" s="8">
        <v>0</v>
      </c>
    </row>
    <row r="3150" spans="1:11">
      <c r="A3150" s="2" t="s">
        <v>607</v>
      </c>
      <c r="B3150" s="2" t="s">
        <v>2401</v>
      </c>
      <c r="C3150" s="9">
        <v>40050401</v>
      </c>
      <c r="D3150" s="2" t="s">
        <v>4588</v>
      </c>
      <c r="E3150" s="10">
        <v>1</v>
      </c>
      <c r="F3150" s="9" t="s">
        <v>4578</v>
      </c>
      <c r="G3150" s="11">
        <v>46238</v>
      </c>
      <c r="H3150" s="12">
        <v>0</v>
      </c>
      <c r="I3150" s="12">
        <v>0</v>
      </c>
      <c r="J3150" s="9" t="s">
        <v>3</v>
      </c>
      <c r="K3150" s="8">
        <v>0</v>
      </c>
    </row>
    <row r="3151" spans="1:11">
      <c r="A3151" s="2" t="s">
        <v>607</v>
      </c>
      <c r="B3151" s="2" t="s">
        <v>2401</v>
      </c>
      <c r="C3151" s="9">
        <v>40050417</v>
      </c>
      <c r="D3151" s="2" t="s">
        <v>4589</v>
      </c>
      <c r="E3151" s="10">
        <v>6</v>
      </c>
      <c r="F3151" s="9" t="s">
        <v>4571</v>
      </c>
      <c r="G3151" s="11">
        <v>46238</v>
      </c>
      <c r="H3151" s="12">
        <v>0</v>
      </c>
      <c r="I3151" s="12">
        <v>0</v>
      </c>
      <c r="J3151" s="9" t="s">
        <v>3</v>
      </c>
      <c r="K3151" s="8">
        <v>0</v>
      </c>
    </row>
    <row r="3152" spans="1:11">
      <c r="A3152" s="2" t="s">
        <v>607</v>
      </c>
      <c r="B3152" s="2" t="s">
        <v>2401</v>
      </c>
      <c r="C3152" s="9">
        <v>40050418</v>
      </c>
      <c r="D3152" s="2" t="s">
        <v>4590</v>
      </c>
      <c r="E3152" s="10">
        <v>6</v>
      </c>
      <c r="F3152" s="9" t="s">
        <v>4571</v>
      </c>
      <c r="G3152" s="11">
        <v>46238</v>
      </c>
      <c r="H3152" s="12">
        <v>0</v>
      </c>
      <c r="I3152" s="12">
        <v>0</v>
      </c>
      <c r="J3152" s="9" t="s">
        <v>3</v>
      </c>
      <c r="K3152" s="8">
        <v>0</v>
      </c>
    </row>
    <row r="3153" spans="1:11">
      <c r="A3153" s="2" t="s">
        <v>607</v>
      </c>
      <c r="B3153" s="2" t="s">
        <v>2401</v>
      </c>
      <c r="C3153" s="9">
        <v>40050421</v>
      </c>
      <c r="D3153" s="2" t="s">
        <v>4591</v>
      </c>
      <c r="E3153" s="10">
        <v>6</v>
      </c>
      <c r="F3153" s="9" t="s">
        <v>4571</v>
      </c>
      <c r="G3153" s="11">
        <v>46238</v>
      </c>
      <c r="H3153" s="12">
        <v>0</v>
      </c>
      <c r="I3153" s="12">
        <v>0</v>
      </c>
      <c r="J3153" s="9" t="s">
        <v>3</v>
      </c>
      <c r="K3153" s="8">
        <v>0</v>
      </c>
    </row>
    <row r="3154" spans="1:11">
      <c r="A3154" s="2" t="s">
        <v>607</v>
      </c>
      <c r="B3154" s="2" t="s">
        <v>2401</v>
      </c>
      <c r="C3154" s="9">
        <v>40050426</v>
      </c>
      <c r="D3154" s="2" t="s">
        <v>4592</v>
      </c>
      <c r="E3154" s="10">
        <v>1</v>
      </c>
      <c r="F3154" s="9" t="s">
        <v>4578</v>
      </c>
      <c r="G3154" s="11">
        <v>46238</v>
      </c>
      <c r="H3154" s="12">
        <v>0</v>
      </c>
      <c r="I3154" s="12">
        <v>0</v>
      </c>
      <c r="J3154" s="9" t="s">
        <v>3</v>
      </c>
      <c r="K3154" s="8">
        <v>0</v>
      </c>
    </row>
    <row r="3155" spans="1:11">
      <c r="A3155" s="2" t="s">
        <v>607</v>
      </c>
      <c r="B3155" s="2" t="s">
        <v>2401</v>
      </c>
      <c r="C3155" s="9">
        <v>40050429</v>
      </c>
      <c r="D3155" s="2" t="s">
        <v>4593</v>
      </c>
      <c r="E3155" s="10">
        <v>1</v>
      </c>
      <c r="F3155" s="9" t="s">
        <v>4578</v>
      </c>
      <c r="G3155" s="11">
        <v>46238</v>
      </c>
      <c r="H3155" s="12">
        <v>0</v>
      </c>
      <c r="I3155" s="12">
        <v>0</v>
      </c>
      <c r="J3155" s="9" t="s">
        <v>3</v>
      </c>
      <c r="K3155" s="8">
        <v>0</v>
      </c>
    </row>
    <row r="3156" spans="1:11">
      <c r="A3156" s="2" t="s">
        <v>607</v>
      </c>
      <c r="B3156" s="2" t="s">
        <v>2401</v>
      </c>
      <c r="C3156" s="9">
        <v>40050432</v>
      </c>
      <c r="D3156" s="2" t="s">
        <v>4594</v>
      </c>
      <c r="E3156" s="10">
        <v>1</v>
      </c>
      <c r="F3156" s="9" t="s">
        <v>4578</v>
      </c>
      <c r="G3156" s="11">
        <v>46238</v>
      </c>
      <c r="H3156" s="12">
        <v>0</v>
      </c>
      <c r="I3156" s="12">
        <v>0</v>
      </c>
      <c r="J3156" s="9" t="s">
        <v>3</v>
      </c>
      <c r="K3156" s="8">
        <v>0</v>
      </c>
    </row>
    <row r="3157" spans="1:11">
      <c r="A3157" s="2" t="s">
        <v>607</v>
      </c>
      <c r="B3157" s="2" t="s">
        <v>2401</v>
      </c>
      <c r="C3157" s="9">
        <v>40050433</v>
      </c>
      <c r="D3157" s="2" t="s">
        <v>4595</v>
      </c>
      <c r="E3157" s="10">
        <v>1</v>
      </c>
      <c r="F3157" s="9" t="s">
        <v>4578</v>
      </c>
      <c r="G3157" s="11">
        <v>46238</v>
      </c>
      <c r="H3157" s="12">
        <v>0</v>
      </c>
      <c r="I3157" s="12">
        <v>0</v>
      </c>
      <c r="J3157" s="9" t="s">
        <v>3</v>
      </c>
      <c r="K3157" s="8">
        <v>0</v>
      </c>
    </row>
    <row r="3158" spans="1:11">
      <c r="A3158" s="2" t="s">
        <v>607</v>
      </c>
      <c r="B3158" s="2" t="s">
        <v>2401</v>
      </c>
      <c r="C3158" s="9">
        <v>40050438</v>
      </c>
      <c r="D3158" s="2" t="s">
        <v>4596</v>
      </c>
      <c r="E3158" s="10">
        <v>6</v>
      </c>
      <c r="F3158" s="9" t="s">
        <v>4571</v>
      </c>
      <c r="G3158" s="11">
        <v>46238</v>
      </c>
      <c r="H3158" s="12">
        <v>0</v>
      </c>
      <c r="I3158" s="12">
        <v>0</v>
      </c>
      <c r="J3158" s="9" t="s">
        <v>3</v>
      </c>
      <c r="K3158" s="8">
        <v>0</v>
      </c>
    </row>
    <row r="3159" spans="1:11">
      <c r="A3159" s="2" t="s">
        <v>1255</v>
      </c>
      <c r="B3159" s="2" t="s">
        <v>3130</v>
      </c>
      <c r="C3159" s="9">
        <v>40063108</v>
      </c>
      <c r="D3159" s="2" t="s">
        <v>4597</v>
      </c>
      <c r="E3159" s="10">
        <v>1</v>
      </c>
      <c r="F3159" s="9" t="s">
        <v>4571</v>
      </c>
      <c r="G3159" s="11">
        <v>46238</v>
      </c>
      <c r="H3159" s="12">
        <v>0</v>
      </c>
      <c r="I3159" s="12">
        <v>0</v>
      </c>
      <c r="J3159" s="9" t="s">
        <v>3</v>
      </c>
      <c r="K3159" s="8">
        <v>0</v>
      </c>
    </row>
    <row r="3160" spans="1:11">
      <c r="A3160" s="2" t="s">
        <v>1255</v>
      </c>
      <c r="B3160" s="2" t="s">
        <v>3130</v>
      </c>
      <c r="C3160" s="9">
        <v>40063109</v>
      </c>
      <c r="D3160" s="2" t="s">
        <v>4598</v>
      </c>
      <c r="E3160" s="10">
        <v>1</v>
      </c>
      <c r="F3160" s="9" t="s">
        <v>4571</v>
      </c>
      <c r="G3160" s="11">
        <v>46238</v>
      </c>
      <c r="H3160" s="12">
        <v>0</v>
      </c>
      <c r="I3160" s="12">
        <v>0</v>
      </c>
      <c r="J3160" s="9" t="s">
        <v>3</v>
      </c>
      <c r="K3160" s="8">
        <v>0</v>
      </c>
    </row>
    <row r="3161" spans="1:11">
      <c r="A3161" s="2" t="s">
        <v>949</v>
      </c>
      <c r="B3161" s="2" t="s">
        <v>1003</v>
      </c>
      <c r="C3161" s="9">
        <v>40067612</v>
      </c>
      <c r="D3161" s="2" t="s">
        <v>4599</v>
      </c>
      <c r="E3161" s="10">
        <v>1</v>
      </c>
      <c r="F3161" s="9" t="s">
        <v>3247</v>
      </c>
      <c r="G3161" s="11">
        <v>46238</v>
      </c>
      <c r="H3161" s="12">
        <v>0</v>
      </c>
      <c r="I3161" s="12">
        <v>0</v>
      </c>
      <c r="J3161" s="9" t="s">
        <v>3</v>
      </c>
      <c r="K3161" s="8">
        <v>0</v>
      </c>
    </row>
    <row r="3162" spans="1:11">
      <c r="A3162" s="2" t="s">
        <v>2740</v>
      </c>
      <c r="B3162" s="2" t="s">
        <v>3441</v>
      </c>
      <c r="C3162" s="9">
        <v>40076725</v>
      </c>
      <c r="D3162" s="2" t="s">
        <v>4600</v>
      </c>
      <c r="E3162" s="10">
        <v>1</v>
      </c>
      <c r="F3162" s="9" t="s">
        <v>4409</v>
      </c>
      <c r="G3162" s="11">
        <v>46238</v>
      </c>
      <c r="H3162" s="12">
        <v>0</v>
      </c>
      <c r="I3162" s="12">
        <v>0</v>
      </c>
      <c r="J3162" s="9" t="s">
        <v>3</v>
      </c>
      <c r="K3162" s="8">
        <v>0</v>
      </c>
    </row>
    <row r="3163" spans="1:11">
      <c r="A3163" s="2" t="s">
        <v>2740</v>
      </c>
      <c r="B3163" s="2" t="s">
        <v>3441</v>
      </c>
      <c r="C3163" s="9">
        <v>40076726</v>
      </c>
      <c r="D3163" s="2" t="s">
        <v>4601</v>
      </c>
      <c r="E3163" s="10">
        <v>1</v>
      </c>
      <c r="F3163" s="9" t="s">
        <v>4409</v>
      </c>
      <c r="G3163" s="11">
        <v>46238</v>
      </c>
      <c r="H3163" s="12">
        <v>0</v>
      </c>
      <c r="I3163" s="12">
        <v>0</v>
      </c>
      <c r="J3163" s="9" t="s">
        <v>3</v>
      </c>
      <c r="K3163" s="8">
        <v>0</v>
      </c>
    </row>
    <row r="3164" spans="1:11">
      <c r="A3164" s="2" t="s">
        <v>2740</v>
      </c>
      <c r="B3164" s="2" t="s">
        <v>3441</v>
      </c>
      <c r="C3164" s="9">
        <v>40076730</v>
      </c>
      <c r="D3164" s="2" t="s">
        <v>4602</v>
      </c>
      <c r="E3164" s="10">
        <v>1</v>
      </c>
      <c r="F3164" s="9" t="s">
        <v>4409</v>
      </c>
      <c r="G3164" s="11">
        <v>46238</v>
      </c>
      <c r="H3164" s="12">
        <v>0</v>
      </c>
      <c r="I3164" s="12">
        <v>0</v>
      </c>
      <c r="J3164" s="9" t="s">
        <v>3</v>
      </c>
      <c r="K3164" s="8">
        <v>0</v>
      </c>
    </row>
    <row r="3165" spans="1:11">
      <c r="A3165" s="2" t="s">
        <v>2740</v>
      </c>
      <c r="B3165" s="2" t="s">
        <v>3441</v>
      </c>
      <c r="C3165" s="9">
        <v>40076732</v>
      </c>
      <c r="D3165" s="2" t="s">
        <v>4603</v>
      </c>
      <c r="E3165" s="10">
        <v>1</v>
      </c>
      <c r="F3165" s="9" t="s">
        <v>4409</v>
      </c>
      <c r="G3165" s="11">
        <v>46238</v>
      </c>
      <c r="H3165" s="12">
        <v>0</v>
      </c>
      <c r="I3165" s="12">
        <v>0</v>
      </c>
      <c r="J3165" s="9" t="s">
        <v>3</v>
      </c>
      <c r="K3165" s="8">
        <v>0</v>
      </c>
    </row>
    <row r="3166" spans="1:11">
      <c r="A3166" s="2" t="s">
        <v>2740</v>
      </c>
      <c r="B3166" s="2" t="s">
        <v>3441</v>
      </c>
      <c r="C3166" s="9">
        <v>40076733</v>
      </c>
      <c r="D3166" s="2" t="s">
        <v>4604</v>
      </c>
      <c r="E3166" s="10">
        <v>1</v>
      </c>
      <c r="F3166" s="9" t="s">
        <v>4409</v>
      </c>
      <c r="G3166" s="11">
        <v>46238</v>
      </c>
      <c r="H3166" s="12">
        <v>0</v>
      </c>
      <c r="I3166" s="12">
        <v>0</v>
      </c>
      <c r="J3166" s="9" t="s">
        <v>3</v>
      </c>
      <c r="K3166" s="8">
        <v>0</v>
      </c>
    </row>
    <row r="3167" spans="1:11">
      <c r="A3167" s="2" t="s">
        <v>2740</v>
      </c>
      <c r="B3167" s="2" t="s">
        <v>3441</v>
      </c>
      <c r="C3167" s="9">
        <v>40076734</v>
      </c>
      <c r="D3167" s="2" t="s">
        <v>4605</v>
      </c>
      <c r="E3167" s="10">
        <v>1</v>
      </c>
      <c r="F3167" s="9" t="s">
        <v>4409</v>
      </c>
      <c r="G3167" s="11">
        <v>46238</v>
      </c>
      <c r="H3167" s="12">
        <v>0</v>
      </c>
      <c r="I3167" s="12">
        <v>0</v>
      </c>
      <c r="J3167" s="9" t="s">
        <v>3</v>
      </c>
      <c r="K3167" s="8">
        <v>0</v>
      </c>
    </row>
    <row r="3168" spans="1:11">
      <c r="A3168" s="2" t="s">
        <v>2740</v>
      </c>
      <c r="B3168" s="2" t="s">
        <v>3441</v>
      </c>
      <c r="C3168" s="9">
        <v>40076736</v>
      </c>
      <c r="D3168" s="2" t="s">
        <v>4606</v>
      </c>
      <c r="E3168" s="10">
        <v>1</v>
      </c>
      <c r="F3168" s="9" t="s">
        <v>4409</v>
      </c>
      <c r="G3168" s="11">
        <v>46238</v>
      </c>
      <c r="H3168" s="12">
        <v>0</v>
      </c>
      <c r="I3168" s="12">
        <v>0</v>
      </c>
      <c r="J3168" s="9" t="s">
        <v>3</v>
      </c>
      <c r="K3168" s="8">
        <v>0</v>
      </c>
    </row>
    <row r="3169" spans="1:11">
      <c r="A3169" s="2" t="s">
        <v>2740</v>
      </c>
      <c r="B3169" s="2" t="s">
        <v>3441</v>
      </c>
      <c r="C3169" s="9">
        <v>40076737</v>
      </c>
      <c r="D3169" s="2" t="s">
        <v>4607</v>
      </c>
      <c r="E3169" s="10">
        <v>1</v>
      </c>
      <c r="F3169" s="9" t="s">
        <v>4409</v>
      </c>
      <c r="G3169" s="11">
        <v>46238</v>
      </c>
      <c r="H3169" s="12">
        <v>0</v>
      </c>
      <c r="I3169" s="12">
        <v>0</v>
      </c>
      <c r="J3169" s="9" t="s">
        <v>3</v>
      </c>
      <c r="K3169" s="8">
        <v>0</v>
      </c>
    </row>
    <row r="3170" spans="1:11">
      <c r="A3170" s="2" t="s">
        <v>2740</v>
      </c>
      <c r="B3170" s="2" t="s">
        <v>3441</v>
      </c>
      <c r="C3170" s="9">
        <v>40076738</v>
      </c>
      <c r="D3170" s="2" t="s">
        <v>4608</v>
      </c>
      <c r="E3170" s="10">
        <v>1</v>
      </c>
      <c r="F3170" s="9" t="s">
        <v>4409</v>
      </c>
      <c r="G3170" s="11">
        <v>46238</v>
      </c>
      <c r="H3170" s="12">
        <v>0</v>
      </c>
      <c r="I3170" s="12">
        <v>0</v>
      </c>
      <c r="J3170" s="9" t="s">
        <v>3</v>
      </c>
      <c r="K3170" s="8">
        <v>0</v>
      </c>
    </row>
    <row r="3171" spans="1:11">
      <c r="A3171" s="2" t="s">
        <v>2740</v>
      </c>
      <c r="B3171" s="2" t="s">
        <v>3441</v>
      </c>
      <c r="C3171" s="9">
        <v>40076739</v>
      </c>
      <c r="D3171" s="2" t="s">
        <v>4609</v>
      </c>
      <c r="E3171" s="10">
        <v>1</v>
      </c>
      <c r="F3171" s="9" t="s">
        <v>4409</v>
      </c>
      <c r="G3171" s="11">
        <v>46238</v>
      </c>
      <c r="H3171" s="12">
        <v>0</v>
      </c>
      <c r="I3171" s="12">
        <v>0</v>
      </c>
      <c r="J3171" s="9" t="s">
        <v>3</v>
      </c>
      <c r="K3171" s="8">
        <v>0</v>
      </c>
    </row>
    <row r="3172" spans="1:11">
      <c r="A3172" s="2" t="s">
        <v>2740</v>
      </c>
      <c r="B3172" s="2" t="s">
        <v>3441</v>
      </c>
      <c r="C3172" s="9">
        <v>40076752</v>
      </c>
      <c r="D3172" s="2" t="s">
        <v>4610</v>
      </c>
      <c r="E3172" s="10">
        <v>1</v>
      </c>
      <c r="F3172" s="9" t="s">
        <v>4409</v>
      </c>
      <c r="G3172" s="11">
        <v>46238</v>
      </c>
      <c r="H3172" s="12">
        <v>0</v>
      </c>
      <c r="I3172" s="12">
        <v>0</v>
      </c>
      <c r="J3172" s="9" t="s">
        <v>3</v>
      </c>
      <c r="K3172" s="8">
        <v>0</v>
      </c>
    </row>
    <row r="3173" spans="1:11">
      <c r="A3173" s="2" t="s">
        <v>2740</v>
      </c>
      <c r="B3173" s="2" t="s">
        <v>3441</v>
      </c>
      <c r="C3173" s="9">
        <v>40076760</v>
      </c>
      <c r="D3173" s="2" t="s">
        <v>4611</v>
      </c>
      <c r="E3173" s="10">
        <v>1</v>
      </c>
      <c r="F3173" s="9" t="s">
        <v>4409</v>
      </c>
      <c r="G3173" s="11">
        <v>46238</v>
      </c>
      <c r="H3173" s="12">
        <v>0</v>
      </c>
      <c r="I3173" s="12">
        <v>0</v>
      </c>
      <c r="J3173" s="9" t="s">
        <v>3</v>
      </c>
      <c r="K3173" s="8">
        <v>0</v>
      </c>
    </row>
    <row r="3174" spans="1:11">
      <c r="A3174" s="2" t="s">
        <v>3583</v>
      </c>
      <c r="B3174" s="2" t="s">
        <v>3584</v>
      </c>
      <c r="C3174" s="9">
        <v>40080337</v>
      </c>
      <c r="D3174" s="2" t="s">
        <v>4612</v>
      </c>
      <c r="E3174" s="10">
        <v>1</v>
      </c>
      <c r="F3174" s="9" t="s">
        <v>4521</v>
      </c>
      <c r="G3174" s="11">
        <v>46238</v>
      </c>
      <c r="H3174" s="12">
        <v>0</v>
      </c>
      <c r="I3174" s="12">
        <v>0</v>
      </c>
      <c r="J3174" s="9" t="s">
        <v>3</v>
      </c>
      <c r="K3174" s="8">
        <v>0</v>
      </c>
    </row>
    <row r="3175" spans="1:11">
      <c r="A3175" s="2" t="s">
        <v>3546</v>
      </c>
      <c r="B3175" s="2" t="s">
        <v>3547</v>
      </c>
      <c r="C3175" s="9">
        <v>40080663</v>
      </c>
      <c r="D3175" s="2" t="s">
        <v>4613</v>
      </c>
      <c r="E3175" s="10">
        <v>1</v>
      </c>
      <c r="F3175" s="9" t="s">
        <v>4614</v>
      </c>
      <c r="G3175" s="11">
        <v>46238</v>
      </c>
      <c r="H3175" s="12">
        <v>0</v>
      </c>
      <c r="I3175" s="12">
        <v>0</v>
      </c>
      <c r="J3175" s="9" t="s">
        <v>3</v>
      </c>
      <c r="K3175" s="8">
        <v>0</v>
      </c>
    </row>
    <row r="3176" spans="1:11">
      <c r="A3176" s="2" t="s">
        <v>3546</v>
      </c>
      <c r="B3176" s="2" t="s">
        <v>3547</v>
      </c>
      <c r="C3176" s="9">
        <v>40080664</v>
      </c>
      <c r="D3176" s="2" t="s">
        <v>4615</v>
      </c>
      <c r="E3176" s="10">
        <v>1</v>
      </c>
      <c r="F3176" s="9" t="s">
        <v>4614</v>
      </c>
      <c r="G3176" s="11">
        <v>46238</v>
      </c>
      <c r="H3176" s="12">
        <v>0</v>
      </c>
      <c r="I3176" s="12">
        <v>0</v>
      </c>
      <c r="J3176" s="9" t="s">
        <v>3</v>
      </c>
      <c r="K3176" s="8">
        <v>0</v>
      </c>
    </row>
    <row r="3177" spans="1:11">
      <c r="A3177" s="2" t="s">
        <v>2740</v>
      </c>
      <c r="B3177" s="2" t="s">
        <v>3728</v>
      </c>
      <c r="C3177" s="9">
        <v>40083449</v>
      </c>
      <c r="D3177" s="2" t="s">
        <v>4616</v>
      </c>
      <c r="E3177" s="10">
        <v>1</v>
      </c>
      <c r="F3177" s="9" t="s">
        <v>4617</v>
      </c>
      <c r="G3177" s="11">
        <v>46238</v>
      </c>
      <c r="H3177" s="12">
        <v>0</v>
      </c>
      <c r="I3177" s="12">
        <v>0</v>
      </c>
      <c r="J3177" s="9" t="s">
        <v>3</v>
      </c>
      <c r="K3177" s="8">
        <v>0</v>
      </c>
    </row>
    <row r="3178" spans="1:11">
      <c r="A3178" s="2" t="s">
        <v>2740</v>
      </c>
      <c r="B3178" s="2" t="s">
        <v>3644</v>
      </c>
      <c r="C3178" s="9">
        <v>40099020</v>
      </c>
      <c r="D3178" s="2" t="s">
        <v>4618</v>
      </c>
      <c r="E3178" s="10">
        <v>1</v>
      </c>
      <c r="F3178" s="9" t="s">
        <v>4571</v>
      </c>
      <c r="G3178" s="11">
        <v>46238</v>
      </c>
      <c r="H3178" s="12">
        <v>0</v>
      </c>
      <c r="I3178" s="12">
        <v>0</v>
      </c>
      <c r="J3178" s="9" t="s">
        <v>3</v>
      </c>
      <c r="K3178" s="8">
        <v>0</v>
      </c>
    </row>
    <row r="3179" spans="1:11">
      <c r="A3179" s="2" t="s">
        <v>2740</v>
      </c>
      <c r="B3179" s="2" t="s">
        <v>3644</v>
      </c>
      <c r="C3179" s="9">
        <v>40099021</v>
      </c>
      <c r="D3179" s="2" t="s">
        <v>4619</v>
      </c>
      <c r="E3179" s="10">
        <v>1</v>
      </c>
      <c r="F3179" s="9" t="s">
        <v>4571</v>
      </c>
      <c r="G3179" s="11">
        <v>46238</v>
      </c>
      <c r="H3179" s="12">
        <v>0</v>
      </c>
      <c r="I3179" s="12">
        <v>0</v>
      </c>
      <c r="J3179" s="9" t="s">
        <v>3</v>
      </c>
      <c r="K3179" s="8">
        <v>0</v>
      </c>
    </row>
    <row r="3180" spans="1:11">
      <c r="A3180" s="2" t="s">
        <v>2740</v>
      </c>
      <c r="B3180" s="2" t="s">
        <v>3644</v>
      </c>
      <c r="C3180" s="9">
        <v>40099022</v>
      </c>
      <c r="D3180" s="2" t="s">
        <v>4620</v>
      </c>
      <c r="E3180" s="10">
        <v>1</v>
      </c>
      <c r="F3180" s="9" t="s">
        <v>4571</v>
      </c>
      <c r="G3180" s="11">
        <v>46238</v>
      </c>
      <c r="H3180" s="12">
        <v>0</v>
      </c>
      <c r="I3180" s="12">
        <v>0</v>
      </c>
      <c r="J3180" s="9" t="s">
        <v>3</v>
      </c>
      <c r="K3180" s="8">
        <v>0</v>
      </c>
    </row>
    <row r="3181" spans="1:11">
      <c r="A3181" s="2" t="s">
        <v>2740</v>
      </c>
      <c r="B3181" s="2" t="s">
        <v>3644</v>
      </c>
      <c r="C3181" s="9">
        <v>40099023</v>
      </c>
      <c r="D3181" s="2" t="s">
        <v>4621</v>
      </c>
      <c r="E3181" s="10">
        <v>1</v>
      </c>
      <c r="F3181" s="9" t="s">
        <v>4571</v>
      </c>
      <c r="G3181" s="11">
        <v>46238</v>
      </c>
      <c r="H3181" s="12">
        <v>0</v>
      </c>
      <c r="I3181" s="12">
        <v>0</v>
      </c>
      <c r="J3181" s="9" t="s">
        <v>3</v>
      </c>
      <c r="K3181" s="8">
        <v>0</v>
      </c>
    </row>
    <row r="3182" spans="1:11">
      <c r="A3182" s="2" t="s">
        <v>2740</v>
      </c>
      <c r="B3182" s="2" t="s">
        <v>3644</v>
      </c>
      <c r="C3182" s="9">
        <v>40099024</v>
      </c>
      <c r="D3182" s="2" t="s">
        <v>4622</v>
      </c>
      <c r="E3182" s="10">
        <v>1</v>
      </c>
      <c r="F3182" s="9" t="s">
        <v>4571</v>
      </c>
      <c r="G3182" s="11">
        <v>46238</v>
      </c>
      <c r="H3182" s="12">
        <v>0</v>
      </c>
      <c r="I3182" s="12">
        <v>0</v>
      </c>
      <c r="J3182" s="9" t="s">
        <v>3</v>
      </c>
      <c r="K3182" s="8">
        <v>0</v>
      </c>
    </row>
    <row r="3183" spans="1:11">
      <c r="A3183" s="2" t="s">
        <v>2740</v>
      </c>
      <c r="B3183" s="2" t="s">
        <v>3644</v>
      </c>
      <c r="C3183" s="9">
        <v>40099025</v>
      </c>
      <c r="D3183" s="2" t="s">
        <v>4623</v>
      </c>
      <c r="E3183" s="10">
        <v>1</v>
      </c>
      <c r="F3183" s="9" t="s">
        <v>4571</v>
      </c>
      <c r="G3183" s="11">
        <v>46238</v>
      </c>
      <c r="H3183" s="12">
        <v>0</v>
      </c>
      <c r="I3183" s="12">
        <v>0</v>
      </c>
      <c r="J3183" s="9" t="s">
        <v>3</v>
      </c>
      <c r="K3183" s="8">
        <v>0</v>
      </c>
    </row>
    <row r="3184" spans="1:11">
      <c r="A3184" s="2" t="s">
        <v>2740</v>
      </c>
      <c r="B3184" s="2" t="s">
        <v>3644</v>
      </c>
      <c r="C3184" s="9">
        <v>40099026</v>
      </c>
      <c r="D3184" s="2" t="s">
        <v>4624</v>
      </c>
      <c r="E3184" s="10">
        <v>1</v>
      </c>
      <c r="F3184" s="9" t="s">
        <v>4571</v>
      </c>
      <c r="G3184" s="11">
        <v>46238</v>
      </c>
      <c r="H3184" s="12">
        <v>0</v>
      </c>
      <c r="I3184" s="12">
        <v>0</v>
      </c>
      <c r="J3184" s="9" t="s">
        <v>3</v>
      </c>
      <c r="K3184" s="8">
        <v>0</v>
      </c>
    </row>
    <row r="3185" spans="1:11">
      <c r="A3185" s="2" t="s">
        <v>2740</v>
      </c>
      <c r="B3185" s="2" t="s">
        <v>3644</v>
      </c>
      <c r="C3185" s="9">
        <v>40099027</v>
      </c>
      <c r="D3185" s="2" t="s">
        <v>4625</v>
      </c>
      <c r="E3185" s="10">
        <v>1</v>
      </c>
      <c r="F3185" s="9" t="s">
        <v>4571</v>
      </c>
      <c r="G3185" s="11">
        <v>46238</v>
      </c>
      <c r="H3185" s="12">
        <v>0</v>
      </c>
      <c r="I3185" s="12">
        <v>0</v>
      </c>
      <c r="J3185" s="9" t="s">
        <v>3</v>
      </c>
      <c r="K3185" s="8">
        <v>0</v>
      </c>
    </row>
    <row r="3186" spans="1:11">
      <c r="A3186" s="2" t="s">
        <v>2740</v>
      </c>
      <c r="B3186" s="2" t="s">
        <v>3644</v>
      </c>
      <c r="C3186" s="9">
        <v>40099028</v>
      </c>
      <c r="D3186" s="2" t="s">
        <v>4626</v>
      </c>
      <c r="E3186" s="10">
        <v>1</v>
      </c>
      <c r="F3186" s="9" t="s">
        <v>4571</v>
      </c>
      <c r="G3186" s="11">
        <v>46238</v>
      </c>
      <c r="H3186" s="12">
        <v>0</v>
      </c>
      <c r="I3186" s="12">
        <v>0</v>
      </c>
      <c r="J3186" s="9" t="s">
        <v>3</v>
      </c>
      <c r="K3186" s="8">
        <v>0</v>
      </c>
    </row>
    <row r="3187" spans="1:11">
      <c r="A3187" s="2" t="s">
        <v>2740</v>
      </c>
      <c r="B3187" s="2" t="s">
        <v>3644</v>
      </c>
      <c r="C3187" s="9">
        <v>40099029</v>
      </c>
      <c r="D3187" s="2" t="s">
        <v>4627</v>
      </c>
      <c r="E3187" s="10">
        <v>1</v>
      </c>
      <c r="F3187" s="9" t="s">
        <v>4571</v>
      </c>
      <c r="G3187" s="11">
        <v>46238</v>
      </c>
      <c r="H3187" s="12">
        <v>0</v>
      </c>
      <c r="I3187" s="12">
        <v>0</v>
      </c>
      <c r="J3187" s="9" t="s">
        <v>3</v>
      </c>
      <c r="K3187" s="8">
        <v>0</v>
      </c>
    </row>
    <row r="3188" spans="1:11">
      <c r="A3188" s="2" t="s">
        <v>2740</v>
      </c>
      <c r="B3188" s="2" t="s">
        <v>3644</v>
      </c>
      <c r="C3188" s="9">
        <v>40099030</v>
      </c>
      <c r="D3188" s="2" t="s">
        <v>4628</v>
      </c>
      <c r="E3188" s="10">
        <v>1</v>
      </c>
      <c r="F3188" s="9" t="s">
        <v>4571</v>
      </c>
      <c r="G3188" s="11">
        <v>46238</v>
      </c>
      <c r="H3188" s="12">
        <v>0</v>
      </c>
      <c r="I3188" s="12">
        <v>0</v>
      </c>
      <c r="J3188" s="9" t="s">
        <v>3</v>
      </c>
      <c r="K3188" s="8">
        <v>0</v>
      </c>
    </row>
    <row r="3189" spans="1:11">
      <c r="A3189" s="2" t="s">
        <v>2740</v>
      </c>
      <c r="B3189" s="2" t="s">
        <v>3644</v>
      </c>
      <c r="C3189" s="9">
        <v>40099032</v>
      </c>
      <c r="D3189" s="2" t="s">
        <v>4629</v>
      </c>
      <c r="E3189" s="10">
        <v>1</v>
      </c>
      <c r="F3189" s="9" t="s">
        <v>4571</v>
      </c>
      <c r="G3189" s="11">
        <v>46238</v>
      </c>
      <c r="H3189" s="12">
        <v>0</v>
      </c>
      <c r="I3189" s="12">
        <v>0</v>
      </c>
      <c r="J3189" s="9" t="s">
        <v>3</v>
      </c>
      <c r="K3189" s="8">
        <v>0</v>
      </c>
    </row>
    <row r="3190" spans="1:11">
      <c r="A3190" s="2" t="s">
        <v>2740</v>
      </c>
      <c r="B3190" s="2" t="s">
        <v>3644</v>
      </c>
      <c r="C3190" s="9">
        <v>40099033</v>
      </c>
      <c r="D3190" s="2" t="s">
        <v>4630</v>
      </c>
      <c r="E3190" s="10">
        <v>1</v>
      </c>
      <c r="F3190" s="9" t="s">
        <v>4571</v>
      </c>
      <c r="G3190" s="11">
        <v>46238</v>
      </c>
      <c r="H3190" s="12">
        <v>0</v>
      </c>
      <c r="I3190" s="12">
        <v>0</v>
      </c>
      <c r="J3190" s="9" t="s">
        <v>3</v>
      </c>
      <c r="K3190" s="8">
        <v>0</v>
      </c>
    </row>
    <row r="3191" spans="1:11">
      <c r="A3191" s="2" t="s">
        <v>2740</v>
      </c>
      <c r="B3191" s="2" t="s">
        <v>3644</v>
      </c>
      <c r="C3191" s="9">
        <v>40099034</v>
      </c>
      <c r="D3191" s="2" t="s">
        <v>4631</v>
      </c>
      <c r="E3191" s="10">
        <v>1</v>
      </c>
      <c r="F3191" s="9" t="s">
        <v>4571</v>
      </c>
      <c r="G3191" s="11">
        <v>46238</v>
      </c>
      <c r="H3191" s="12">
        <v>0</v>
      </c>
      <c r="I3191" s="12">
        <v>0</v>
      </c>
      <c r="J3191" s="9" t="s">
        <v>3</v>
      </c>
      <c r="K3191" s="8">
        <v>0</v>
      </c>
    </row>
    <row r="3192" spans="1:11">
      <c r="A3192" s="2" t="s">
        <v>2740</v>
      </c>
      <c r="B3192" s="2" t="s">
        <v>3644</v>
      </c>
      <c r="C3192" s="9">
        <v>40099035</v>
      </c>
      <c r="D3192" s="2" t="s">
        <v>4632</v>
      </c>
      <c r="E3192" s="10">
        <v>1</v>
      </c>
      <c r="F3192" s="9" t="s">
        <v>4571</v>
      </c>
      <c r="G3192" s="11">
        <v>46238</v>
      </c>
      <c r="H3192" s="12">
        <v>0</v>
      </c>
      <c r="I3192" s="12">
        <v>0</v>
      </c>
      <c r="J3192" s="9" t="s">
        <v>3</v>
      </c>
      <c r="K3192" s="8">
        <v>0</v>
      </c>
    </row>
    <row r="3193" spans="1:11">
      <c r="A3193" s="2" t="s">
        <v>2740</v>
      </c>
      <c r="B3193" s="2" t="s">
        <v>3649</v>
      </c>
      <c r="C3193" s="9">
        <v>40099036</v>
      </c>
      <c r="D3193" s="2" t="s">
        <v>4633</v>
      </c>
      <c r="E3193" s="10">
        <v>1</v>
      </c>
      <c r="F3193" s="9" t="s">
        <v>4571</v>
      </c>
      <c r="G3193" s="11">
        <v>46238</v>
      </c>
      <c r="H3193" s="12">
        <v>0</v>
      </c>
      <c r="I3193" s="12">
        <v>0</v>
      </c>
      <c r="J3193" s="9" t="s">
        <v>3</v>
      </c>
      <c r="K3193" s="8">
        <v>0</v>
      </c>
    </row>
    <row r="3194" spans="1:11">
      <c r="A3194" s="2" t="s">
        <v>2740</v>
      </c>
      <c r="B3194" s="2" t="s">
        <v>3649</v>
      </c>
      <c r="C3194" s="9">
        <v>40099037</v>
      </c>
      <c r="D3194" s="2" t="s">
        <v>4634</v>
      </c>
      <c r="E3194" s="10">
        <v>1</v>
      </c>
      <c r="F3194" s="9" t="s">
        <v>4571</v>
      </c>
      <c r="G3194" s="11">
        <v>46238</v>
      </c>
      <c r="H3194" s="12">
        <v>0</v>
      </c>
      <c r="I3194" s="12">
        <v>0</v>
      </c>
      <c r="J3194" s="9" t="s">
        <v>3</v>
      </c>
      <c r="K3194" s="8">
        <v>0</v>
      </c>
    </row>
    <row r="3195" spans="1:11">
      <c r="A3195" s="2" t="s">
        <v>2740</v>
      </c>
      <c r="B3195" s="2" t="s">
        <v>3649</v>
      </c>
      <c r="C3195" s="9">
        <v>40099038</v>
      </c>
      <c r="D3195" s="2" t="s">
        <v>4635</v>
      </c>
      <c r="E3195" s="10">
        <v>1</v>
      </c>
      <c r="F3195" s="9" t="s">
        <v>4571</v>
      </c>
      <c r="G3195" s="11">
        <v>46238</v>
      </c>
      <c r="H3195" s="12">
        <v>0</v>
      </c>
      <c r="I3195" s="12">
        <v>0</v>
      </c>
      <c r="J3195" s="9" t="s">
        <v>3</v>
      </c>
      <c r="K3195" s="8">
        <v>0</v>
      </c>
    </row>
    <row r="3196" spans="1:11">
      <c r="A3196" s="2" t="s">
        <v>2740</v>
      </c>
      <c r="B3196" s="2" t="s">
        <v>3649</v>
      </c>
      <c r="C3196" s="9">
        <v>40099039</v>
      </c>
      <c r="D3196" s="2" t="s">
        <v>4636</v>
      </c>
      <c r="E3196" s="10">
        <v>1</v>
      </c>
      <c r="F3196" s="9" t="s">
        <v>4571</v>
      </c>
      <c r="G3196" s="11">
        <v>46238</v>
      </c>
      <c r="H3196" s="12">
        <v>0</v>
      </c>
      <c r="I3196" s="12">
        <v>0</v>
      </c>
      <c r="J3196" s="9" t="s">
        <v>3</v>
      </c>
      <c r="K3196" s="8">
        <v>0</v>
      </c>
    </row>
    <row r="3197" spans="1:11">
      <c r="A3197" s="2" t="s">
        <v>2740</v>
      </c>
      <c r="B3197" s="2" t="s">
        <v>3649</v>
      </c>
      <c r="C3197" s="9">
        <v>40099040</v>
      </c>
      <c r="D3197" s="2" t="s">
        <v>4637</v>
      </c>
      <c r="E3197" s="10">
        <v>1</v>
      </c>
      <c r="F3197" s="9" t="s">
        <v>4571</v>
      </c>
      <c r="G3197" s="11">
        <v>46238</v>
      </c>
      <c r="H3197" s="12">
        <v>0</v>
      </c>
      <c r="I3197" s="12">
        <v>0</v>
      </c>
      <c r="J3197" s="9" t="s">
        <v>3</v>
      </c>
      <c r="K3197" s="8">
        <v>0</v>
      </c>
    </row>
    <row r="3198" spans="1:11">
      <c r="A3198" s="2" t="s">
        <v>2740</v>
      </c>
      <c r="B3198" s="2" t="s">
        <v>3649</v>
      </c>
      <c r="C3198" s="9">
        <v>40099042</v>
      </c>
      <c r="D3198" s="2" t="s">
        <v>4638</v>
      </c>
      <c r="E3198" s="10">
        <v>1</v>
      </c>
      <c r="F3198" s="9" t="s">
        <v>4571</v>
      </c>
      <c r="G3198" s="11">
        <v>46238</v>
      </c>
      <c r="H3198" s="12">
        <v>0</v>
      </c>
      <c r="I3198" s="12">
        <v>0</v>
      </c>
      <c r="J3198" s="9" t="s">
        <v>3</v>
      </c>
      <c r="K3198" s="8">
        <v>0</v>
      </c>
    </row>
    <row r="3199" spans="1:11">
      <c r="A3199" s="2" t="s">
        <v>2740</v>
      </c>
      <c r="B3199" s="2" t="s">
        <v>3728</v>
      </c>
      <c r="C3199" s="9">
        <v>40099413</v>
      </c>
      <c r="D3199" s="2" t="s">
        <v>4639</v>
      </c>
      <c r="E3199" s="10">
        <v>1</v>
      </c>
      <c r="F3199" s="9" t="s">
        <v>3730</v>
      </c>
      <c r="G3199" s="11">
        <v>46238</v>
      </c>
      <c r="H3199" s="12">
        <v>0</v>
      </c>
      <c r="I3199" s="12">
        <v>0</v>
      </c>
      <c r="J3199" s="9" t="s">
        <v>3</v>
      </c>
      <c r="K3199" s="8">
        <v>0</v>
      </c>
    </row>
    <row r="3200" spans="1:11">
      <c r="A3200" s="2" t="s">
        <v>687</v>
      </c>
      <c r="B3200" s="2" t="s">
        <v>4640</v>
      </c>
      <c r="C3200" s="9">
        <v>40099965</v>
      </c>
      <c r="D3200" s="2" t="s">
        <v>4641</v>
      </c>
      <c r="E3200" s="10">
        <v>1</v>
      </c>
      <c r="F3200" s="9" t="s">
        <v>4578</v>
      </c>
      <c r="G3200" s="11">
        <v>46238</v>
      </c>
      <c r="H3200" s="12">
        <v>0</v>
      </c>
      <c r="I3200" s="12">
        <v>0</v>
      </c>
      <c r="J3200" s="9" t="s">
        <v>3</v>
      </c>
      <c r="K3200" s="8">
        <v>0</v>
      </c>
    </row>
    <row r="3201" spans="1:11">
      <c r="A3201" s="2" t="s">
        <v>687</v>
      </c>
      <c r="B3201" s="2" t="s">
        <v>4640</v>
      </c>
      <c r="C3201" s="9">
        <v>40099966</v>
      </c>
      <c r="D3201" s="2" t="s">
        <v>4642</v>
      </c>
      <c r="E3201" s="10">
        <v>1</v>
      </c>
      <c r="F3201" s="9" t="s">
        <v>4578</v>
      </c>
      <c r="G3201" s="11">
        <v>46238</v>
      </c>
      <c r="H3201" s="12">
        <v>0</v>
      </c>
      <c r="I3201" s="12">
        <v>0</v>
      </c>
      <c r="J3201" s="9" t="s">
        <v>3</v>
      </c>
      <c r="K3201" s="8">
        <v>0</v>
      </c>
    </row>
    <row r="3202" spans="1:11">
      <c r="A3202" s="2" t="s">
        <v>687</v>
      </c>
      <c r="B3202" s="2" t="s">
        <v>4640</v>
      </c>
      <c r="C3202" s="9">
        <v>40099967</v>
      </c>
      <c r="D3202" s="2" t="s">
        <v>4643</v>
      </c>
      <c r="E3202" s="10">
        <v>1</v>
      </c>
      <c r="F3202" s="9" t="s">
        <v>4578</v>
      </c>
      <c r="G3202" s="11">
        <v>46238</v>
      </c>
      <c r="H3202" s="12">
        <v>0</v>
      </c>
      <c r="I3202" s="12">
        <v>0</v>
      </c>
      <c r="J3202" s="9" t="s">
        <v>3</v>
      </c>
      <c r="K3202" s="8">
        <v>0</v>
      </c>
    </row>
    <row r="3203" spans="1:11">
      <c r="A3203" s="2" t="s">
        <v>687</v>
      </c>
      <c r="B3203" s="2" t="s">
        <v>4640</v>
      </c>
      <c r="C3203" s="9">
        <v>40099969</v>
      </c>
      <c r="D3203" s="2" t="s">
        <v>4644</v>
      </c>
      <c r="E3203" s="10">
        <v>1</v>
      </c>
      <c r="F3203" s="9" t="s">
        <v>4578</v>
      </c>
      <c r="G3203" s="11">
        <v>46238</v>
      </c>
      <c r="H3203" s="12">
        <v>0</v>
      </c>
      <c r="I3203" s="12">
        <v>0</v>
      </c>
      <c r="J3203" s="9" t="s">
        <v>3</v>
      </c>
      <c r="K3203" s="8">
        <v>0</v>
      </c>
    </row>
    <row r="3204" spans="1:11">
      <c r="A3204" s="2" t="s">
        <v>687</v>
      </c>
      <c r="B3204" s="2" t="s">
        <v>4640</v>
      </c>
      <c r="C3204" s="9">
        <v>40099970</v>
      </c>
      <c r="D3204" s="2" t="s">
        <v>4645</v>
      </c>
      <c r="E3204" s="10">
        <v>1</v>
      </c>
      <c r="F3204" s="9" t="s">
        <v>4578</v>
      </c>
      <c r="G3204" s="11">
        <v>46238</v>
      </c>
      <c r="H3204" s="12">
        <v>0</v>
      </c>
      <c r="I3204" s="12">
        <v>0</v>
      </c>
      <c r="J3204" s="9" t="s">
        <v>3</v>
      </c>
      <c r="K3204" s="8">
        <v>0</v>
      </c>
    </row>
    <row r="3205" spans="1:11">
      <c r="A3205" s="2" t="s">
        <v>687</v>
      </c>
      <c r="B3205" s="2" t="s">
        <v>4640</v>
      </c>
      <c r="C3205" s="9">
        <v>40099971</v>
      </c>
      <c r="D3205" s="2" t="s">
        <v>4646</v>
      </c>
      <c r="E3205" s="10">
        <v>1</v>
      </c>
      <c r="F3205" s="9" t="s">
        <v>4578</v>
      </c>
      <c r="G3205" s="11">
        <v>46238</v>
      </c>
      <c r="H3205" s="12">
        <v>0</v>
      </c>
      <c r="I3205" s="12">
        <v>0</v>
      </c>
      <c r="J3205" s="9" t="s">
        <v>3</v>
      </c>
      <c r="K3205" s="8">
        <v>0</v>
      </c>
    </row>
    <row r="3206" spans="1:11">
      <c r="A3206" s="2" t="s">
        <v>687</v>
      </c>
      <c r="B3206" s="2" t="s">
        <v>4640</v>
      </c>
      <c r="C3206" s="9">
        <v>40099973</v>
      </c>
      <c r="D3206" s="2" t="s">
        <v>4647</v>
      </c>
      <c r="E3206" s="10">
        <v>1</v>
      </c>
      <c r="F3206" s="9" t="s">
        <v>4578</v>
      </c>
      <c r="G3206" s="11">
        <v>46238</v>
      </c>
      <c r="H3206" s="12">
        <v>0</v>
      </c>
      <c r="I3206" s="12">
        <v>0</v>
      </c>
      <c r="J3206" s="9" t="s">
        <v>3</v>
      </c>
      <c r="K3206" s="8">
        <v>0</v>
      </c>
    </row>
    <row r="3207" spans="1:11">
      <c r="A3207" s="2" t="s">
        <v>1246</v>
      </c>
      <c r="B3207" s="2" t="s">
        <v>1879</v>
      </c>
      <c r="C3207" s="9">
        <v>40100010</v>
      </c>
      <c r="D3207" s="2" t="s">
        <v>4648</v>
      </c>
      <c r="E3207" s="10">
        <v>1</v>
      </c>
      <c r="F3207" s="9" t="s">
        <v>4649</v>
      </c>
      <c r="G3207" s="11">
        <v>46238</v>
      </c>
      <c r="H3207" s="12">
        <v>0</v>
      </c>
      <c r="I3207" s="12">
        <v>0</v>
      </c>
      <c r="J3207" s="9" t="s">
        <v>3</v>
      </c>
      <c r="K3207" s="8">
        <v>0</v>
      </c>
    </row>
    <row r="3208" spans="1:11">
      <c r="A3208" s="2" t="s">
        <v>2740</v>
      </c>
      <c r="B3208" s="2" t="s">
        <v>3441</v>
      </c>
      <c r="C3208" s="9">
        <v>40100020</v>
      </c>
      <c r="D3208" s="2" t="s">
        <v>4650</v>
      </c>
      <c r="E3208" s="10">
        <v>1</v>
      </c>
      <c r="F3208" s="9" t="s">
        <v>4409</v>
      </c>
      <c r="G3208" s="11">
        <v>46238</v>
      </c>
      <c r="H3208" s="12">
        <v>0</v>
      </c>
      <c r="I3208" s="12">
        <v>0</v>
      </c>
      <c r="J3208" s="9" t="s">
        <v>3</v>
      </c>
      <c r="K3208" s="8">
        <v>0</v>
      </c>
    </row>
    <row r="3209" spans="1:11">
      <c r="A3209" s="2" t="s">
        <v>2740</v>
      </c>
      <c r="B3209" s="2" t="s">
        <v>3441</v>
      </c>
      <c r="C3209" s="9">
        <v>40100021</v>
      </c>
      <c r="D3209" s="2" t="s">
        <v>4651</v>
      </c>
      <c r="E3209" s="10">
        <v>1</v>
      </c>
      <c r="F3209" s="9" t="s">
        <v>4409</v>
      </c>
      <c r="G3209" s="11">
        <v>46238</v>
      </c>
      <c r="H3209" s="12">
        <v>0</v>
      </c>
      <c r="I3209" s="12">
        <v>0</v>
      </c>
      <c r="J3209" s="9" t="s">
        <v>3</v>
      </c>
      <c r="K3209" s="8">
        <v>0</v>
      </c>
    </row>
    <row r="3210" spans="1:11">
      <c r="A3210" s="2" t="s">
        <v>2740</v>
      </c>
      <c r="B3210" s="2" t="s">
        <v>3441</v>
      </c>
      <c r="C3210" s="9">
        <v>40100022</v>
      </c>
      <c r="D3210" s="2" t="s">
        <v>4652</v>
      </c>
      <c r="E3210" s="10">
        <v>1</v>
      </c>
      <c r="F3210" s="9" t="s">
        <v>4409</v>
      </c>
      <c r="G3210" s="11">
        <v>46238</v>
      </c>
      <c r="H3210" s="12">
        <v>0</v>
      </c>
      <c r="I3210" s="12">
        <v>0</v>
      </c>
      <c r="J3210" s="9" t="s">
        <v>3</v>
      </c>
      <c r="K3210" s="8">
        <v>0</v>
      </c>
    </row>
    <row r="3211" spans="1:11">
      <c r="A3211" s="2" t="s">
        <v>2740</v>
      </c>
      <c r="B3211" s="2" t="s">
        <v>3441</v>
      </c>
      <c r="C3211" s="9">
        <v>40100023</v>
      </c>
      <c r="D3211" s="2" t="s">
        <v>4653</v>
      </c>
      <c r="E3211" s="10">
        <v>1</v>
      </c>
      <c r="F3211" s="9" t="s">
        <v>4409</v>
      </c>
      <c r="G3211" s="11">
        <v>46238</v>
      </c>
      <c r="H3211" s="12">
        <v>0</v>
      </c>
      <c r="I3211" s="12">
        <v>0</v>
      </c>
      <c r="J3211" s="9" t="s">
        <v>3</v>
      </c>
      <c r="K3211" s="8">
        <v>0</v>
      </c>
    </row>
    <row r="3212" spans="1:11">
      <c r="A3212" s="2" t="s">
        <v>949</v>
      </c>
      <c r="B3212" s="2" t="s">
        <v>2320</v>
      </c>
      <c r="C3212" s="9">
        <v>40100030</v>
      </c>
      <c r="D3212" s="2" t="s">
        <v>4654</v>
      </c>
      <c r="E3212" s="10">
        <v>1</v>
      </c>
      <c r="F3212" s="9" t="s">
        <v>4571</v>
      </c>
      <c r="G3212" s="11">
        <v>46238</v>
      </c>
      <c r="H3212" s="12">
        <v>0</v>
      </c>
      <c r="I3212" s="12">
        <v>0</v>
      </c>
      <c r="J3212" s="9" t="s">
        <v>3</v>
      </c>
      <c r="K3212" s="8">
        <v>0</v>
      </c>
    </row>
    <row r="3213" spans="1:11">
      <c r="A3213" s="2" t="s">
        <v>607</v>
      </c>
      <c r="B3213" s="2" t="s">
        <v>608</v>
      </c>
      <c r="C3213" s="9">
        <v>40100031</v>
      </c>
      <c r="D3213" s="2" t="s">
        <v>4655</v>
      </c>
      <c r="E3213" s="10">
        <v>1</v>
      </c>
      <c r="F3213" s="9" t="s">
        <v>4409</v>
      </c>
      <c r="G3213" s="11">
        <v>46238</v>
      </c>
      <c r="H3213" s="12">
        <v>0</v>
      </c>
      <c r="I3213" s="12">
        <v>0</v>
      </c>
      <c r="J3213" s="9" t="s">
        <v>3</v>
      </c>
      <c r="K3213" s="8">
        <v>0</v>
      </c>
    </row>
    <row r="3214" spans="1:11">
      <c r="A3214" s="2" t="s">
        <v>607</v>
      </c>
      <c r="B3214" s="2" t="s">
        <v>608</v>
      </c>
      <c r="C3214" s="9">
        <v>50001130</v>
      </c>
      <c r="D3214" s="2" t="s">
        <v>4656</v>
      </c>
      <c r="E3214" s="10">
        <v>1</v>
      </c>
      <c r="F3214" s="9" t="s">
        <v>1506</v>
      </c>
      <c r="G3214" s="11">
        <v>46238</v>
      </c>
      <c r="H3214" s="12">
        <v>0</v>
      </c>
      <c r="I3214" s="12">
        <v>0</v>
      </c>
      <c r="J3214" s="9" t="s">
        <v>3</v>
      </c>
      <c r="K3214" s="8">
        <v>0</v>
      </c>
    </row>
    <row r="3215" spans="1:11">
      <c r="A3215" s="2" t="s">
        <v>607</v>
      </c>
      <c r="B3215" s="2" t="s">
        <v>608</v>
      </c>
      <c r="C3215" s="9">
        <v>50001131</v>
      </c>
      <c r="D3215" s="2" t="s">
        <v>4657</v>
      </c>
      <c r="E3215" s="10">
        <v>1</v>
      </c>
      <c r="F3215" s="9" t="s">
        <v>4658</v>
      </c>
      <c r="G3215" s="11">
        <v>46238</v>
      </c>
      <c r="H3215" s="12">
        <v>0</v>
      </c>
      <c r="I3215" s="12">
        <v>0</v>
      </c>
      <c r="J3215" s="9" t="s">
        <v>3</v>
      </c>
      <c r="K3215" s="8">
        <v>0</v>
      </c>
    </row>
    <row r="3216" spans="1:11">
      <c r="A3216" s="2" t="s">
        <v>687</v>
      </c>
      <c r="B3216" s="2" t="s">
        <v>688</v>
      </c>
      <c r="C3216" s="9">
        <v>50003251</v>
      </c>
      <c r="D3216" s="2" t="s">
        <v>4659</v>
      </c>
      <c r="E3216" s="10">
        <v>1</v>
      </c>
      <c r="F3216" s="9" t="s">
        <v>1506</v>
      </c>
      <c r="G3216" s="11">
        <v>46238</v>
      </c>
      <c r="H3216" s="12">
        <v>0</v>
      </c>
      <c r="I3216" s="12">
        <v>0</v>
      </c>
      <c r="J3216" s="9" t="s">
        <v>3</v>
      </c>
      <c r="K3216" s="8">
        <v>0</v>
      </c>
    </row>
    <row r="3217" spans="1:11">
      <c r="A3217" s="2" t="s">
        <v>4537</v>
      </c>
      <c r="B3217" s="2" t="s">
        <v>4538</v>
      </c>
      <c r="C3217" s="9">
        <v>50004796</v>
      </c>
      <c r="D3217" s="2" t="s">
        <v>4660</v>
      </c>
      <c r="E3217" s="10">
        <v>1</v>
      </c>
      <c r="F3217" s="9" t="s">
        <v>4661</v>
      </c>
      <c r="G3217" s="11">
        <v>46238</v>
      </c>
      <c r="H3217" s="12">
        <v>0</v>
      </c>
      <c r="I3217" s="12">
        <v>0</v>
      </c>
      <c r="J3217" s="9" t="s">
        <v>3</v>
      </c>
      <c r="K3217" s="8">
        <v>0</v>
      </c>
    </row>
    <row r="3218" spans="1:11">
      <c r="A3218" s="2" t="s">
        <v>4537</v>
      </c>
      <c r="B3218" s="2" t="s">
        <v>4538</v>
      </c>
      <c r="C3218" s="9">
        <v>50004798</v>
      </c>
      <c r="D3218" s="2" t="s">
        <v>4538</v>
      </c>
      <c r="E3218" s="10">
        <v>1</v>
      </c>
      <c r="F3218" s="9" t="s">
        <v>4661</v>
      </c>
      <c r="G3218" s="11">
        <v>46238</v>
      </c>
      <c r="H3218" s="12">
        <v>0</v>
      </c>
      <c r="I3218" s="12">
        <v>0</v>
      </c>
      <c r="J3218" s="9" t="s">
        <v>3</v>
      </c>
      <c r="K3218" s="8">
        <v>0</v>
      </c>
    </row>
    <row r="3219" spans="1:11">
      <c r="A3219" s="2" t="s">
        <v>925</v>
      </c>
      <c r="B3219" s="2" t="s">
        <v>2224</v>
      </c>
      <c r="C3219" s="9">
        <v>50008617</v>
      </c>
      <c r="D3219" s="2" t="s">
        <v>4662</v>
      </c>
      <c r="E3219" s="10">
        <v>1</v>
      </c>
      <c r="F3219" s="9" t="s">
        <v>4571</v>
      </c>
      <c r="G3219" s="11">
        <v>46238</v>
      </c>
      <c r="H3219" s="12">
        <v>0</v>
      </c>
      <c r="I3219" s="12">
        <v>0</v>
      </c>
      <c r="J3219" s="9" t="s">
        <v>3</v>
      </c>
      <c r="K3219" s="8">
        <v>0</v>
      </c>
    </row>
    <row r="3220" spans="1:11">
      <c r="A3220" s="2" t="s">
        <v>925</v>
      </c>
      <c r="B3220" s="2" t="s">
        <v>2224</v>
      </c>
      <c r="C3220" s="9">
        <v>50008618</v>
      </c>
      <c r="D3220" s="2" t="s">
        <v>4663</v>
      </c>
      <c r="E3220" s="10">
        <v>1</v>
      </c>
      <c r="F3220" s="9" t="s">
        <v>4571</v>
      </c>
      <c r="G3220" s="11">
        <v>46238</v>
      </c>
      <c r="H3220" s="12">
        <v>0</v>
      </c>
      <c r="I3220" s="12">
        <v>0</v>
      </c>
      <c r="J3220" s="9" t="s">
        <v>3</v>
      </c>
      <c r="K3220" s="8">
        <v>0</v>
      </c>
    </row>
    <row r="3221" spans="1:11">
      <c r="A3221" s="2" t="s">
        <v>925</v>
      </c>
      <c r="B3221" s="2" t="s">
        <v>2231</v>
      </c>
      <c r="C3221" s="9">
        <v>50010492</v>
      </c>
      <c r="D3221" s="2" t="s">
        <v>4664</v>
      </c>
      <c r="E3221" s="10">
        <v>1</v>
      </c>
      <c r="F3221" s="9" t="s">
        <v>4665</v>
      </c>
      <c r="G3221" s="11">
        <v>46238</v>
      </c>
      <c r="H3221" s="12">
        <v>0</v>
      </c>
      <c r="I3221" s="12">
        <v>0</v>
      </c>
      <c r="J3221" s="9" t="s">
        <v>3</v>
      </c>
      <c r="K3221" s="8">
        <v>0</v>
      </c>
    </row>
    <row r="3222" spans="1:11">
      <c r="A3222" s="2" t="s">
        <v>708</v>
      </c>
      <c r="B3222" s="2" t="s">
        <v>1914</v>
      </c>
      <c r="C3222" s="9">
        <v>50010699</v>
      </c>
      <c r="D3222" s="2" t="s">
        <v>4666</v>
      </c>
      <c r="E3222" s="10">
        <v>1</v>
      </c>
      <c r="F3222" s="9" t="s">
        <v>1506</v>
      </c>
      <c r="G3222" s="11">
        <v>46238</v>
      </c>
      <c r="H3222" s="12">
        <v>0</v>
      </c>
      <c r="I3222" s="12">
        <v>0</v>
      </c>
      <c r="J3222" s="9" t="s">
        <v>3</v>
      </c>
      <c r="K3222" s="8">
        <v>0</v>
      </c>
    </row>
    <row r="3223" spans="1:11">
      <c r="A3223" s="2" t="s">
        <v>663</v>
      </c>
      <c r="B3223" s="2" t="s">
        <v>875</v>
      </c>
      <c r="C3223" s="9">
        <v>50010863</v>
      </c>
      <c r="D3223" s="2" t="s">
        <v>4667</v>
      </c>
      <c r="E3223" s="10">
        <v>1</v>
      </c>
      <c r="F3223" s="9" t="s">
        <v>4521</v>
      </c>
      <c r="G3223" s="11">
        <v>46238</v>
      </c>
      <c r="H3223" s="12">
        <v>0</v>
      </c>
      <c r="I3223" s="12">
        <v>0</v>
      </c>
      <c r="J3223" s="9" t="s">
        <v>3</v>
      </c>
      <c r="K3223" s="8">
        <v>0</v>
      </c>
    </row>
    <row r="3224" spans="1:11">
      <c r="A3224" s="2" t="s">
        <v>663</v>
      </c>
      <c r="B3224" s="2" t="s">
        <v>875</v>
      </c>
      <c r="C3224" s="9">
        <v>50010864</v>
      </c>
      <c r="D3224" s="2" t="s">
        <v>4668</v>
      </c>
      <c r="E3224" s="10">
        <v>1</v>
      </c>
      <c r="F3224" s="9" t="s">
        <v>4521</v>
      </c>
      <c r="G3224" s="11">
        <v>46238</v>
      </c>
      <c r="H3224" s="12">
        <v>0</v>
      </c>
      <c r="I3224" s="12">
        <v>0</v>
      </c>
      <c r="J3224" s="9" t="s">
        <v>3</v>
      </c>
      <c r="K3224" s="8">
        <v>0</v>
      </c>
    </row>
    <row r="3225" spans="1:11">
      <c r="A3225" s="2" t="s">
        <v>834</v>
      </c>
      <c r="B3225" s="2" t="s">
        <v>1629</v>
      </c>
      <c r="C3225" s="9">
        <v>50011398</v>
      </c>
      <c r="D3225" s="2" t="s">
        <v>4669</v>
      </c>
      <c r="E3225" s="10">
        <v>1</v>
      </c>
      <c r="F3225" s="9" t="s">
        <v>4670</v>
      </c>
      <c r="G3225" s="11">
        <v>46238</v>
      </c>
      <c r="H3225" s="12">
        <v>0</v>
      </c>
      <c r="I3225" s="12">
        <v>0</v>
      </c>
      <c r="J3225" s="9" t="s">
        <v>3</v>
      </c>
      <c r="K3225" s="8">
        <v>0</v>
      </c>
    </row>
    <row r="3226" spans="1:11">
      <c r="A3226" s="2" t="s">
        <v>949</v>
      </c>
      <c r="B3226" s="2" t="s">
        <v>953</v>
      </c>
      <c r="C3226" s="9">
        <v>50011468</v>
      </c>
      <c r="D3226" s="2" t="s">
        <v>4671</v>
      </c>
      <c r="E3226" s="10">
        <v>1</v>
      </c>
      <c r="F3226" s="9" t="s">
        <v>4521</v>
      </c>
      <c r="G3226" s="11">
        <v>46238</v>
      </c>
      <c r="H3226" s="12">
        <v>0</v>
      </c>
      <c r="I3226" s="12">
        <v>0</v>
      </c>
      <c r="J3226" s="9" t="s">
        <v>3</v>
      </c>
      <c r="K3226" s="8">
        <v>0</v>
      </c>
    </row>
    <row r="3227" spans="1:11">
      <c r="A3227" s="2" t="s">
        <v>949</v>
      </c>
      <c r="B3227" s="2" t="s">
        <v>953</v>
      </c>
      <c r="C3227" s="9">
        <v>50011479</v>
      </c>
      <c r="D3227" s="2" t="s">
        <v>4672</v>
      </c>
      <c r="E3227" s="10">
        <v>1</v>
      </c>
      <c r="F3227" s="9" t="s">
        <v>829</v>
      </c>
      <c r="G3227" s="11">
        <v>46238</v>
      </c>
      <c r="H3227" s="12">
        <v>0</v>
      </c>
      <c r="I3227" s="12">
        <v>0</v>
      </c>
      <c r="J3227" s="9" t="s">
        <v>3</v>
      </c>
      <c r="K3227" s="8">
        <v>0</v>
      </c>
    </row>
    <row r="3228" spans="1:11">
      <c r="A3228" s="2" t="s">
        <v>949</v>
      </c>
      <c r="B3228" s="2" t="s">
        <v>953</v>
      </c>
      <c r="C3228" s="9">
        <v>50012695</v>
      </c>
      <c r="D3228" s="2" t="s">
        <v>4673</v>
      </c>
      <c r="E3228" s="10">
        <v>1</v>
      </c>
      <c r="F3228" s="9" t="s">
        <v>4521</v>
      </c>
      <c r="G3228" s="11">
        <v>46238</v>
      </c>
      <c r="H3228" s="12">
        <v>0</v>
      </c>
      <c r="I3228" s="12">
        <v>0</v>
      </c>
      <c r="J3228" s="9" t="s">
        <v>3</v>
      </c>
      <c r="K3228" s="8">
        <v>0</v>
      </c>
    </row>
    <row r="3229" spans="1:11">
      <c r="A3229" s="2" t="s">
        <v>949</v>
      </c>
      <c r="B3229" s="2" t="s">
        <v>953</v>
      </c>
      <c r="C3229" s="9">
        <v>50012696</v>
      </c>
      <c r="D3229" s="2" t="s">
        <v>4674</v>
      </c>
      <c r="E3229" s="10">
        <v>1</v>
      </c>
      <c r="F3229" s="9" t="s">
        <v>4521</v>
      </c>
      <c r="G3229" s="11">
        <v>46238</v>
      </c>
      <c r="H3229" s="12">
        <v>0</v>
      </c>
      <c r="I3229" s="12">
        <v>0</v>
      </c>
      <c r="J3229" s="9" t="s">
        <v>3</v>
      </c>
      <c r="K3229" s="8">
        <v>0</v>
      </c>
    </row>
    <row r="3230" spans="1:11">
      <c r="A3230" s="2" t="s">
        <v>906</v>
      </c>
      <c r="B3230" s="2" t="s">
        <v>977</v>
      </c>
      <c r="C3230" s="9">
        <v>50013034</v>
      </c>
      <c r="D3230" s="2" t="s">
        <v>4675</v>
      </c>
      <c r="E3230" s="10">
        <v>1</v>
      </c>
      <c r="F3230" s="9" t="s">
        <v>4521</v>
      </c>
      <c r="G3230" s="11">
        <v>46238</v>
      </c>
      <c r="H3230" s="12">
        <v>0</v>
      </c>
      <c r="I3230" s="12">
        <v>0</v>
      </c>
      <c r="J3230" s="9" t="s">
        <v>3</v>
      </c>
      <c r="K3230" s="8">
        <v>0</v>
      </c>
    </row>
    <row r="3231" spans="1:11">
      <c r="A3231" s="2" t="s">
        <v>949</v>
      </c>
      <c r="B3231" s="2" t="s">
        <v>953</v>
      </c>
      <c r="C3231" s="9">
        <v>50013749</v>
      </c>
      <c r="D3231" s="2" t="s">
        <v>4676</v>
      </c>
      <c r="E3231" s="10">
        <v>1</v>
      </c>
      <c r="F3231" s="9" t="s">
        <v>4521</v>
      </c>
      <c r="G3231" s="11">
        <v>46238</v>
      </c>
      <c r="H3231" s="12">
        <v>0</v>
      </c>
      <c r="I3231" s="12">
        <v>0</v>
      </c>
      <c r="J3231" s="9" t="s">
        <v>3</v>
      </c>
      <c r="K3231" s="8">
        <v>0</v>
      </c>
    </row>
    <row r="3232" spans="1:11">
      <c r="A3232" s="2" t="s">
        <v>949</v>
      </c>
      <c r="B3232" s="2" t="s">
        <v>953</v>
      </c>
      <c r="C3232" s="9">
        <v>50013773</v>
      </c>
      <c r="D3232" s="2" t="s">
        <v>4677</v>
      </c>
      <c r="E3232" s="10">
        <v>1</v>
      </c>
      <c r="F3232" s="9" t="s">
        <v>4521</v>
      </c>
      <c r="G3232" s="11">
        <v>46238</v>
      </c>
      <c r="H3232" s="12">
        <v>0</v>
      </c>
      <c r="I3232" s="12">
        <v>0</v>
      </c>
      <c r="J3232" s="9" t="s">
        <v>3</v>
      </c>
      <c r="K3232" s="8">
        <v>0</v>
      </c>
    </row>
    <row r="3233" spans="1:11">
      <c r="A3233" s="2" t="s">
        <v>721</v>
      </c>
      <c r="B3233" s="2" t="s">
        <v>1161</v>
      </c>
      <c r="C3233" s="9">
        <v>50016409</v>
      </c>
      <c r="D3233" s="2" t="s">
        <v>4678</v>
      </c>
      <c r="E3233" s="10">
        <v>1</v>
      </c>
      <c r="F3233" s="9" t="s">
        <v>829</v>
      </c>
      <c r="G3233" s="11">
        <v>46238</v>
      </c>
      <c r="H3233" s="12">
        <v>0</v>
      </c>
      <c r="I3233" s="12">
        <v>0</v>
      </c>
      <c r="J3233" s="9" t="s">
        <v>3</v>
      </c>
      <c r="K3233" s="8">
        <v>0</v>
      </c>
    </row>
    <row r="3234" spans="1:11">
      <c r="A3234" s="2" t="s">
        <v>1174</v>
      </c>
      <c r="B3234" s="2" t="s">
        <v>1175</v>
      </c>
      <c r="C3234" s="9">
        <v>50016410</v>
      </c>
      <c r="D3234" s="2" t="s">
        <v>4679</v>
      </c>
      <c r="E3234" s="10">
        <v>1</v>
      </c>
      <c r="F3234" s="9" t="s">
        <v>829</v>
      </c>
      <c r="G3234" s="11">
        <v>46238</v>
      </c>
      <c r="H3234" s="12">
        <v>0</v>
      </c>
      <c r="I3234" s="12">
        <v>0</v>
      </c>
      <c r="J3234" s="9" t="s">
        <v>3</v>
      </c>
      <c r="K3234" s="8">
        <v>0</v>
      </c>
    </row>
    <row r="3235" spans="1:11">
      <c r="A3235" s="2" t="s">
        <v>607</v>
      </c>
      <c r="B3235" s="2" t="s">
        <v>4680</v>
      </c>
      <c r="C3235" s="9">
        <v>50017328</v>
      </c>
      <c r="D3235" s="2" t="s">
        <v>4681</v>
      </c>
      <c r="E3235" s="10">
        <v>1</v>
      </c>
      <c r="F3235" s="9" t="s">
        <v>829</v>
      </c>
      <c r="G3235" s="11">
        <v>46238</v>
      </c>
      <c r="H3235" s="12">
        <v>0</v>
      </c>
      <c r="I3235" s="12">
        <v>0</v>
      </c>
      <c r="J3235" s="9" t="s">
        <v>3</v>
      </c>
      <c r="K3235" s="8">
        <v>0</v>
      </c>
    </row>
    <row r="3236" spans="1:11">
      <c r="A3236" s="2" t="s">
        <v>1255</v>
      </c>
      <c r="B3236" s="2" t="s">
        <v>1256</v>
      </c>
      <c r="C3236" s="9">
        <v>50018662</v>
      </c>
      <c r="D3236" s="2" t="s">
        <v>4682</v>
      </c>
      <c r="E3236" s="10">
        <v>1</v>
      </c>
      <c r="F3236" s="9" t="s">
        <v>3628</v>
      </c>
      <c r="G3236" s="11">
        <v>46238</v>
      </c>
      <c r="H3236" s="12">
        <v>0</v>
      </c>
      <c r="I3236" s="12">
        <v>0</v>
      </c>
      <c r="J3236" s="9" t="s">
        <v>3</v>
      </c>
      <c r="K3236" s="8">
        <v>0</v>
      </c>
    </row>
    <row r="3237" spans="1:11">
      <c r="A3237" s="2" t="s">
        <v>1255</v>
      </c>
      <c r="B3237" s="2" t="s">
        <v>1501</v>
      </c>
      <c r="C3237" s="9">
        <v>50018679</v>
      </c>
      <c r="D3237" s="2" t="s">
        <v>4683</v>
      </c>
      <c r="E3237" s="10">
        <v>1</v>
      </c>
      <c r="F3237" s="9" t="s">
        <v>1506</v>
      </c>
      <c r="G3237" s="11">
        <v>46238</v>
      </c>
      <c r="H3237" s="12">
        <v>0</v>
      </c>
      <c r="I3237" s="12">
        <v>0</v>
      </c>
      <c r="J3237" s="9" t="s">
        <v>3</v>
      </c>
      <c r="K3237" s="8">
        <v>0</v>
      </c>
    </row>
    <row r="3238" spans="1:11">
      <c r="A3238" s="2" t="s">
        <v>925</v>
      </c>
      <c r="B3238" s="2" t="s">
        <v>1476</v>
      </c>
      <c r="C3238" s="9">
        <v>50020284</v>
      </c>
      <c r="D3238" s="2" t="s">
        <v>4684</v>
      </c>
      <c r="E3238" s="10">
        <v>1</v>
      </c>
      <c r="F3238" s="9" t="s">
        <v>4685</v>
      </c>
      <c r="G3238" s="11">
        <v>46238</v>
      </c>
      <c r="H3238" s="12">
        <v>0</v>
      </c>
      <c r="I3238" s="12">
        <v>0</v>
      </c>
      <c r="J3238" s="9" t="s">
        <v>3</v>
      </c>
      <c r="K3238" s="8">
        <v>0</v>
      </c>
    </row>
    <row r="3239" spans="1:11">
      <c r="A3239" s="2" t="s">
        <v>925</v>
      </c>
      <c r="B3239" s="2" t="s">
        <v>1476</v>
      </c>
      <c r="C3239" s="9">
        <v>50020285</v>
      </c>
      <c r="D3239" s="2" t="s">
        <v>4686</v>
      </c>
      <c r="E3239" s="10">
        <v>1</v>
      </c>
      <c r="F3239" s="9" t="s">
        <v>4685</v>
      </c>
      <c r="G3239" s="11">
        <v>46238</v>
      </c>
      <c r="H3239" s="12">
        <v>0</v>
      </c>
      <c r="I3239" s="12">
        <v>0</v>
      </c>
      <c r="J3239" s="9" t="s">
        <v>3</v>
      </c>
      <c r="K3239" s="8">
        <v>0</v>
      </c>
    </row>
    <row r="3240" spans="1:11">
      <c r="A3240" s="2" t="s">
        <v>925</v>
      </c>
      <c r="B3240" s="2" t="s">
        <v>1476</v>
      </c>
      <c r="C3240" s="9">
        <v>50020286</v>
      </c>
      <c r="D3240" s="2" t="s">
        <v>4687</v>
      </c>
      <c r="E3240" s="10">
        <v>1</v>
      </c>
      <c r="F3240" s="9" t="s">
        <v>4685</v>
      </c>
      <c r="G3240" s="11">
        <v>46238</v>
      </c>
      <c r="H3240" s="12">
        <v>0</v>
      </c>
      <c r="I3240" s="12">
        <v>0</v>
      </c>
      <c r="J3240" s="9" t="s">
        <v>3</v>
      </c>
      <c r="K3240" s="8">
        <v>0</v>
      </c>
    </row>
    <row r="3241" spans="1:11">
      <c r="A3241" s="2" t="s">
        <v>1255</v>
      </c>
      <c r="B3241" s="2" t="s">
        <v>1501</v>
      </c>
      <c r="C3241" s="9">
        <v>50020936</v>
      </c>
      <c r="D3241" s="2" t="s">
        <v>4688</v>
      </c>
      <c r="E3241" s="10">
        <v>1</v>
      </c>
      <c r="F3241" s="9" t="s">
        <v>1506</v>
      </c>
      <c r="G3241" s="11">
        <v>46238</v>
      </c>
      <c r="H3241" s="12">
        <v>0</v>
      </c>
      <c r="I3241" s="12">
        <v>0</v>
      </c>
      <c r="J3241" s="9" t="s">
        <v>3</v>
      </c>
      <c r="K3241" s="8">
        <v>0</v>
      </c>
    </row>
    <row r="3242" spans="1:11">
      <c r="A3242" s="2" t="s">
        <v>1255</v>
      </c>
      <c r="B3242" s="2" t="s">
        <v>1501</v>
      </c>
      <c r="C3242" s="9">
        <v>50020937</v>
      </c>
      <c r="D3242" s="2" t="s">
        <v>4689</v>
      </c>
      <c r="E3242" s="10">
        <v>1</v>
      </c>
      <c r="F3242" s="9" t="s">
        <v>1506</v>
      </c>
      <c r="G3242" s="11">
        <v>46238</v>
      </c>
      <c r="H3242" s="12">
        <v>0</v>
      </c>
      <c r="I3242" s="12">
        <v>0</v>
      </c>
      <c r="J3242" s="9" t="s">
        <v>3</v>
      </c>
      <c r="K3242" s="8">
        <v>0</v>
      </c>
    </row>
    <row r="3243" spans="1:11">
      <c r="A3243" s="2" t="s">
        <v>925</v>
      </c>
      <c r="B3243" s="2" t="s">
        <v>1601</v>
      </c>
      <c r="C3243" s="9">
        <v>50027750</v>
      </c>
      <c r="D3243" s="2" t="s">
        <v>4690</v>
      </c>
      <c r="E3243" s="10">
        <v>1</v>
      </c>
      <c r="F3243" s="9" t="s">
        <v>4521</v>
      </c>
      <c r="G3243" s="11">
        <v>46238</v>
      </c>
      <c r="H3243" s="12">
        <v>0</v>
      </c>
      <c r="I3243" s="12">
        <v>0</v>
      </c>
      <c r="J3243" s="9" t="s">
        <v>3</v>
      </c>
      <c r="K3243" s="8">
        <v>0</v>
      </c>
    </row>
    <row r="3244" spans="1:11">
      <c r="A3244" s="2" t="s">
        <v>1255</v>
      </c>
      <c r="B3244" s="2" t="s">
        <v>1501</v>
      </c>
      <c r="C3244" s="9">
        <v>50029934</v>
      </c>
      <c r="D3244" s="2" t="s">
        <v>4691</v>
      </c>
      <c r="E3244" s="10">
        <v>1</v>
      </c>
      <c r="F3244" s="9" t="s">
        <v>1506</v>
      </c>
      <c r="G3244" s="11">
        <v>46238</v>
      </c>
      <c r="H3244" s="12">
        <v>0</v>
      </c>
      <c r="I3244" s="12">
        <v>0</v>
      </c>
      <c r="J3244" s="9" t="s">
        <v>3</v>
      </c>
      <c r="K3244" s="8">
        <v>0</v>
      </c>
    </row>
    <row r="3245" spans="1:11">
      <c r="A3245" s="2" t="s">
        <v>607</v>
      </c>
      <c r="B3245" s="2" t="s">
        <v>1696</v>
      </c>
      <c r="C3245" s="9">
        <v>50031406</v>
      </c>
      <c r="D3245" s="2" t="s">
        <v>4692</v>
      </c>
      <c r="E3245" s="10">
        <v>1</v>
      </c>
      <c r="F3245" s="9" t="s">
        <v>3628</v>
      </c>
      <c r="G3245" s="11">
        <v>46238</v>
      </c>
      <c r="H3245" s="12">
        <v>0</v>
      </c>
      <c r="I3245" s="12">
        <v>0</v>
      </c>
      <c r="J3245" s="9" t="s">
        <v>3</v>
      </c>
      <c r="K3245" s="8">
        <v>0</v>
      </c>
    </row>
    <row r="3246" spans="1:11">
      <c r="A3246" s="2" t="s">
        <v>708</v>
      </c>
      <c r="B3246" s="2" t="s">
        <v>1914</v>
      </c>
      <c r="C3246" s="9">
        <v>50038055</v>
      </c>
      <c r="D3246" s="2" t="s">
        <v>4693</v>
      </c>
      <c r="E3246" s="10">
        <v>1</v>
      </c>
      <c r="F3246" s="9" t="s">
        <v>1506</v>
      </c>
      <c r="G3246" s="11">
        <v>46238</v>
      </c>
      <c r="H3246" s="12">
        <v>0</v>
      </c>
      <c r="I3246" s="12">
        <v>0</v>
      </c>
      <c r="J3246" s="9" t="s">
        <v>3</v>
      </c>
      <c r="K3246" s="8">
        <v>0</v>
      </c>
    </row>
    <row r="3247" spans="1:11">
      <c r="A3247" s="2" t="s">
        <v>708</v>
      </c>
      <c r="B3247" s="2" t="s">
        <v>1914</v>
      </c>
      <c r="C3247" s="9">
        <v>50038144</v>
      </c>
      <c r="D3247" s="2" t="s">
        <v>4694</v>
      </c>
      <c r="E3247" s="10">
        <v>1</v>
      </c>
      <c r="F3247" s="9" t="s">
        <v>4658</v>
      </c>
      <c r="G3247" s="11">
        <v>46238</v>
      </c>
      <c r="H3247" s="12">
        <v>0</v>
      </c>
      <c r="I3247" s="12">
        <v>0</v>
      </c>
      <c r="J3247" s="9" t="s">
        <v>3</v>
      </c>
      <c r="K3247" s="8">
        <v>0</v>
      </c>
    </row>
    <row r="3248" spans="1:11">
      <c r="A3248" s="2" t="s">
        <v>708</v>
      </c>
      <c r="B3248" s="2" t="s">
        <v>1914</v>
      </c>
      <c r="C3248" s="9">
        <v>50038146</v>
      </c>
      <c r="D3248" s="2" t="s">
        <v>4695</v>
      </c>
      <c r="E3248" s="10">
        <v>1</v>
      </c>
      <c r="F3248" s="9" t="s">
        <v>4658</v>
      </c>
      <c r="G3248" s="11">
        <v>46238</v>
      </c>
      <c r="H3248" s="12">
        <v>0</v>
      </c>
      <c r="I3248" s="12">
        <v>0</v>
      </c>
      <c r="J3248" s="9" t="s">
        <v>3</v>
      </c>
      <c r="K3248" s="8">
        <v>0</v>
      </c>
    </row>
    <row r="3249" spans="1:11">
      <c r="A3249" s="2" t="s">
        <v>925</v>
      </c>
      <c r="B3249" s="2" t="s">
        <v>1864</v>
      </c>
      <c r="C3249" s="9">
        <v>50040387</v>
      </c>
      <c r="D3249" s="2" t="s">
        <v>4696</v>
      </c>
      <c r="E3249" s="10">
        <v>1</v>
      </c>
      <c r="F3249" s="9" t="s">
        <v>3628</v>
      </c>
      <c r="G3249" s="11">
        <v>46238</v>
      </c>
      <c r="H3249" s="12">
        <v>0</v>
      </c>
      <c r="I3249" s="12">
        <v>0</v>
      </c>
      <c r="J3249" s="9" t="s">
        <v>3</v>
      </c>
      <c r="K3249" s="8">
        <v>0</v>
      </c>
    </row>
    <row r="3250" spans="1:11">
      <c r="A3250" s="2" t="s">
        <v>851</v>
      </c>
      <c r="B3250" s="2" t="s">
        <v>2034</v>
      </c>
      <c r="C3250" s="9">
        <v>50040879</v>
      </c>
      <c r="D3250" s="2" t="s">
        <v>4697</v>
      </c>
      <c r="E3250" s="10">
        <v>1</v>
      </c>
      <c r="F3250" s="9" t="s">
        <v>829</v>
      </c>
      <c r="G3250" s="11">
        <v>46238</v>
      </c>
      <c r="H3250" s="12">
        <v>0</v>
      </c>
      <c r="I3250" s="12">
        <v>0</v>
      </c>
      <c r="J3250" s="9" t="s">
        <v>3</v>
      </c>
      <c r="K3250" s="8">
        <v>0</v>
      </c>
    </row>
    <row r="3251" spans="1:11">
      <c r="A3251" s="2" t="s">
        <v>4698</v>
      </c>
      <c r="B3251" s="2" t="s">
        <v>4699</v>
      </c>
      <c r="C3251" s="9">
        <v>50043345</v>
      </c>
      <c r="D3251" s="2" t="s">
        <v>4700</v>
      </c>
      <c r="E3251" s="10">
        <v>1</v>
      </c>
      <c r="F3251" s="9" t="s">
        <v>3628</v>
      </c>
      <c r="G3251" s="11">
        <v>46238</v>
      </c>
      <c r="H3251" s="12">
        <v>0</v>
      </c>
      <c r="I3251" s="12">
        <v>0</v>
      </c>
      <c r="J3251" s="9" t="s">
        <v>3</v>
      </c>
      <c r="K3251" s="8">
        <v>0</v>
      </c>
    </row>
    <row r="3252" spans="1:11">
      <c r="A3252" s="2" t="s">
        <v>949</v>
      </c>
      <c r="B3252" s="2" t="s">
        <v>2320</v>
      </c>
      <c r="C3252" s="9">
        <v>50048639</v>
      </c>
      <c r="D3252" s="2" t="s">
        <v>4701</v>
      </c>
      <c r="E3252" s="10">
        <v>1</v>
      </c>
      <c r="F3252" s="9" t="s">
        <v>4702</v>
      </c>
      <c r="G3252" s="11">
        <v>46238</v>
      </c>
      <c r="H3252" s="12">
        <v>0</v>
      </c>
      <c r="I3252" s="12">
        <v>0</v>
      </c>
      <c r="J3252" s="9" t="s">
        <v>3</v>
      </c>
      <c r="K3252" s="8">
        <v>0</v>
      </c>
    </row>
    <row r="3253" spans="1:11">
      <c r="A3253" s="2" t="s">
        <v>607</v>
      </c>
      <c r="B3253" s="2" t="s">
        <v>2401</v>
      </c>
      <c r="C3253" s="9">
        <v>50050468</v>
      </c>
      <c r="D3253" s="2" t="s">
        <v>4703</v>
      </c>
      <c r="E3253" s="10">
        <v>1</v>
      </c>
      <c r="F3253" s="9" t="s">
        <v>4571</v>
      </c>
      <c r="G3253" s="11">
        <v>46238</v>
      </c>
      <c r="H3253" s="12">
        <v>0</v>
      </c>
      <c r="I3253" s="12">
        <v>0</v>
      </c>
      <c r="J3253" s="9" t="s">
        <v>3</v>
      </c>
      <c r="K3253" s="8">
        <v>0</v>
      </c>
    </row>
    <row r="3254" spans="1:11">
      <c r="A3254" s="2" t="s">
        <v>607</v>
      </c>
      <c r="B3254" s="2" t="s">
        <v>2401</v>
      </c>
      <c r="C3254" s="9">
        <v>50050469</v>
      </c>
      <c r="D3254" s="2" t="s">
        <v>4704</v>
      </c>
      <c r="E3254" s="10">
        <v>1</v>
      </c>
      <c r="F3254" s="9" t="s">
        <v>4571</v>
      </c>
      <c r="G3254" s="11">
        <v>46238</v>
      </c>
      <c r="H3254" s="12">
        <v>0</v>
      </c>
      <c r="I3254" s="12">
        <v>0</v>
      </c>
      <c r="J3254" s="9" t="s">
        <v>3</v>
      </c>
      <c r="K3254" s="8">
        <v>0</v>
      </c>
    </row>
    <row r="3255" spans="1:11">
      <c r="A3255" s="2" t="s">
        <v>607</v>
      </c>
      <c r="B3255" s="2" t="s">
        <v>2401</v>
      </c>
      <c r="C3255" s="9">
        <v>50050470</v>
      </c>
      <c r="D3255" s="2" t="s">
        <v>4705</v>
      </c>
      <c r="E3255" s="10">
        <v>1</v>
      </c>
      <c r="F3255" s="9" t="s">
        <v>4571</v>
      </c>
      <c r="G3255" s="11">
        <v>46238</v>
      </c>
      <c r="H3255" s="12">
        <v>0</v>
      </c>
      <c r="I3255" s="12">
        <v>0</v>
      </c>
      <c r="J3255" s="9" t="s">
        <v>3</v>
      </c>
      <c r="K3255" s="8">
        <v>0</v>
      </c>
    </row>
    <row r="3256" spans="1:11">
      <c r="A3256" s="2" t="s">
        <v>607</v>
      </c>
      <c r="B3256" s="2" t="s">
        <v>2401</v>
      </c>
      <c r="C3256" s="9">
        <v>50050471</v>
      </c>
      <c r="D3256" s="2" t="s">
        <v>4706</v>
      </c>
      <c r="E3256" s="10">
        <v>1</v>
      </c>
      <c r="F3256" s="9" t="s">
        <v>4571</v>
      </c>
      <c r="G3256" s="11">
        <v>46238</v>
      </c>
      <c r="H3256" s="12">
        <v>0</v>
      </c>
      <c r="I3256" s="12">
        <v>0</v>
      </c>
      <c r="J3256" s="9" t="s">
        <v>3</v>
      </c>
      <c r="K3256" s="8">
        <v>0</v>
      </c>
    </row>
    <row r="3257" spans="1:11">
      <c r="A3257" s="2" t="s">
        <v>607</v>
      </c>
      <c r="B3257" s="2" t="s">
        <v>2401</v>
      </c>
      <c r="C3257" s="9">
        <v>50050472</v>
      </c>
      <c r="D3257" s="2" t="s">
        <v>4707</v>
      </c>
      <c r="E3257" s="10">
        <v>1</v>
      </c>
      <c r="F3257" s="9" t="s">
        <v>4571</v>
      </c>
      <c r="G3257" s="11">
        <v>46238</v>
      </c>
      <c r="H3257" s="12">
        <v>0</v>
      </c>
      <c r="I3257" s="12">
        <v>0</v>
      </c>
      <c r="J3257" s="9" t="s">
        <v>3</v>
      </c>
      <c r="K3257" s="8">
        <v>0</v>
      </c>
    </row>
    <row r="3258" spans="1:11">
      <c r="A3258" s="2" t="s">
        <v>607</v>
      </c>
      <c r="B3258" s="2" t="s">
        <v>2401</v>
      </c>
      <c r="C3258" s="9">
        <v>50050473</v>
      </c>
      <c r="D3258" s="2" t="s">
        <v>4708</v>
      </c>
      <c r="E3258" s="10">
        <v>1</v>
      </c>
      <c r="F3258" s="9" t="s">
        <v>4571</v>
      </c>
      <c r="G3258" s="11">
        <v>46238</v>
      </c>
      <c r="H3258" s="12">
        <v>0</v>
      </c>
      <c r="I3258" s="12">
        <v>0</v>
      </c>
      <c r="J3258" s="9" t="s">
        <v>3</v>
      </c>
      <c r="K3258" s="8">
        <v>0</v>
      </c>
    </row>
    <row r="3259" spans="1:11">
      <c r="A3259" s="2" t="s">
        <v>607</v>
      </c>
      <c r="B3259" s="2" t="s">
        <v>2401</v>
      </c>
      <c r="C3259" s="9">
        <v>50050474</v>
      </c>
      <c r="D3259" s="2" t="s">
        <v>4709</v>
      </c>
      <c r="E3259" s="10">
        <v>1</v>
      </c>
      <c r="F3259" s="9" t="s">
        <v>4571</v>
      </c>
      <c r="G3259" s="11">
        <v>46238</v>
      </c>
      <c r="H3259" s="12">
        <v>0</v>
      </c>
      <c r="I3259" s="12">
        <v>0</v>
      </c>
      <c r="J3259" s="9" t="s">
        <v>3</v>
      </c>
      <c r="K3259" s="8">
        <v>0</v>
      </c>
    </row>
    <row r="3260" spans="1:11">
      <c r="A3260" s="2" t="s">
        <v>925</v>
      </c>
      <c r="B3260" s="2" t="s">
        <v>1601</v>
      </c>
      <c r="C3260" s="9">
        <v>50050529</v>
      </c>
      <c r="D3260" s="2" t="s">
        <v>4710</v>
      </c>
      <c r="E3260" s="10">
        <v>1</v>
      </c>
      <c r="F3260" s="9" t="s">
        <v>4521</v>
      </c>
      <c r="G3260" s="11">
        <v>46238</v>
      </c>
      <c r="H3260" s="12">
        <v>0</v>
      </c>
      <c r="I3260" s="12">
        <v>0</v>
      </c>
      <c r="J3260" s="9" t="s">
        <v>3</v>
      </c>
      <c r="K3260" s="8">
        <v>0</v>
      </c>
    </row>
    <row r="3261" spans="1:11">
      <c r="A3261" s="2" t="s">
        <v>842</v>
      </c>
      <c r="B3261" s="2" t="s">
        <v>2597</v>
      </c>
      <c r="C3261" s="9">
        <v>50052085</v>
      </c>
      <c r="D3261" s="2" t="s">
        <v>4711</v>
      </c>
      <c r="E3261" s="10">
        <v>1</v>
      </c>
      <c r="F3261" s="9" t="s">
        <v>829</v>
      </c>
      <c r="G3261" s="11">
        <v>46238</v>
      </c>
      <c r="H3261" s="12">
        <v>0</v>
      </c>
      <c r="I3261" s="12">
        <v>0</v>
      </c>
      <c r="J3261" s="9" t="s">
        <v>3</v>
      </c>
      <c r="K3261" s="8">
        <v>0</v>
      </c>
    </row>
    <row r="3262" spans="1:11">
      <c r="A3262" s="2" t="s">
        <v>906</v>
      </c>
      <c r="B3262" s="2" t="s">
        <v>2997</v>
      </c>
      <c r="C3262" s="9">
        <v>50061058</v>
      </c>
      <c r="D3262" s="2" t="s">
        <v>4712</v>
      </c>
      <c r="E3262" s="10">
        <v>1</v>
      </c>
      <c r="F3262" s="9" t="s">
        <v>4713</v>
      </c>
      <c r="G3262" s="11">
        <v>46238</v>
      </c>
      <c r="H3262" s="12">
        <v>0</v>
      </c>
      <c r="I3262" s="12">
        <v>0</v>
      </c>
      <c r="J3262" s="9" t="s">
        <v>3</v>
      </c>
      <c r="K3262" s="8">
        <v>0</v>
      </c>
    </row>
    <row r="3263" spans="1:11">
      <c r="A3263" s="2" t="s">
        <v>906</v>
      </c>
      <c r="B3263" s="2" t="s">
        <v>3005</v>
      </c>
      <c r="C3263" s="9">
        <v>50061065</v>
      </c>
      <c r="D3263" s="2" t="s">
        <v>4714</v>
      </c>
      <c r="E3263" s="10">
        <v>1</v>
      </c>
      <c r="F3263" s="9" t="s">
        <v>4715</v>
      </c>
      <c r="G3263" s="11">
        <v>46238</v>
      </c>
      <c r="H3263" s="12">
        <v>0</v>
      </c>
      <c r="I3263" s="12">
        <v>0</v>
      </c>
      <c r="J3263" s="9" t="s">
        <v>3</v>
      </c>
      <c r="K3263" s="8">
        <v>0</v>
      </c>
    </row>
    <row r="3264" spans="1:11">
      <c r="A3264" s="2" t="s">
        <v>906</v>
      </c>
      <c r="B3264" s="2" t="s">
        <v>3005</v>
      </c>
      <c r="C3264" s="9">
        <v>50061066</v>
      </c>
      <c r="D3264" s="2" t="s">
        <v>4716</v>
      </c>
      <c r="E3264" s="10">
        <v>1</v>
      </c>
      <c r="F3264" s="9" t="s">
        <v>4715</v>
      </c>
      <c r="G3264" s="11">
        <v>46238</v>
      </c>
      <c r="H3264" s="12">
        <v>0</v>
      </c>
      <c r="I3264" s="12">
        <v>0</v>
      </c>
      <c r="J3264" s="9" t="s">
        <v>3</v>
      </c>
      <c r="K3264" s="8">
        <v>0</v>
      </c>
    </row>
    <row r="3265" spans="1:11">
      <c r="A3265" s="2" t="s">
        <v>1255</v>
      </c>
      <c r="B3265" s="2" t="s">
        <v>3130</v>
      </c>
      <c r="C3265" s="9">
        <v>50063107</v>
      </c>
      <c r="D3265" s="2" t="s">
        <v>4717</v>
      </c>
      <c r="E3265" s="10">
        <v>1</v>
      </c>
      <c r="F3265" s="9" t="s">
        <v>829</v>
      </c>
      <c r="G3265" s="11">
        <v>46238</v>
      </c>
      <c r="H3265" s="12">
        <v>0</v>
      </c>
      <c r="I3265" s="12">
        <v>0</v>
      </c>
      <c r="J3265" s="9" t="s">
        <v>3</v>
      </c>
      <c r="K3265" s="8">
        <v>0</v>
      </c>
    </row>
    <row r="3266" spans="1:11">
      <c r="A3266" s="2" t="s">
        <v>2740</v>
      </c>
      <c r="B3266" s="2" t="s">
        <v>2741</v>
      </c>
      <c r="C3266" s="9">
        <v>50066096</v>
      </c>
      <c r="D3266" s="2" t="s">
        <v>4718</v>
      </c>
      <c r="E3266" s="10">
        <v>1</v>
      </c>
      <c r="F3266" s="9" t="s">
        <v>829</v>
      </c>
      <c r="G3266" s="11">
        <v>46238</v>
      </c>
      <c r="H3266" s="12">
        <v>0</v>
      </c>
      <c r="I3266" s="12">
        <v>0</v>
      </c>
      <c r="J3266" s="9" t="s">
        <v>3</v>
      </c>
      <c r="K3266" s="8">
        <v>0</v>
      </c>
    </row>
    <row r="3267" spans="1:11">
      <c r="A3267" s="2" t="s">
        <v>687</v>
      </c>
      <c r="B3267" s="2" t="s">
        <v>3265</v>
      </c>
      <c r="C3267" s="9">
        <v>50070077</v>
      </c>
      <c r="D3267" s="2" t="s">
        <v>4719</v>
      </c>
      <c r="E3267" s="10">
        <v>1</v>
      </c>
      <c r="F3267" s="9" t="s">
        <v>4521</v>
      </c>
      <c r="G3267" s="11">
        <v>46238</v>
      </c>
      <c r="H3267" s="12">
        <v>0</v>
      </c>
      <c r="I3267" s="12">
        <v>0</v>
      </c>
      <c r="J3267" s="9" t="s">
        <v>3</v>
      </c>
      <c r="K3267" s="8">
        <v>0</v>
      </c>
    </row>
    <row r="3268" spans="1:11">
      <c r="A3268" s="2" t="s">
        <v>687</v>
      </c>
      <c r="B3268" s="2" t="s">
        <v>3265</v>
      </c>
      <c r="C3268" s="9">
        <v>50070141</v>
      </c>
      <c r="D3268" s="2" t="s">
        <v>4720</v>
      </c>
      <c r="E3268" s="10">
        <v>1</v>
      </c>
      <c r="F3268" s="9" t="s">
        <v>1506</v>
      </c>
      <c r="G3268" s="11">
        <v>46238</v>
      </c>
      <c r="H3268" s="12">
        <v>0</v>
      </c>
      <c r="I3268" s="12">
        <v>0</v>
      </c>
      <c r="J3268" s="9" t="s">
        <v>3</v>
      </c>
      <c r="K3268" s="8">
        <v>0</v>
      </c>
    </row>
    <row r="3269" spans="1:11">
      <c r="A3269" s="2" t="s">
        <v>687</v>
      </c>
      <c r="B3269" s="2" t="s">
        <v>3265</v>
      </c>
      <c r="C3269" s="9">
        <v>50070252</v>
      </c>
      <c r="D3269" s="2" t="s">
        <v>4721</v>
      </c>
      <c r="E3269" s="10">
        <v>1</v>
      </c>
      <c r="F3269" s="9" t="s">
        <v>4521</v>
      </c>
      <c r="G3269" s="11">
        <v>46238</v>
      </c>
      <c r="H3269" s="12">
        <v>0</v>
      </c>
      <c r="I3269" s="12">
        <v>0</v>
      </c>
      <c r="J3269" s="9" t="s">
        <v>3</v>
      </c>
      <c r="K3269" s="8">
        <v>0</v>
      </c>
    </row>
    <row r="3270" spans="1:11">
      <c r="A3270" s="2" t="s">
        <v>4537</v>
      </c>
      <c r="B3270" s="2" t="s">
        <v>4722</v>
      </c>
      <c r="C3270" s="9">
        <v>50075108</v>
      </c>
      <c r="D3270" s="2" t="s">
        <v>4723</v>
      </c>
      <c r="E3270" s="10">
        <v>1</v>
      </c>
      <c r="F3270" s="9" t="s">
        <v>4724</v>
      </c>
      <c r="G3270" s="11">
        <v>46238</v>
      </c>
      <c r="H3270" s="12">
        <v>0</v>
      </c>
      <c r="I3270" s="12">
        <v>0</v>
      </c>
      <c r="J3270" s="9" t="s">
        <v>3</v>
      </c>
      <c r="K3270" s="8">
        <v>0</v>
      </c>
    </row>
    <row r="3271" spans="1:11">
      <c r="A3271" s="2" t="s">
        <v>3546</v>
      </c>
      <c r="B3271" s="2" t="s">
        <v>3547</v>
      </c>
      <c r="C3271" s="9">
        <v>50080627</v>
      </c>
      <c r="D3271" s="2" t="s">
        <v>4725</v>
      </c>
      <c r="E3271" s="10">
        <v>1</v>
      </c>
      <c r="F3271" s="9" t="s">
        <v>4521</v>
      </c>
      <c r="G3271" s="11">
        <v>46238</v>
      </c>
      <c r="H3271" s="12">
        <v>0</v>
      </c>
      <c r="I3271" s="12">
        <v>0</v>
      </c>
      <c r="J3271" s="9" t="s">
        <v>3</v>
      </c>
      <c r="K3271" s="8">
        <v>0</v>
      </c>
    </row>
    <row r="3272" spans="1:11">
      <c r="A3272" s="2" t="s">
        <v>3546</v>
      </c>
      <c r="B3272" s="2" t="s">
        <v>3547</v>
      </c>
      <c r="C3272" s="9">
        <v>50080628</v>
      </c>
      <c r="D3272" s="2" t="s">
        <v>4726</v>
      </c>
      <c r="E3272" s="10">
        <v>1</v>
      </c>
      <c r="F3272" s="9" t="s">
        <v>4521</v>
      </c>
      <c r="G3272" s="11">
        <v>46238</v>
      </c>
      <c r="H3272" s="12">
        <v>0</v>
      </c>
      <c r="I3272" s="12">
        <v>0</v>
      </c>
      <c r="J3272" s="9" t="s">
        <v>3</v>
      </c>
      <c r="K3272" s="8">
        <v>0</v>
      </c>
    </row>
    <row r="3273" spans="1:11">
      <c r="A3273" s="2" t="s">
        <v>3546</v>
      </c>
      <c r="B3273" s="2" t="s">
        <v>3547</v>
      </c>
      <c r="C3273" s="9">
        <v>50080629</v>
      </c>
      <c r="D3273" s="2" t="s">
        <v>4727</v>
      </c>
      <c r="E3273" s="10">
        <v>1</v>
      </c>
      <c r="F3273" s="9" t="s">
        <v>4521</v>
      </c>
      <c r="G3273" s="11">
        <v>46238</v>
      </c>
      <c r="H3273" s="12">
        <v>0</v>
      </c>
      <c r="I3273" s="12">
        <v>0</v>
      </c>
      <c r="J3273" s="9" t="s">
        <v>3</v>
      </c>
      <c r="K3273" s="8">
        <v>0</v>
      </c>
    </row>
    <row r="3274" spans="1:11">
      <c r="A3274" s="2" t="s">
        <v>3546</v>
      </c>
      <c r="B3274" s="2" t="s">
        <v>3547</v>
      </c>
      <c r="C3274" s="9">
        <v>50080630</v>
      </c>
      <c r="D3274" s="2" t="s">
        <v>4728</v>
      </c>
      <c r="E3274" s="10">
        <v>1</v>
      </c>
      <c r="F3274" s="9" t="s">
        <v>4521</v>
      </c>
      <c r="G3274" s="11">
        <v>46238</v>
      </c>
      <c r="H3274" s="12">
        <v>0</v>
      </c>
      <c r="I3274" s="12">
        <v>0</v>
      </c>
      <c r="J3274" s="9" t="s">
        <v>3</v>
      </c>
      <c r="K3274" s="8">
        <v>0</v>
      </c>
    </row>
    <row r="3275" spans="1:11">
      <c r="A3275" s="2" t="s">
        <v>3546</v>
      </c>
      <c r="B3275" s="2" t="s">
        <v>3547</v>
      </c>
      <c r="C3275" s="9">
        <v>50080632</v>
      </c>
      <c r="D3275" s="2" t="s">
        <v>4729</v>
      </c>
      <c r="E3275" s="10">
        <v>1</v>
      </c>
      <c r="F3275" s="9" t="s">
        <v>4521</v>
      </c>
      <c r="G3275" s="11">
        <v>46238</v>
      </c>
      <c r="H3275" s="12">
        <v>0</v>
      </c>
      <c r="I3275" s="12">
        <v>0</v>
      </c>
      <c r="J3275" s="9" t="s">
        <v>3</v>
      </c>
      <c r="K3275" s="8">
        <v>0</v>
      </c>
    </row>
    <row r="3276" spans="1:11">
      <c r="A3276" s="2" t="s">
        <v>3546</v>
      </c>
      <c r="B3276" s="2" t="s">
        <v>3547</v>
      </c>
      <c r="C3276" s="9">
        <v>50080635</v>
      </c>
      <c r="D3276" s="2" t="s">
        <v>4730</v>
      </c>
      <c r="E3276" s="10">
        <v>1</v>
      </c>
      <c r="F3276" s="9" t="s">
        <v>4658</v>
      </c>
      <c r="G3276" s="11">
        <v>46238</v>
      </c>
      <c r="H3276" s="12">
        <v>0</v>
      </c>
      <c r="I3276" s="12">
        <v>0</v>
      </c>
      <c r="J3276" s="9" t="s">
        <v>3</v>
      </c>
      <c r="K3276" s="8">
        <v>0</v>
      </c>
    </row>
    <row r="3277" spans="1:11">
      <c r="A3277" s="2" t="s">
        <v>3546</v>
      </c>
      <c r="B3277" s="2" t="s">
        <v>3547</v>
      </c>
      <c r="C3277" s="9">
        <v>50080636</v>
      </c>
      <c r="D3277" s="2" t="s">
        <v>4731</v>
      </c>
      <c r="E3277" s="10">
        <v>1</v>
      </c>
      <c r="F3277" s="9" t="s">
        <v>1506</v>
      </c>
      <c r="G3277" s="11">
        <v>46238</v>
      </c>
      <c r="H3277" s="12">
        <v>0</v>
      </c>
      <c r="I3277" s="12">
        <v>0</v>
      </c>
      <c r="J3277" s="9" t="s">
        <v>3</v>
      </c>
      <c r="K3277" s="8">
        <v>0</v>
      </c>
    </row>
    <row r="3278" spans="1:11">
      <c r="A3278" s="2" t="s">
        <v>3546</v>
      </c>
      <c r="B3278" s="2" t="s">
        <v>3547</v>
      </c>
      <c r="C3278" s="9">
        <v>50080637</v>
      </c>
      <c r="D3278" s="2" t="s">
        <v>4732</v>
      </c>
      <c r="E3278" s="10">
        <v>1</v>
      </c>
      <c r="F3278" s="9" t="s">
        <v>4521</v>
      </c>
      <c r="G3278" s="11">
        <v>46238</v>
      </c>
      <c r="H3278" s="12">
        <v>0</v>
      </c>
      <c r="I3278" s="12">
        <v>0</v>
      </c>
      <c r="J3278" s="9" t="s">
        <v>3</v>
      </c>
      <c r="K3278" s="8">
        <v>0</v>
      </c>
    </row>
    <row r="3279" spans="1:11">
      <c r="A3279" s="2" t="s">
        <v>3546</v>
      </c>
      <c r="B3279" s="2" t="s">
        <v>3547</v>
      </c>
      <c r="C3279" s="9">
        <v>50080638</v>
      </c>
      <c r="D3279" s="2" t="s">
        <v>4733</v>
      </c>
      <c r="E3279" s="10">
        <v>1</v>
      </c>
      <c r="F3279" s="9" t="s">
        <v>4521</v>
      </c>
      <c r="G3279" s="11">
        <v>46238</v>
      </c>
      <c r="H3279" s="12">
        <v>0</v>
      </c>
      <c r="I3279" s="12">
        <v>0</v>
      </c>
      <c r="J3279" s="9" t="s">
        <v>3</v>
      </c>
      <c r="K3279" s="8">
        <v>0</v>
      </c>
    </row>
    <row r="3280" spans="1:11">
      <c r="A3280" s="2" t="s">
        <v>3546</v>
      </c>
      <c r="B3280" s="2" t="s">
        <v>3547</v>
      </c>
      <c r="C3280" s="9">
        <v>50080642</v>
      </c>
      <c r="D3280" s="2" t="s">
        <v>4734</v>
      </c>
      <c r="E3280" s="10">
        <v>1</v>
      </c>
      <c r="F3280" s="9" t="s">
        <v>4521</v>
      </c>
      <c r="G3280" s="11">
        <v>46238</v>
      </c>
      <c r="H3280" s="12">
        <v>0</v>
      </c>
      <c r="I3280" s="12">
        <v>0</v>
      </c>
      <c r="J3280" s="9" t="s">
        <v>3</v>
      </c>
      <c r="K3280" s="8">
        <v>0</v>
      </c>
    </row>
    <row r="3281" spans="1:11">
      <c r="A3281" s="2" t="s">
        <v>3546</v>
      </c>
      <c r="B3281" s="2" t="s">
        <v>3547</v>
      </c>
      <c r="C3281" s="9">
        <v>50080643</v>
      </c>
      <c r="D3281" s="2" t="s">
        <v>4735</v>
      </c>
      <c r="E3281" s="10">
        <v>1</v>
      </c>
      <c r="F3281" s="9" t="s">
        <v>4521</v>
      </c>
      <c r="G3281" s="11">
        <v>46238</v>
      </c>
      <c r="H3281" s="12">
        <v>0</v>
      </c>
      <c r="I3281" s="12">
        <v>0</v>
      </c>
      <c r="J3281" s="9" t="s">
        <v>3</v>
      </c>
      <c r="K3281" s="8">
        <v>0</v>
      </c>
    </row>
    <row r="3282" spans="1:11">
      <c r="A3282" s="2" t="s">
        <v>3546</v>
      </c>
      <c r="B3282" s="2" t="s">
        <v>3547</v>
      </c>
      <c r="C3282" s="9">
        <v>50080653</v>
      </c>
      <c r="D3282" s="2" t="s">
        <v>4736</v>
      </c>
      <c r="E3282" s="10">
        <v>1</v>
      </c>
      <c r="F3282" s="9" t="s">
        <v>4521</v>
      </c>
      <c r="G3282" s="11">
        <v>46238</v>
      </c>
      <c r="H3282" s="12">
        <v>0</v>
      </c>
      <c r="I3282" s="12">
        <v>0</v>
      </c>
      <c r="J3282" s="9" t="s">
        <v>3</v>
      </c>
      <c r="K3282" s="8">
        <v>0</v>
      </c>
    </row>
    <row r="3283" spans="1:11">
      <c r="A3283" s="2" t="s">
        <v>3546</v>
      </c>
      <c r="B3283" s="2" t="s">
        <v>3547</v>
      </c>
      <c r="C3283" s="9">
        <v>50080654</v>
      </c>
      <c r="D3283" s="2" t="s">
        <v>4737</v>
      </c>
      <c r="E3283" s="10">
        <v>1</v>
      </c>
      <c r="F3283" s="9" t="s">
        <v>4521</v>
      </c>
      <c r="G3283" s="11">
        <v>46238</v>
      </c>
      <c r="H3283" s="12">
        <v>0</v>
      </c>
      <c r="I3283" s="12">
        <v>0</v>
      </c>
      <c r="J3283" s="9" t="s">
        <v>3</v>
      </c>
      <c r="K3283" s="8">
        <v>0</v>
      </c>
    </row>
    <row r="3284" spans="1:11">
      <c r="A3284" s="2" t="s">
        <v>3546</v>
      </c>
      <c r="B3284" s="2" t="s">
        <v>3547</v>
      </c>
      <c r="C3284" s="9">
        <v>50080656</v>
      </c>
      <c r="D3284" s="2" t="s">
        <v>4738</v>
      </c>
      <c r="E3284" s="10">
        <v>1</v>
      </c>
      <c r="F3284" s="9" t="s">
        <v>4521</v>
      </c>
      <c r="G3284" s="11">
        <v>46238</v>
      </c>
      <c r="H3284" s="12">
        <v>0</v>
      </c>
      <c r="I3284" s="12">
        <v>0</v>
      </c>
      <c r="J3284" s="9" t="s">
        <v>3</v>
      </c>
      <c r="K3284" s="8">
        <v>0</v>
      </c>
    </row>
    <row r="3285" spans="1:11">
      <c r="A3285" s="2" t="s">
        <v>3546</v>
      </c>
      <c r="B3285" s="2" t="s">
        <v>3547</v>
      </c>
      <c r="C3285" s="9">
        <v>50080657</v>
      </c>
      <c r="D3285" s="2" t="s">
        <v>4739</v>
      </c>
      <c r="E3285" s="10">
        <v>1</v>
      </c>
      <c r="F3285" s="9" t="s">
        <v>4521</v>
      </c>
      <c r="G3285" s="11">
        <v>46238</v>
      </c>
      <c r="H3285" s="12">
        <v>0</v>
      </c>
      <c r="I3285" s="12">
        <v>0</v>
      </c>
      <c r="J3285" s="9" t="s">
        <v>3</v>
      </c>
      <c r="K3285" s="8">
        <v>0</v>
      </c>
    </row>
    <row r="3286" spans="1:11">
      <c r="A3286" s="2" t="s">
        <v>3546</v>
      </c>
      <c r="B3286" s="2" t="s">
        <v>3547</v>
      </c>
      <c r="C3286" s="9">
        <v>50080658</v>
      </c>
      <c r="D3286" s="2" t="s">
        <v>4740</v>
      </c>
      <c r="E3286" s="10">
        <v>1</v>
      </c>
      <c r="F3286" s="9" t="s">
        <v>1506</v>
      </c>
      <c r="G3286" s="11">
        <v>46238</v>
      </c>
      <c r="H3286" s="12">
        <v>0</v>
      </c>
      <c r="I3286" s="12">
        <v>0</v>
      </c>
      <c r="J3286" s="9" t="s">
        <v>3</v>
      </c>
      <c r="K3286" s="8">
        <v>0</v>
      </c>
    </row>
    <row r="3287" spans="1:11">
      <c r="A3287" s="2" t="s">
        <v>3546</v>
      </c>
      <c r="B3287" s="2" t="s">
        <v>3547</v>
      </c>
      <c r="C3287" s="9">
        <v>50080662</v>
      </c>
      <c r="D3287" s="2" t="s">
        <v>4741</v>
      </c>
      <c r="E3287" s="10">
        <v>1</v>
      </c>
      <c r="F3287" s="9" t="s">
        <v>4658</v>
      </c>
      <c r="G3287" s="11">
        <v>46238</v>
      </c>
      <c r="H3287" s="12">
        <v>0</v>
      </c>
      <c r="I3287" s="12">
        <v>0</v>
      </c>
      <c r="J3287" s="9" t="s">
        <v>3</v>
      </c>
      <c r="K3287" s="8">
        <v>0</v>
      </c>
    </row>
    <row r="3288" spans="1:11">
      <c r="A3288" s="2" t="s">
        <v>3546</v>
      </c>
      <c r="B3288" s="2" t="s">
        <v>3547</v>
      </c>
      <c r="C3288" s="9">
        <v>50080666</v>
      </c>
      <c r="D3288" s="2" t="s">
        <v>4742</v>
      </c>
      <c r="E3288" s="10">
        <v>1</v>
      </c>
      <c r="F3288" s="9" t="s">
        <v>829</v>
      </c>
      <c r="G3288" s="11">
        <v>46238</v>
      </c>
      <c r="H3288" s="12">
        <v>0</v>
      </c>
      <c r="I3288" s="12">
        <v>0</v>
      </c>
      <c r="J3288" s="9" t="s">
        <v>3</v>
      </c>
      <c r="K3288" s="8">
        <v>0</v>
      </c>
    </row>
    <row r="3289" spans="1:11">
      <c r="A3289" s="2" t="s">
        <v>2740</v>
      </c>
      <c r="B3289" s="2" t="s">
        <v>3441</v>
      </c>
      <c r="C3289" s="9">
        <v>50095026</v>
      </c>
      <c r="D3289" s="2" t="s">
        <v>4743</v>
      </c>
      <c r="E3289" s="10">
        <v>1</v>
      </c>
      <c r="F3289" s="9" t="s">
        <v>4409</v>
      </c>
      <c r="G3289" s="11">
        <v>46238</v>
      </c>
      <c r="H3289" s="12">
        <v>0</v>
      </c>
      <c r="I3289" s="12">
        <v>0</v>
      </c>
      <c r="J3289" s="9" t="s">
        <v>3</v>
      </c>
      <c r="K3289" s="8">
        <v>0</v>
      </c>
    </row>
    <row r="3290" spans="1:11">
      <c r="A3290" s="2" t="s">
        <v>3546</v>
      </c>
      <c r="B3290" s="2" t="s">
        <v>3547</v>
      </c>
      <c r="C3290" s="9">
        <v>50100011</v>
      </c>
      <c r="D3290" s="2" t="s">
        <v>4744</v>
      </c>
      <c r="E3290" s="10">
        <v>1</v>
      </c>
      <c r="F3290" s="9" t="s">
        <v>4521</v>
      </c>
      <c r="G3290" s="11">
        <v>46238</v>
      </c>
      <c r="H3290" s="12">
        <v>0</v>
      </c>
      <c r="I3290" s="12">
        <v>0</v>
      </c>
      <c r="J3290" s="9" t="s">
        <v>3</v>
      </c>
      <c r="K3290" s="8">
        <v>0</v>
      </c>
    </row>
    <row r="3291" spans="1:11">
      <c r="A3291" s="2" t="s">
        <v>3546</v>
      </c>
      <c r="B3291" s="2" t="s">
        <v>3547</v>
      </c>
      <c r="C3291" s="9">
        <v>50100013</v>
      </c>
      <c r="D3291" s="2" t="s">
        <v>4745</v>
      </c>
      <c r="E3291" s="10">
        <v>1</v>
      </c>
      <c r="F3291" s="9" t="s">
        <v>4521</v>
      </c>
      <c r="G3291" s="11">
        <v>46238</v>
      </c>
      <c r="H3291" s="12">
        <v>0</v>
      </c>
      <c r="I3291" s="12">
        <v>0</v>
      </c>
      <c r="J3291" s="9" t="s">
        <v>3</v>
      </c>
      <c r="K3291" s="8">
        <v>0</v>
      </c>
    </row>
    <row r="3292" spans="1:11">
      <c r="A3292" s="2" t="s">
        <v>3546</v>
      </c>
      <c r="B3292" s="2" t="s">
        <v>3547</v>
      </c>
      <c r="C3292" s="9">
        <v>50100014</v>
      </c>
      <c r="D3292" s="2" t="s">
        <v>4746</v>
      </c>
      <c r="E3292" s="10">
        <v>1</v>
      </c>
      <c r="F3292" s="9" t="s">
        <v>4521</v>
      </c>
      <c r="G3292" s="11">
        <v>46238</v>
      </c>
      <c r="H3292" s="12">
        <v>0</v>
      </c>
      <c r="I3292" s="12">
        <v>0</v>
      </c>
      <c r="J3292" s="9" t="s">
        <v>3</v>
      </c>
      <c r="K3292" s="8">
        <v>0</v>
      </c>
    </row>
    <row r="3293" spans="1:11">
      <c r="A3293" s="2" t="s">
        <v>3546</v>
      </c>
      <c r="B3293" s="2" t="s">
        <v>3547</v>
      </c>
      <c r="C3293" s="9">
        <v>50100015</v>
      </c>
      <c r="D3293" s="2" t="s">
        <v>4747</v>
      </c>
      <c r="E3293" s="10">
        <v>1</v>
      </c>
      <c r="F3293" s="9" t="s">
        <v>4521</v>
      </c>
      <c r="G3293" s="11">
        <v>46238</v>
      </c>
      <c r="H3293" s="12">
        <v>0</v>
      </c>
      <c r="I3293" s="12">
        <v>0</v>
      </c>
      <c r="J3293" s="9" t="s">
        <v>3</v>
      </c>
      <c r="K3293" s="8">
        <v>0</v>
      </c>
    </row>
    <row r="3294" spans="1:11">
      <c r="A3294" s="2" t="s">
        <v>949</v>
      </c>
      <c r="B3294" s="2" t="s">
        <v>953</v>
      </c>
      <c r="C3294" s="9">
        <v>50100020</v>
      </c>
      <c r="D3294" s="2" t="s">
        <v>4748</v>
      </c>
      <c r="E3294" s="10">
        <v>1</v>
      </c>
      <c r="F3294" s="9" t="s">
        <v>4521</v>
      </c>
      <c r="G3294" s="11">
        <v>46238</v>
      </c>
      <c r="H3294" s="12">
        <v>0</v>
      </c>
      <c r="I3294" s="12">
        <v>0</v>
      </c>
      <c r="J3294" s="9" t="s">
        <v>3</v>
      </c>
      <c r="K3294" s="8">
        <v>0</v>
      </c>
    </row>
    <row r="3295" spans="1:11">
      <c r="A3295" s="2" t="s">
        <v>607</v>
      </c>
      <c r="B3295" s="2" t="s">
        <v>608</v>
      </c>
      <c r="C3295" s="9">
        <v>50100021</v>
      </c>
      <c r="D3295" s="2" t="s">
        <v>4749</v>
      </c>
      <c r="E3295" s="10">
        <v>1</v>
      </c>
      <c r="F3295" s="9" t="s">
        <v>4409</v>
      </c>
      <c r="G3295" s="11">
        <v>46238</v>
      </c>
      <c r="H3295" s="12">
        <v>0</v>
      </c>
      <c r="I3295" s="12">
        <v>0</v>
      </c>
      <c r="J3295" s="9" t="s">
        <v>3</v>
      </c>
      <c r="K3295" s="8">
        <v>0</v>
      </c>
    </row>
    <row r="3296" spans="1:11">
      <c r="A3296" s="2" t="s">
        <v>607</v>
      </c>
      <c r="B3296" s="2" t="s">
        <v>608</v>
      </c>
      <c r="C3296" s="9">
        <v>50100023</v>
      </c>
      <c r="D3296" s="2" t="s">
        <v>4655</v>
      </c>
      <c r="E3296" s="10">
        <v>1</v>
      </c>
      <c r="F3296" s="9" t="s">
        <v>4409</v>
      </c>
      <c r="G3296" s="11">
        <v>46238</v>
      </c>
      <c r="H3296" s="12">
        <v>0</v>
      </c>
      <c r="I3296" s="12">
        <v>0</v>
      </c>
      <c r="J3296" s="9" t="s">
        <v>3</v>
      </c>
      <c r="K3296" s="8">
        <v>0</v>
      </c>
    </row>
    <row r="3297" spans="1:11">
      <c r="A3297" s="2" t="s">
        <v>1255</v>
      </c>
      <c r="B3297" s="2" t="s">
        <v>1501</v>
      </c>
      <c r="C3297" s="9">
        <v>50100024</v>
      </c>
      <c r="D3297" s="2" t="s">
        <v>4750</v>
      </c>
      <c r="E3297" s="10">
        <v>1</v>
      </c>
      <c r="F3297" s="9" t="s">
        <v>1506</v>
      </c>
      <c r="G3297" s="11">
        <v>46238</v>
      </c>
      <c r="H3297" s="12">
        <v>0</v>
      </c>
      <c r="I3297" s="12">
        <v>0</v>
      </c>
      <c r="J3297" s="9" t="s">
        <v>3</v>
      </c>
      <c r="K3297" s="8">
        <v>0</v>
      </c>
    </row>
  </sheetData>
  <autoFilter ref="A1:K3297" xr:uid="{00000000-0009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F55E-ABFB-4F1A-A544-6727F1FB252F}">
  <sheetPr>
    <outlinePr summaryBelow="0"/>
  </sheetPr>
  <dimension ref="A1:P370"/>
  <sheetViews>
    <sheetView tabSelected="1" workbookViewId="0">
      <pane ySplit="1" topLeftCell="A2" activePane="bottomLeft" state="frozen"/>
      <selection pane="bottomLeft" activeCell="H19" sqref="H18:H19"/>
    </sheetView>
  </sheetViews>
  <sheetFormatPr defaultRowHeight="14.1"/>
  <cols>
    <col min="1" max="1" width="21.875" customWidth="1"/>
    <col min="2" max="2" width="22.25" bestFit="1" customWidth="1"/>
    <col min="3" max="3" width="10.25" customWidth="1"/>
    <col min="4" max="4" width="33.875" customWidth="1"/>
    <col min="5" max="5" width="8.5" customWidth="1"/>
    <col min="6" max="6" width="7.875" customWidth="1"/>
    <col min="7" max="7" width="11.875" customWidth="1"/>
    <col min="8" max="8" width="11.75" style="6" bestFit="1" customWidth="1"/>
    <col min="9" max="9" width="17.375" bestFit="1" customWidth="1"/>
    <col min="10" max="10" width="14.5" customWidth="1"/>
    <col min="11" max="11" width="10.125" style="6" customWidth="1"/>
    <col min="12" max="12" width="14.75" style="9" customWidth="1"/>
    <col min="13" max="13" width="13.625" style="9" customWidth="1"/>
    <col min="14" max="14" width="14" bestFit="1" customWidth="1"/>
    <col min="15" max="15" width="10.125" style="6" customWidth="1"/>
  </cols>
  <sheetData>
    <row r="1" spans="1:16" s="13" customFormat="1" ht="27.95">
      <c r="A1" s="13" t="s">
        <v>598</v>
      </c>
      <c r="B1" s="13" t="s">
        <v>4751</v>
      </c>
      <c r="C1" s="13" t="s">
        <v>130</v>
      </c>
      <c r="D1" s="13" t="s">
        <v>131</v>
      </c>
      <c r="E1" s="13" t="s">
        <v>4752</v>
      </c>
      <c r="F1" s="13" t="s">
        <v>601</v>
      </c>
      <c r="G1" s="13" t="s">
        <v>602</v>
      </c>
      <c r="H1" s="13" t="s">
        <v>146</v>
      </c>
      <c r="I1" s="13" t="s">
        <v>4753</v>
      </c>
      <c r="J1" s="13" t="s">
        <v>4754</v>
      </c>
      <c r="K1" s="13" t="s">
        <v>4755</v>
      </c>
      <c r="L1" s="13" t="s">
        <v>4756</v>
      </c>
      <c r="M1" s="13" t="s">
        <v>4757</v>
      </c>
      <c r="N1" s="13" t="s">
        <v>9</v>
      </c>
      <c r="O1" s="13" t="s">
        <v>4758</v>
      </c>
      <c r="P1" s="13" t="s">
        <v>4759</v>
      </c>
    </row>
    <row r="2" spans="1:16" s="32" customFormat="1">
      <c r="A2" s="32" t="str">
        <f>_xlfn.XLOOKUP(C:C,'Price List'!C:C,'Price List'!A:A)</f>
        <v>JAMES TYSON</v>
      </c>
      <c r="B2" s="33" t="s">
        <v>1075</v>
      </c>
      <c r="C2" s="34">
        <v>10015389</v>
      </c>
      <c r="D2" s="33" t="s">
        <v>4760</v>
      </c>
      <c r="E2" s="34">
        <f>_xlfn.XLOOKUP(C:C,'Price List'!C:C,'Price List'!K:K)</f>
        <v>0</v>
      </c>
      <c r="F2" s="34">
        <f>_xlfn.XLOOKUP(C:C,'Price List'!C:C,'Price List'!E:E)</f>
        <v>8</v>
      </c>
      <c r="G2" s="34" t="str">
        <f>_xlfn.XLOOKUP(C:C,'Price List'!C:C,'Price List'!F:F)</f>
        <v>340 GR</v>
      </c>
      <c r="H2" s="35" t="s">
        <v>5</v>
      </c>
      <c r="I2" s="33" t="s">
        <v>4761</v>
      </c>
      <c r="J2" s="33" t="s">
        <v>4762</v>
      </c>
      <c r="K2" s="35" t="s">
        <v>4763</v>
      </c>
      <c r="L2" s="36">
        <v>46158</v>
      </c>
      <c r="M2" s="37">
        <v>29</v>
      </c>
      <c r="N2" s="32" t="str">
        <f t="shared" ref="N2:N65" si="0">C2 &amp; "_" &amp; 2910</f>
        <v>10015389_2910</v>
      </c>
      <c r="O2" s="35">
        <f>_xlfn.XLOOKUP(N2,Allocation!H:H,Allocation!C:C,0)</f>
        <v>0</v>
      </c>
      <c r="P2" s="39">
        <f>M2-O2</f>
        <v>29</v>
      </c>
    </row>
    <row r="3" spans="1:16" s="32" customFormat="1">
      <c r="A3" s="32" t="str">
        <f>_xlfn.XLOOKUP(C:C,'Price List'!C:C,'Price List'!A:A)</f>
        <v>NISA DELEON</v>
      </c>
      <c r="B3" s="33" t="s">
        <v>2385</v>
      </c>
      <c r="C3" s="34">
        <v>10050613</v>
      </c>
      <c r="D3" s="33" t="s">
        <v>478</v>
      </c>
      <c r="E3" s="34">
        <f>_xlfn.XLOOKUP(C:C,'Price List'!C:C,'Price List'!K:K)</f>
        <v>0</v>
      </c>
      <c r="F3" s="34">
        <f>_xlfn.XLOOKUP(C:C,'Price List'!C:C,'Price List'!E:E)</f>
        <v>12</v>
      </c>
      <c r="G3" s="34" t="str">
        <f>_xlfn.XLOOKUP(C:C,'Price List'!C:C,'Price List'!F:F)</f>
        <v>68 GR</v>
      </c>
      <c r="H3" s="35" t="s">
        <v>4</v>
      </c>
      <c r="I3" s="33" t="s">
        <v>4764</v>
      </c>
      <c r="J3" s="33" t="s">
        <v>4765</v>
      </c>
      <c r="K3" s="35" t="s">
        <v>4763</v>
      </c>
      <c r="L3" s="36">
        <v>46161</v>
      </c>
      <c r="M3" s="37">
        <v>49</v>
      </c>
      <c r="N3" s="32" t="str">
        <f t="shared" si="0"/>
        <v>10050613_2910</v>
      </c>
      <c r="O3" s="35">
        <f>_xlfn.XLOOKUP(N3,Allocation!H:H,Allocation!C:C,0)</f>
        <v>0</v>
      </c>
      <c r="P3" s="39">
        <f t="shared" ref="P3:P66" si="1">M3-O3</f>
        <v>49</v>
      </c>
    </row>
    <row r="4" spans="1:16" s="32" customFormat="1">
      <c r="A4" s="32" t="str">
        <f>_xlfn.XLOOKUP(C:C,'Price List'!C:C,'Price List'!A:A)</f>
        <v>AMOL PRAKASH</v>
      </c>
      <c r="B4" s="33" t="s">
        <v>726</v>
      </c>
      <c r="C4" s="34">
        <v>10015807</v>
      </c>
      <c r="D4" s="33" t="s">
        <v>4766</v>
      </c>
      <c r="E4" s="34">
        <f>_xlfn.XLOOKUP(C:C,'Price List'!C:C,'Price List'!K:K)</f>
        <v>0</v>
      </c>
      <c r="F4" s="34">
        <f>_xlfn.XLOOKUP(C:C,'Price List'!C:C,'Price List'!E:E)</f>
        <v>8</v>
      </c>
      <c r="G4" s="34" t="str">
        <f>_xlfn.XLOOKUP(C:C,'Price List'!C:C,'Price List'!F:F)</f>
        <v>320 GR</v>
      </c>
      <c r="H4" s="35" t="s">
        <v>5</v>
      </c>
      <c r="I4" s="33" t="s">
        <v>4761</v>
      </c>
      <c r="J4" s="33" t="s">
        <v>4767</v>
      </c>
      <c r="K4" s="35" t="s">
        <v>4763</v>
      </c>
      <c r="L4" s="36">
        <v>46167</v>
      </c>
      <c r="M4" s="37">
        <v>6</v>
      </c>
      <c r="N4" s="32" t="str">
        <f t="shared" si="0"/>
        <v>10015807_2910</v>
      </c>
      <c r="O4" s="35">
        <f>_xlfn.XLOOKUP(N4,Allocation!H:H,Allocation!C:C,0)</f>
        <v>0</v>
      </c>
      <c r="P4" s="39">
        <f t="shared" si="1"/>
        <v>6</v>
      </c>
    </row>
    <row r="5" spans="1:16" s="32" customFormat="1">
      <c r="A5" s="32" t="str">
        <f>_xlfn.XLOOKUP(C:C,'Price List'!C:C,'Price List'!A:A)</f>
        <v>WARREN PARK</v>
      </c>
      <c r="B5" s="33" t="s">
        <v>1488</v>
      </c>
      <c r="C5" s="34">
        <v>10020850</v>
      </c>
      <c r="D5" s="33" t="s">
        <v>461</v>
      </c>
      <c r="E5" s="34">
        <f>_xlfn.XLOOKUP(C:C,'Price List'!C:C,'Price List'!K:K)</f>
        <v>0</v>
      </c>
      <c r="F5" s="34">
        <f>_xlfn.XLOOKUP(C:C,'Price List'!C:C,'Price List'!E:E)</f>
        <v>20</v>
      </c>
      <c r="G5" s="34" t="str">
        <f>_xlfn.XLOOKUP(C:C,'Price List'!C:C,'Price List'!F:F)</f>
        <v>45 GR</v>
      </c>
      <c r="H5" s="35" t="s">
        <v>4</v>
      </c>
      <c r="I5" s="33" t="s">
        <v>4764</v>
      </c>
      <c r="J5" s="33" t="s">
        <v>4768</v>
      </c>
      <c r="K5" s="35" t="s">
        <v>4763</v>
      </c>
      <c r="L5" s="36">
        <v>46170</v>
      </c>
      <c r="M5" s="37">
        <v>5</v>
      </c>
      <c r="N5" s="32" t="str">
        <f t="shared" si="0"/>
        <v>10020850_2910</v>
      </c>
      <c r="O5" s="35">
        <f>_xlfn.XLOOKUP(N5,Allocation!H:H,Allocation!C:C,0)</f>
        <v>0</v>
      </c>
      <c r="P5" s="39">
        <f t="shared" si="1"/>
        <v>5</v>
      </c>
    </row>
    <row r="6" spans="1:16" s="32" customFormat="1">
      <c r="A6" s="32" t="str">
        <f>_xlfn.XLOOKUP(C:C,'Price List'!C:C,'Price List'!A:A)</f>
        <v>JASON MULDOON PT</v>
      </c>
      <c r="B6" s="33" t="s">
        <v>2671</v>
      </c>
      <c r="C6" s="34">
        <v>10054147</v>
      </c>
      <c r="D6" s="33" t="s">
        <v>537</v>
      </c>
      <c r="E6" s="34">
        <f>_xlfn.XLOOKUP(C:C,'Price List'!C:C,'Price List'!K:K)</f>
        <v>0</v>
      </c>
      <c r="F6" s="34">
        <f>_xlfn.XLOOKUP(C:C,'Price List'!C:C,'Price List'!E:E)</f>
        <v>12</v>
      </c>
      <c r="G6" s="34" t="str">
        <f>_xlfn.XLOOKUP(C:C,'Price List'!C:C,'Price List'!F:F)</f>
        <v>55 GR</v>
      </c>
      <c r="H6" s="35" t="s">
        <v>4</v>
      </c>
      <c r="I6" s="33" t="s">
        <v>4764</v>
      </c>
      <c r="J6" s="33" t="s">
        <v>4769</v>
      </c>
      <c r="K6" s="35" t="s">
        <v>4763</v>
      </c>
      <c r="L6" s="36">
        <v>46172</v>
      </c>
      <c r="M6" s="37">
        <v>7</v>
      </c>
      <c r="N6" s="32" t="str">
        <f t="shared" si="0"/>
        <v>10054147_2910</v>
      </c>
      <c r="O6" s="35">
        <f>_xlfn.XLOOKUP(N6,Allocation!H:H,Allocation!C:C,0)</f>
        <v>0</v>
      </c>
      <c r="P6" s="39">
        <f t="shared" si="1"/>
        <v>7</v>
      </c>
    </row>
    <row r="7" spans="1:16" s="32" customFormat="1">
      <c r="A7" s="32" t="str">
        <f>_xlfn.XLOOKUP(C:C,'Price List'!C:C,'Price List'!A:A)</f>
        <v>SAMANTHA RODRIGUES GB</v>
      </c>
      <c r="B7" s="33" t="s">
        <v>3649</v>
      </c>
      <c r="C7" s="34">
        <v>30083538</v>
      </c>
      <c r="D7" s="33" t="s">
        <v>4770</v>
      </c>
      <c r="E7" s="34">
        <f>_xlfn.XLOOKUP(C:C,'Price List'!C:C,'Price List'!K:K)</f>
        <v>0</v>
      </c>
      <c r="F7" s="34">
        <f>_xlfn.XLOOKUP(C:C,'Price List'!C:C,'Price List'!E:E)</f>
        <v>48</v>
      </c>
      <c r="G7" s="34" t="str">
        <f>_xlfn.XLOOKUP(C:C,'Price List'!C:C,'Price List'!F:F)</f>
        <v>SHIPPER</v>
      </c>
      <c r="H7" s="35" t="s">
        <v>4</v>
      </c>
      <c r="I7" s="33" t="s">
        <v>4764</v>
      </c>
      <c r="J7" s="33" t="s">
        <v>4771</v>
      </c>
      <c r="K7" s="35" t="s">
        <v>4763</v>
      </c>
      <c r="L7" s="36">
        <v>46172</v>
      </c>
      <c r="M7" s="37">
        <v>3</v>
      </c>
      <c r="N7" s="32" t="str">
        <f t="shared" si="0"/>
        <v>30083538_2910</v>
      </c>
      <c r="O7" s="35">
        <f>_xlfn.XLOOKUP(N7,Allocation!H:H,Allocation!C:C,0)</f>
        <v>0</v>
      </c>
      <c r="P7" s="39">
        <f t="shared" si="1"/>
        <v>3</v>
      </c>
    </row>
    <row r="8" spans="1:16" s="32" customFormat="1">
      <c r="A8" s="32" t="str">
        <f>_xlfn.XLOOKUP(C:C,'Price List'!C:C,'Price List'!A:A)</f>
        <v>NANCY QUISPE PT</v>
      </c>
      <c r="B8" s="33" t="s">
        <v>1207</v>
      </c>
      <c r="C8" s="34">
        <v>10017604</v>
      </c>
      <c r="D8" s="33" t="s">
        <v>451</v>
      </c>
      <c r="E8" s="34">
        <f>_xlfn.XLOOKUP(C:C,'Price List'!C:C,'Price List'!K:K)</f>
        <v>0</v>
      </c>
      <c r="F8" s="34">
        <f>_xlfn.XLOOKUP(C:C,'Price List'!C:C,'Price List'!E:E)</f>
        <v>5</v>
      </c>
      <c r="G8" s="34" t="str">
        <f>_xlfn.XLOOKUP(C:C,'Price List'!C:C,'Price List'!F:F)</f>
        <v>375 ML</v>
      </c>
      <c r="H8" s="35" t="s">
        <v>4</v>
      </c>
      <c r="I8" s="33" t="s">
        <v>4764</v>
      </c>
      <c r="J8" s="33" t="s">
        <v>4772</v>
      </c>
      <c r="K8" s="35" t="s">
        <v>4763</v>
      </c>
      <c r="L8" s="36">
        <v>46173</v>
      </c>
      <c r="M8" s="37">
        <v>145</v>
      </c>
      <c r="N8" s="32" t="str">
        <f t="shared" si="0"/>
        <v>10017604_2910</v>
      </c>
      <c r="O8" s="35">
        <f>_xlfn.XLOOKUP(N8,Allocation!H:H,Allocation!C:C,0)</f>
        <v>0</v>
      </c>
      <c r="P8" s="39">
        <f t="shared" si="1"/>
        <v>145</v>
      </c>
    </row>
    <row r="9" spans="1:16" s="32" customFormat="1">
      <c r="A9" s="32" t="str">
        <f>_xlfn.XLOOKUP(C:C,'Price List'!C:C,'Price List'!A:A)</f>
        <v>MICHELLE JEWELL NT</v>
      </c>
      <c r="B9" s="33" t="s">
        <v>1914</v>
      </c>
      <c r="C9" s="34">
        <v>10038127</v>
      </c>
      <c r="D9" s="33" t="s">
        <v>4773</v>
      </c>
      <c r="E9" s="34">
        <f>_xlfn.XLOOKUP(C:C,'Price List'!C:C,'Price List'!K:K)</f>
        <v>0</v>
      </c>
      <c r="F9" s="34">
        <f>_xlfn.XLOOKUP(C:C,'Price List'!C:C,'Price List'!E:E)</f>
        <v>5</v>
      </c>
      <c r="G9" s="34" t="str">
        <f>_xlfn.XLOOKUP(C:C,'Price List'!C:C,'Price List'!F:F)</f>
        <v>240 GR</v>
      </c>
      <c r="H9" s="35" t="s">
        <v>4</v>
      </c>
      <c r="I9" s="33" t="s">
        <v>4764</v>
      </c>
      <c r="J9" s="33" t="s">
        <v>4774</v>
      </c>
      <c r="K9" s="35" t="s">
        <v>4763</v>
      </c>
      <c r="L9" s="36">
        <v>46174</v>
      </c>
      <c r="M9" s="37">
        <v>119</v>
      </c>
      <c r="N9" s="32" t="str">
        <f t="shared" si="0"/>
        <v>10038127_2910</v>
      </c>
      <c r="O9" s="35">
        <f>_xlfn.XLOOKUP(N9,Allocation!H:H,Allocation!C:C,0)</f>
        <v>0</v>
      </c>
      <c r="P9" s="39">
        <f t="shared" si="1"/>
        <v>119</v>
      </c>
    </row>
    <row r="10" spans="1:16" s="32" customFormat="1">
      <c r="A10" s="32" t="str">
        <f>_xlfn.XLOOKUP(C:C,'Price List'!C:C,'Price List'!A:A)</f>
        <v>NIKISHA MOHAMMED</v>
      </c>
      <c r="B10" s="33" t="s">
        <v>2231</v>
      </c>
      <c r="C10" s="34">
        <v>10043078</v>
      </c>
      <c r="D10" s="33" t="s">
        <v>4775</v>
      </c>
      <c r="E10" s="34">
        <f>_xlfn.XLOOKUP(C:C,'Price List'!C:C,'Price List'!K:K)</f>
        <v>0</v>
      </c>
      <c r="F10" s="34">
        <f>_xlfn.XLOOKUP(C:C,'Price List'!C:C,'Price List'!E:E)</f>
        <v>10</v>
      </c>
      <c r="G10" s="34" t="str">
        <f>_xlfn.XLOOKUP(C:C,'Price List'!C:C,'Price List'!F:F)</f>
        <v>90 GR</v>
      </c>
      <c r="H10" s="35" t="s">
        <v>4</v>
      </c>
      <c r="I10" s="33" t="s">
        <v>4764</v>
      </c>
      <c r="J10" s="33" t="s">
        <v>4776</v>
      </c>
      <c r="K10" s="35" t="s">
        <v>4763</v>
      </c>
      <c r="L10" s="36">
        <v>46179</v>
      </c>
      <c r="M10" s="37">
        <v>2</v>
      </c>
      <c r="N10" s="32" t="str">
        <f t="shared" si="0"/>
        <v>10043078_2910</v>
      </c>
      <c r="O10" s="35">
        <f>_xlfn.XLOOKUP(N10,Allocation!H:H,Allocation!C:C,0)</f>
        <v>0</v>
      </c>
      <c r="P10" s="39">
        <f t="shared" si="1"/>
        <v>2</v>
      </c>
    </row>
    <row r="11" spans="1:16" s="32" customFormat="1">
      <c r="A11" s="32" t="str">
        <f>_xlfn.XLOOKUP(C:C,'Price List'!C:C,'Price List'!A:A)</f>
        <v>NIKISHA MOHAMMED</v>
      </c>
      <c r="B11" s="33" t="s">
        <v>2199</v>
      </c>
      <c r="C11" s="34">
        <v>10041273</v>
      </c>
      <c r="D11" s="33" t="s">
        <v>390</v>
      </c>
      <c r="E11" s="34">
        <f>_xlfn.XLOOKUP(C:C,'Price List'!C:C,'Price List'!K:K)</f>
        <v>0</v>
      </c>
      <c r="F11" s="34">
        <f>_xlfn.XLOOKUP(C:C,'Price List'!C:C,'Price List'!E:E)</f>
        <v>7</v>
      </c>
      <c r="G11" s="34" t="str">
        <f>_xlfn.XLOOKUP(C:C,'Price List'!C:C,'Price List'!F:F)</f>
        <v>933 GR</v>
      </c>
      <c r="H11" s="35" t="s">
        <v>4</v>
      </c>
      <c r="I11" s="33" t="s">
        <v>4764</v>
      </c>
      <c r="J11" s="33" t="s">
        <v>4777</v>
      </c>
      <c r="K11" s="35" t="s">
        <v>4763</v>
      </c>
      <c r="L11" s="36">
        <v>46179</v>
      </c>
      <c r="M11" s="37">
        <v>25</v>
      </c>
      <c r="N11" s="32" t="str">
        <f t="shared" si="0"/>
        <v>10041273_2910</v>
      </c>
      <c r="O11" s="35">
        <f>_xlfn.XLOOKUP(N11,Allocation!H:H,Allocation!C:C,0)</f>
        <v>0</v>
      </c>
      <c r="P11" s="39">
        <f t="shared" si="1"/>
        <v>25</v>
      </c>
    </row>
    <row r="12" spans="1:16" s="32" customFormat="1">
      <c r="A12" s="32" t="str">
        <f>_xlfn.XLOOKUP(C:C,'Price List'!C:C,'Price List'!A:A)</f>
        <v>NIKISHA MOHAMMED</v>
      </c>
      <c r="B12" s="33" t="s">
        <v>2199</v>
      </c>
      <c r="C12" s="34">
        <v>10041273</v>
      </c>
      <c r="D12" s="33" t="s">
        <v>390</v>
      </c>
      <c r="E12" s="34">
        <f>_xlfn.XLOOKUP(C:C,'Price List'!C:C,'Price List'!K:K)</f>
        <v>0</v>
      </c>
      <c r="F12" s="34">
        <f>_xlfn.XLOOKUP(C:C,'Price List'!C:C,'Price List'!E:E)</f>
        <v>7</v>
      </c>
      <c r="G12" s="34" t="str">
        <f>_xlfn.XLOOKUP(C:C,'Price List'!C:C,'Price List'!F:F)</f>
        <v>933 GR</v>
      </c>
      <c r="H12" s="35" t="s">
        <v>4</v>
      </c>
      <c r="I12" s="33" t="s">
        <v>4764</v>
      </c>
      <c r="J12" s="33" t="s">
        <v>4778</v>
      </c>
      <c r="K12" s="35" t="s">
        <v>4763</v>
      </c>
      <c r="L12" s="36">
        <v>46179</v>
      </c>
      <c r="M12" s="37">
        <v>45</v>
      </c>
      <c r="N12" s="32" t="str">
        <f t="shared" si="0"/>
        <v>10041273_2910</v>
      </c>
      <c r="O12" s="35">
        <f>_xlfn.XLOOKUP(N12,Allocation!H:H,Allocation!C:C,0)</f>
        <v>0</v>
      </c>
      <c r="P12" s="39">
        <f t="shared" si="1"/>
        <v>45</v>
      </c>
    </row>
    <row r="13" spans="1:16" s="32" customFormat="1">
      <c r="A13" s="32" t="str">
        <f>_xlfn.XLOOKUP(C:C,'Price List'!C:C,'Price List'!A:A)</f>
        <v>ANABELA NEVES PR</v>
      </c>
      <c r="B13" s="33" t="s">
        <v>2991</v>
      </c>
      <c r="C13" s="34">
        <v>10061010</v>
      </c>
      <c r="D13" s="33" t="s">
        <v>208</v>
      </c>
      <c r="E13" s="34">
        <f>_xlfn.XLOOKUP(C:C,'Price List'!C:C,'Price List'!K:K)</f>
        <v>0</v>
      </c>
      <c r="F13" s="34">
        <f>_xlfn.XLOOKUP(C:C,'Price List'!C:C,'Price List'!E:E)</f>
        <v>12</v>
      </c>
      <c r="G13" s="34" t="str">
        <f>_xlfn.XLOOKUP(C:C,'Price List'!C:C,'Price List'!F:F)</f>
        <v>150 GR</v>
      </c>
      <c r="H13" s="35" t="s">
        <v>4</v>
      </c>
      <c r="I13" s="33" t="s">
        <v>4764</v>
      </c>
      <c r="J13" s="33" t="s">
        <v>4779</v>
      </c>
      <c r="K13" s="35" t="s">
        <v>4763</v>
      </c>
      <c r="L13" s="36">
        <v>46180</v>
      </c>
      <c r="M13" s="37">
        <v>42</v>
      </c>
      <c r="N13" s="32" t="str">
        <f t="shared" si="0"/>
        <v>10061010_2910</v>
      </c>
      <c r="O13" s="35">
        <f>_xlfn.XLOOKUP(N13,Allocation!H:H,Allocation!C:C,0)</f>
        <v>0</v>
      </c>
      <c r="P13" s="39">
        <f t="shared" si="1"/>
        <v>42</v>
      </c>
    </row>
    <row r="14" spans="1:16" s="32" customFormat="1">
      <c r="A14" s="32" t="str">
        <f>_xlfn.XLOOKUP(C:C,'Price List'!C:C,'Price List'!A:A)</f>
        <v>SERENA LEE PR</v>
      </c>
      <c r="B14" s="33" t="s">
        <v>1320</v>
      </c>
      <c r="C14" s="34">
        <v>10019648</v>
      </c>
      <c r="D14" s="33" t="s">
        <v>284</v>
      </c>
      <c r="E14" s="34">
        <f>_xlfn.XLOOKUP(C:C,'Price List'!C:C,'Price List'!K:K)</f>
        <v>0</v>
      </c>
      <c r="F14" s="34">
        <f>_xlfn.XLOOKUP(C:C,'Price List'!C:C,'Price List'!E:E)</f>
        <v>8</v>
      </c>
      <c r="G14" s="34" t="str">
        <f>_xlfn.XLOOKUP(C:C,'Price List'!C:C,'Price List'!F:F)</f>
        <v>170 GR</v>
      </c>
      <c r="H14" s="35" t="s">
        <v>4</v>
      </c>
      <c r="I14" s="33" t="s">
        <v>4764</v>
      </c>
      <c r="J14" s="33" t="s">
        <v>4780</v>
      </c>
      <c r="K14" s="35" t="s">
        <v>4763</v>
      </c>
      <c r="L14" s="36">
        <v>46182</v>
      </c>
      <c r="M14" s="37">
        <v>1</v>
      </c>
      <c r="N14" s="32" t="str">
        <f t="shared" si="0"/>
        <v>10019648_2910</v>
      </c>
      <c r="O14" s="35">
        <f>_xlfn.XLOOKUP(N14,Allocation!H:H,Allocation!C:C,0)</f>
        <v>0</v>
      </c>
      <c r="P14" s="39">
        <f t="shared" si="1"/>
        <v>1</v>
      </c>
    </row>
    <row r="15" spans="1:16" s="32" customFormat="1">
      <c r="A15" s="32" t="str">
        <f>_xlfn.XLOOKUP(C:C,'Price List'!C:C,'Price List'!A:A)</f>
        <v>NATASHA KING PR</v>
      </c>
      <c r="B15" s="33" t="s">
        <v>938</v>
      </c>
      <c r="C15" s="34">
        <v>10011275</v>
      </c>
      <c r="D15" s="33" t="s">
        <v>476</v>
      </c>
      <c r="E15" s="34">
        <f>_xlfn.XLOOKUP(C:C,'Price List'!C:C,'Price List'!K:K)</f>
        <v>0</v>
      </c>
      <c r="F15" s="34">
        <f>_xlfn.XLOOKUP(C:C,'Price List'!C:C,'Price List'!E:E)</f>
        <v>6</v>
      </c>
      <c r="G15" s="34" t="str">
        <f>_xlfn.XLOOKUP(C:C,'Price List'!C:C,'Price List'!F:F)</f>
        <v>113 GR</v>
      </c>
      <c r="H15" s="35" t="s">
        <v>4</v>
      </c>
      <c r="I15" s="33" t="s">
        <v>4764</v>
      </c>
      <c r="J15" s="33" t="s">
        <v>4781</v>
      </c>
      <c r="K15" s="35" t="s">
        <v>4763</v>
      </c>
      <c r="L15" s="36">
        <v>46182</v>
      </c>
      <c r="M15" s="37">
        <v>43</v>
      </c>
      <c r="N15" s="32" t="str">
        <f t="shared" si="0"/>
        <v>10011275_2910</v>
      </c>
      <c r="O15" s="35">
        <f>_xlfn.XLOOKUP(N15,Allocation!H:H,Allocation!C:C,0)</f>
        <v>0</v>
      </c>
      <c r="P15" s="39">
        <f t="shared" si="1"/>
        <v>43</v>
      </c>
    </row>
    <row r="16" spans="1:16" s="32" customFormat="1">
      <c r="A16" s="32" t="str">
        <f>_xlfn.XLOOKUP(C:C,'Price List'!C:C,'Price List'!A:A)</f>
        <v>JAMES TYSON</v>
      </c>
      <c r="B16" s="33" t="s">
        <v>739</v>
      </c>
      <c r="C16" s="34">
        <v>10006410</v>
      </c>
      <c r="D16" s="33" t="s">
        <v>4782</v>
      </c>
      <c r="E16" s="34">
        <f>_xlfn.XLOOKUP(C:C,'Price List'!C:C,'Price List'!K:K)</f>
        <v>0</v>
      </c>
      <c r="F16" s="34">
        <f>_xlfn.XLOOKUP(C:C,'Price List'!C:C,'Price List'!E:E)</f>
        <v>6</v>
      </c>
      <c r="G16" s="34" t="str">
        <f>_xlfn.XLOOKUP(C:C,'Price List'!C:C,'Price List'!F:F)</f>
        <v>946 ML</v>
      </c>
      <c r="H16" s="35" t="s">
        <v>4</v>
      </c>
      <c r="I16" s="33" t="s">
        <v>4764</v>
      </c>
      <c r="J16" s="33" t="s">
        <v>4783</v>
      </c>
      <c r="K16" s="35" t="s">
        <v>4763</v>
      </c>
      <c r="L16" s="36">
        <v>46182</v>
      </c>
      <c r="M16" s="37">
        <v>5</v>
      </c>
      <c r="N16" s="32" t="str">
        <f t="shared" si="0"/>
        <v>10006410_2910</v>
      </c>
      <c r="O16" s="35">
        <f>_xlfn.XLOOKUP(N16,Allocation!H:H,Allocation!C:C,0)</f>
        <v>0</v>
      </c>
      <c r="P16" s="39">
        <f t="shared" si="1"/>
        <v>5</v>
      </c>
    </row>
    <row r="17" spans="1:16" s="32" customFormat="1">
      <c r="A17" s="32" t="str">
        <f>_xlfn.XLOOKUP(C:C,'Price List'!C:C,'Price List'!A:A)</f>
        <v>NIKISHA MOHAMMED</v>
      </c>
      <c r="B17" s="33" t="s">
        <v>2224</v>
      </c>
      <c r="C17" s="34">
        <v>10042157</v>
      </c>
      <c r="D17" s="33" t="s">
        <v>522</v>
      </c>
      <c r="E17" s="34">
        <f>_xlfn.XLOOKUP(C:C,'Price List'!C:C,'Price List'!K:K)</f>
        <v>0</v>
      </c>
      <c r="F17" s="34">
        <f>_xlfn.XLOOKUP(C:C,'Price List'!C:C,'Price List'!E:E)</f>
        <v>12</v>
      </c>
      <c r="G17" s="34" t="str">
        <f>_xlfn.XLOOKUP(C:C,'Price List'!C:C,'Price List'!F:F)</f>
        <v>198 GR</v>
      </c>
      <c r="H17" s="35" t="s">
        <v>4</v>
      </c>
      <c r="I17" s="33" t="s">
        <v>4764</v>
      </c>
      <c r="J17" s="33" t="s">
        <v>4784</v>
      </c>
      <c r="K17" s="35" t="s">
        <v>4763</v>
      </c>
      <c r="L17" s="36">
        <v>46183</v>
      </c>
      <c r="M17" s="37">
        <v>1</v>
      </c>
      <c r="N17" s="32" t="str">
        <f t="shared" si="0"/>
        <v>10042157_2910</v>
      </c>
      <c r="O17" s="35">
        <f>_xlfn.XLOOKUP(N17,Allocation!H:H,Allocation!C:C,0)</f>
        <v>0</v>
      </c>
      <c r="P17" s="39">
        <f t="shared" si="1"/>
        <v>1</v>
      </c>
    </row>
    <row r="18" spans="1:16" s="32" customFormat="1">
      <c r="A18" s="32" t="str">
        <f>_xlfn.XLOOKUP(C:C,'Price List'!C:C,'Price List'!A:A)</f>
        <v>WARREN PARK</v>
      </c>
      <c r="B18" s="33" t="s">
        <v>1488</v>
      </c>
      <c r="C18" s="34">
        <v>10020843</v>
      </c>
      <c r="D18" s="33" t="s">
        <v>4785</v>
      </c>
      <c r="E18" s="34">
        <f>_xlfn.XLOOKUP(C:C,'Price List'!C:C,'Price List'!K:K)</f>
        <v>0</v>
      </c>
      <c r="F18" s="34">
        <f>_xlfn.XLOOKUP(C:C,'Price List'!C:C,'Price List'!E:E)</f>
        <v>10</v>
      </c>
      <c r="G18" s="34" t="str">
        <f>_xlfn.XLOOKUP(C:C,'Price List'!C:C,'Price List'!F:F)</f>
        <v>130 GR</v>
      </c>
      <c r="H18" s="35" t="s">
        <v>4</v>
      </c>
      <c r="I18" s="33" t="s">
        <v>4764</v>
      </c>
      <c r="J18" s="33" t="s">
        <v>4786</v>
      </c>
      <c r="K18" s="35" t="s">
        <v>4763</v>
      </c>
      <c r="L18" s="36">
        <v>46184</v>
      </c>
      <c r="M18" s="37">
        <v>1</v>
      </c>
      <c r="N18" s="32" t="str">
        <f t="shared" si="0"/>
        <v>10020843_2910</v>
      </c>
      <c r="O18" s="35">
        <f>_xlfn.XLOOKUP(N18,Allocation!H:H,Allocation!C:C,0)</f>
        <v>0</v>
      </c>
      <c r="P18" s="39">
        <f t="shared" si="1"/>
        <v>1</v>
      </c>
    </row>
    <row r="19" spans="1:16" s="32" customFormat="1">
      <c r="A19" s="32" t="str">
        <f>_xlfn.XLOOKUP(C:C,'Price List'!C:C,'Price List'!A:A)</f>
        <v>AMOL PRAKASH</v>
      </c>
      <c r="B19" s="33" t="s">
        <v>664</v>
      </c>
      <c r="C19" s="34">
        <v>10003070</v>
      </c>
      <c r="D19" s="33" t="s">
        <v>4787</v>
      </c>
      <c r="E19" s="34">
        <f>_xlfn.XLOOKUP(C:C,'Price List'!C:C,'Price List'!K:K)</f>
        <v>0</v>
      </c>
      <c r="F19" s="34">
        <f>_xlfn.XLOOKUP(C:C,'Price List'!C:C,'Price List'!E:E)</f>
        <v>12</v>
      </c>
      <c r="G19" s="34" t="str">
        <f>_xlfn.XLOOKUP(C:C,'Price List'!C:C,'Price List'!F:F)</f>
        <v>946 ML</v>
      </c>
      <c r="H19" s="35" t="s">
        <v>4</v>
      </c>
      <c r="I19" s="33" t="s">
        <v>4764</v>
      </c>
      <c r="J19" s="33" t="s">
        <v>4788</v>
      </c>
      <c r="K19" s="35" t="s">
        <v>4763</v>
      </c>
      <c r="L19" s="36">
        <v>46186</v>
      </c>
      <c r="M19" s="37">
        <v>4</v>
      </c>
      <c r="N19" s="32" t="str">
        <f t="shared" si="0"/>
        <v>10003070_2910</v>
      </c>
      <c r="O19" s="35">
        <f>_xlfn.XLOOKUP(N19,Allocation!H:H,Allocation!C:C,0)</f>
        <v>0</v>
      </c>
      <c r="P19" s="39">
        <f t="shared" si="1"/>
        <v>4</v>
      </c>
    </row>
    <row r="20" spans="1:16" s="32" customFormat="1">
      <c r="A20" s="32" t="str">
        <f>_xlfn.XLOOKUP(C:C,'Price List'!C:C,'Price List'!A:A)</f>
        <v>ANNA MARIA D'ANGELA</v>
      </c>
      <c r="B20" s="33" t="s">
        <v>2026</v>
      </c>
      <c r="C20" s="34">
        <v>10040699</v>
      </c>
      <c r="D20" s="33" t="s">
        <v>589</v>
      </c>
      <c r="E20" s="34">
        <f>_xlfn.XLOOKUP(C:C,'Price List'!C:C,'Price List'!K:K)</f>
        <v>0</v>
      </c>
      <c r="F20" s="34">
        <f>_xlfn.XLOOKUP(C:C,'Price List'!C:C,'Price List'!E:E)</f>
        <v>12</v>
      </c>
      <c r="G20" s="34" t="str">
        <f>_xlfn.XLOOKUP(C:C,'Price List'!C:C,'Price List'!F:F)</f>
        <v>750 ML</v>
      </c>
      <c r="H20" s="35" t="s">
        <v>4</v>
      </c>
      <c r="I20" s="33" t="s">
        <v>4764</v>
      </c>
      <c r="J20" s="33" t="s">
        <v>4789</v>
      </c>
      <c r="K20" s="35" t="s">
        <v>4763</v>
      </c>
      <c r="L20" s="36">
        <v>46186</v>
      </c>
      <c r="M20" s="37">
        <v>2</v>
      </c>
      <c r="N20" s="32" t="str">
        <f t="shared" si="0"/>
        <v>10040699_2910</v>
      </c>
      <c r="O20" s="35">
        <f>_xlfn.XLOOKUP(N20,Allocation!H:H,Allocation!C:C,0)</f>
        <v>23</v>
      </c>
      <c r="P20" s="39">
        <f t="shared" si="1"/>
        <v>-21</v>
      </c>
    </row>
    <row r="21" spans="1:16" s="32" customFormat="1">
      <c r="A21" s="32" t="str">
        <f>_xlfn.XLOOKUP(C:C,'Price List'!C:C,'Price List'!A:A)</f>
        <v>MICHELLE JEWELL NT</v>
      </c>
      <c r="B21" s="33" t="s">
        <v>1914</v>
      </c>
      <c r="C21" s="34">
        <v>10038132</v>
      </c>
      <c r="D21" s="33" t="s">
        <v>462</v>
      </c>
      <c r="E21" s="34">
        <f>_xlfn.XLOOKUP(C:C,'Price List'!C:C,'Price List'!K:K)</f>
        <v>0</v>
      </c>
      <c r="F21" s="34">
        <f>_xlfn.XLOOKUP(C:C,'Price List'!C:C,'Price List'!E:E)</f>
        <v>8</v>
      </c>
      <c r="G21" s="34" t="str">
        <f>_xlfn.XLOOKUP(C:C,'Price List'!C:C,'Price List'!F:F)</f>
        <v>400 GR</v>
      </c>
      <c r="H21" s="35" t="s">
        <v>4</v>
      </c>
      <c r="I21" s="33" t="s">
        <v>4764</v>
      </c>
      <c r="J21" s="33" t="s">
        <v>4790</v>
      </c>
      <c r="K21" s="35" t="s">
        <v>4763</v>
      </c>
      <c r="L21" s="36">
        <v>46186</v>
      </c>
      <c r="M21" s="37">
        <v>41</v>
      </c>
      <c r="N21" s="32" t="str">
        <f t="shared" si="0"/>
        <v>10038132_2910</v>
      </c>
      <c r="O21" s="35">
        <f>_xlfn.XLOOKUP(N21,Allocation!H:H,Allocation!C:C,0)</f>
        <v>0</v>
      </c>
      <c r="P21" s="39">
        <f t="shared" si="1"/>
        <v>41</v>
      </c>
    </row>
    <row r="22" spans="1:16" s="32" customFormat="1">
      <c r="A22" s="32" t="str">
        <f>_xlfn.XLOOKUP(C:C,'Price List'!C:C,'Price List'!A:A)</f>
        <v>MICHELLE JEWELL NT</v>
      </c>
      <c r="B22" s="33" t="s">
        <v>1914</v>
      </c>
      <c r="C22" s="34">
        <v>10038126</v>
      </c>
      <c r="D22" s="33" t="s">
        <v>409</v>
      </c>
      <c r="E22" s="34">
        <f>_xlfn.XLOOKUP(C:C,'Price List'!C:C,'Price List'!K:K)</f>
        <v>0</v>
      </c>
      <c r="F22" s="34">
        <f>_xlfn.XLOOKUP(C:C,'Price List'!C:C,'Price List'!E:E)</f>
        <v>5</v>
      </c>
      <c r="G22" s="34" t="str">
        <f>_xlfn.XLOOKUP(C:C,'Price List'!C:C,'Price List'!F:F)</f>
        <v>250 GR</v>
      </c>
      <c r="H22" s="35" t="s">
        <v>4</v>
      </c>
      <c r="I22" s="33" t="s">
        <v>4764</v>
      </c>
      <c r="J22" s="33" t="s">
        <v>4791</v>
      </c>
      <c r="K22" s="35" t="s">
        <v>4763</v>
      </c>
      <c r="L22" s="36">
        <v>46188</v>
      </c>
      <c r="M22" s="37">
        <v>81</v>
      </c>
      <c r="N22" s="32" t="str">
        <f t="shared" si="0"/>
        <v>10038126_2910</v>
      </c>
      <c r="O22" s="35">
        <f>_xlfn.XLOOKUP(N22,Allocation!H:H,Allocation!C:C,0)</f>
        <v>0</v>
      </c>
      <c r="P22" s="39">
        <f t="shared" si="1"/>
        <v>81</v>
      </c>
    </row>
    <row r="23" spans="1:16" s="32" customFormat="1">
      <c r="A23" s="32" t="str">
        <f>_xlfn.XLOOKUP(C:C,'Price List'!C:C,'Price List'!A:A)</f>
        <v>MICHELLE JEWELL NT</v>
      </c>
      <c r="B23" s="33" t="s">
        <v>1914</v>
      </c>
      <c r="C23" s="34">
        <v>10038127</v>
      </c>
      <c r="D23" s="33" t="s">
        <v>4773</v>
      </c>
      <c r="E23" s="34">
        <f>_xlfn.XLOOKUP(C:C,'Price List'!C:C,'Price List'!K:K)</f>
        <v>0</v>
      </c>
      <c r="F23" s="34">
        <f>_xlfn.XLOOKUP(C:C,'Price List'!C:C,'Price List'!E:E)</f>
        <v>5</v>
      </c>
      <c r="G23" s="34" t="str">
        <f>_xlfn.XLOOKUP(C:C,'Price List'!C:C,'Price List'!F:F)</f>
        <v>240 GR</v>
      </c>
      <c r="H23" s="35" t="s">
        <v>4</v>
      </c>
      <c r="I23" s="33" t="s">
        <v>4764</v>
      </c>
      <c r="J23" s="33" t="s">
        <v>4792</v>
      </c>
      <c r="K23" s="35" t="s">
        <v>4763</v>
      </c>
      <c r="L23" s="36">
        <v>46188</v>
      </c>
      <c r="M23" s="37">
        <v>109</v>
      </c>
      <c r="N23" s="32" t="str">
        <f t="shared" si="0"/>
        <v>10038127_2910</v>
      </c>
      <c r="O23" s="35">
        <f>_xlfn.XLOOKUP(N23,Allocation!H:H,Allocation!C:C,0)</f>
        <v>0</v>
      </c>
      <c r="P23" s="39">
        <f t="shared" si="1"/>
        <v>109</v>
      </c>
    </row>
    <row r="24" spans="1:16" s="32" customFormat="1">
      <c r="A24" s="32" t="str">
        <f>_xlfn.XLOOKUP(C:C,'Price List'!C:C,'Price List'!A:A)</f>
        <v>AMOL PRAKASH</v>
      </c>
      <c r="B24" s="33" t="s">
        <v>726</v>
      </c>
      <c r="C24" s="34">
        <v>10015808</v>
      </c>
      <c r="D24" s="33" t="s">
        <v>4793</v>
      </c>
      <c r="E24" s="34">
        <f>_xlfn.XLOOKUP(C:C,'Price List'!C:C,'Price List'!K:K)</f>
        <v>0</v>
      </c>
      <c r="F24" s="34">
        <f>_xlfn.XLOOKUP(C:C,'Price List'!C:C,'Price List'!E:E)</f>
        <v>8</v>
      </c>
      <c r="G24" s="34" t="str">
        <f>_xlfn.XLOOKUP(C:C,'Price List'!C:C,'Price List'!F:F)</f>
        <v>320 GR</v>
      </c>
      <c r="H24" s="35" t="s">
        <v>5</v>
      </c>
      <c r="I24" s="33" t="s">
        <v>4761</v>
      </c>
      <c r="J24" s="33" t="s">
        <v>4794</v>
      </c>
      <c r="K24" s="35" t="s">
        <v>4763</v>
      </c>
      <c r="L24" s="36">
        <v>46188</v>
      </c>
      <c r="M24" s="37">
        <v>8</v>
      </c>
      <c r="N24" s="32" t="str">
        <f t="shared" si="0"/>
        <v>10015808_2910</v>
      </c>
      <c r="O24" s="35">
        <f>_xlfn.XLOOKUP(N24,Allocation!H:H,Allocation!C:C,0)</f>
        <v>0</v>
      </c>
      <c r="P24" s="39">
        <f t="shared" si="1"/>
        <v>8</v>
      </c>
    </row>
    <row r="25" spans="1:16" s="32" customFormat="1">
      <c r="A25" s="32" t="str">
        <f>_xlfn.XLOOKUP(C:C,'Price List'!C:C,'Price List'!A:A)</f>
        <v>SERENA LEE PR</v>
      </c>
      <c r="B25" s="33" t="s">
        <v>1320</v>
      </c>
      <c r="C25" s="34">
        <v>10019641</v>
      </c>
      <c r="D25" s="33" t="s">
        <v>322</v>
      </c>
      <c r="E25" s="34" t="s">
        <v>4795</v>
      </c>
      <c r="F25" s="34">
        <f>_xlfn.XLOOKUP(C:C,'Price List'!C:C,'Price List'!E:E)</f>
        <v>4</v>
      </c>
      <c r="G25" s="34" t="str">
        <f>_xlfn.XLOOKUP(C:C,'Price List'!C:C,'Price List'!F:F)</f>
        <v>650 GR</v>
      </c>
      <c r="H25" s="35" t="s">
        <v>4</v>
      </c>
      <c r="I25" s="33" t="s">
        <v>4764</v>
      </c>
      <c r="J25" s="33" t="s">
        <v>4796</v>
      </c>
      <c r="K25" s="35" t="s">
        <v>4763</v>
      </c>
      <c r="L25" s="36">
        <v>46189</v>
      </c>
      <c r="M25" s="37">
        <v>2</v>
      </c>
      <c r="N25" s="32" t="str">
        <f t="shared" si="0"/>
        <v>10019641_2910</v>
      </c>
      <c r="O25" s="35">
        <f>_xlfn.XLOOKUP(N25,Allocation!H:H,Allocation!C:C,0)</f>
        <v>0</v>
      </c>
      <c r="P25" s="39">
        <f t="shared" si="1"/>
        <v>2</v>
      </c>
    </row>
    <row r="26" spans="1:16" s="32" customFormat="1">
      <c r="A26" s="32" t="str">
        <f>_xlfn.XLOOKUP(C:C,'Price List'!C:C,'Price List'!A:A)</f>
        <v>SERENA LEE PR</v>
      </c>
      <c r="B26" s="33" t="s">
        <v>1320</v>
      </c>
      <c r="C26" s="34">
        <v>10019704</v>
      </c>
      <c r="D26" s="33" t="s">
        <v>323</v>
      </c>
      <c r="E26" s="34" t="s">
        <v>4795</v>
      </c>
      <c r="F26" s="34">
        <f>_xlfn.XLOOKUP(C:C,'Price List'!C:C,'Price List'!E:E)</f>
        <v>1</v>
      </c>
      <c r="G26" s="34" t="str">
        <f>_xlfn.XLOOKUP(C:C,'Price List'!C:C,'Price List'!F:F)</f>
        <v>2.5 KG</v>
      </c>
      <c r="H26" s="35" t="s">
        <v>4</v>
      </c>
      <c r="I26" s="33" t="s">
        <v>4764</v>
      </c>
      <c r="J26" s="33" t="s">
        <v>4796</v>
      </c>
      <c r="K26" s="35" t="s">
        <v>4763</v>
      </c>
      <c r="L26" s="36">
        <v>46189</v>
      </c>
      <c r="M26" s="37">
        <v>1</v>
      </c>
      <c r="N26" s="32" t="str">
        <f t="shared" si="0"/>
        <v>10019704_2910</v>
      </c>
      <c r="O26" s="35">
        <f>_xlfn.XLOOKUP(N26,Allocation!H:H,Allocation!C:C,0)</f>
        <v>0</v>
      </c>
      <c r="P26" s="39">
        <f t="shared" si="1"/>
        <v>1</v>
      </c>
    </row>
    <row r="27" spans="1:16" s="32" customFormat="1">
      <c r="A27" s="32" t="str">
        <f>_xlfn.XLOOKUP(C:C,'Price List'!C:C,'Price List'!A:A)</f>
        <v>SERENA LEE PR</v>
      </c>
      <c r="B27" s="33" t="s">
        <v>1320</v>
      </c>
      <c r="C27" s="34">
        <v>10019704</v>
      </c>
      <c r="D27" s="33" t="s">
        <v>323</v>
      </c>
      <c r="E27" s="34" t="s">
        <v>4795</v>
      </c>
      <c r="F27" s="34">
        <f>_xlfn.XLOOKUP(C:C,'Price List'!C:C,'Price List'!E:E)</f>
        <v>1</v>
      </c>
      <c r="G27" s="34" t="str">
        <f>_xlfn.XLOOKUP(C:C,'Price List'!C:C,'Price List'!F:F)</f>
        <v>2.5 KG</v>
      </c>
      <c r="H27" s="35" t="s">
        <v>4</v>
      </c>
      <c r="I27" s="33" t="s">
        <v>4764</v>
      </c>
      <c r="J27" s="33" t="s">
        <v>4797</v>
      </c>
      <c r="K27" s="35" t="s">
        <v>4763</v>
      </c>
      <c r="L27" s="36">
        <v>46190</v>
      </c>
      <c r="M27" s="37">
        <v>2</v>
      </c>
      <c r="N27" s="32" t="str">
        <f t="shared" si="0"/>
        <v>10019704_2910</v>
      </c>
      <c r="O27" s="35">
        <f>_xlfn.XLOOKUP(N27,Allocation!H:H,Allocation!C:C,0)</f>
        <v>0</v>
      </c>
      <c r="P27" s="39">
        <f t="shared" si="1"/>
        <v>2</v>
      </c>
    </row>
    <row r="28" spans="1:16" s="32" customFormat="1">
      <c r="A28" s="32" t="str">
        <f>_xlfn.XLOOKUP(C:C,'Price List'!C:C,'Price List'!A:A)</f>
        <v>ANABELA NEVES PR</v>
      </c>
      <c r="B28" s="33" t="s">
        <v>2609</v>
      </c>
      <c r="C28" s="34">
        <v>10052112</v>
      </c>
      <c r="D28" s="33" t="s">
        <v>494</v>
      </c>
      <c r="E28" s="34">
        <f>_xlfn.XLOOKUP(C:C,'Price List'!C:C,'Price List'!K:K)</f>
        <v>0</v>
      </c>
      <c r="F28" s="34">
        <f>_xlfn.XLOOKUP(C:C,'Price List'!C:C,'Price List'!E:E)</f>
        <v>12</v>
      </c>
      <c r="G28" s="34" t="str">
        <f>_xlfn.XLOOKUP(C:C,'Price List'!C:C,'Price List'!F:F)</f>
        <v>170 GR</v>
      </c>
      <c r="H28" s="35" t="s">
        <v>4</v>
      </c>
      <c r="I28" s="33" t="s">
        <v>4764</v>
      </c>
      <c r="J28" s="33" t="s">
        <v>4798</v>
      </c>
      <c r="K28" s="35" t="s">
        <v>4763</v>
      </c>
      <c r="L28" s="36">
        <v>46191</v>
      </c>
      <c r="M28" s="37">
        <v>3</v>
      </c>
      <c r="N28" s="32" t="str">
        <f t="shared" si="0"/>
        <v>10052112_2910</v>
      </c>
      <c r="O28" s="35">
        <f>_xlfn.XLOOKUP(N28,Allocation!H:H,Allocation!C:C,0)</f>
        <v>0</v>
      </c>
      <c r="P28" s="39">
        <f t="shared" si="1"/>
        <v>3</v>
      </c>
    </row>
    <row r="29" spans="1:16" s="32" customFormat="1">
      <c r="A29" s="32" t="str">
        <f>_xlfn.XLOOKUP(C:C,'Price List'!C:C,'Price List'!A:A)</f>
        <v>TRACEY LAWRENCE</v>
      </c>
      <c r="B29" s="33" t="s">
        <v>3214</v>
      </c>
      <c r="C29" s="34">
        <v>10066215</v>
      </c>
      <c r="D29" s="33" t="s">
        <v>350</v>
      </c>
      <c r="E29" s="34">
        <f>_xlfn.XLOOKUP(C:C,'Price List'!C:C,'Price List'!K:K)</f>
        <v>0</v>
      </c>
      <c r="F29" s="34">
        <f>_xlfn.XLOOKUP(C:C,'Price List'!C:C,'Price List'!E:E)</f>
        <v>24</v>
      </c>
      <c r="G29" s="34" t="str">
        <f>_xlfn.XLOOKUP(C:C,'Price List'!C:C,'Price List'!F:F)</f>
        <v>56 GR</v>
      </c>
      <c r="H29" s="35" t="s">
        <v>4</v>
      </c>
      <c r="I29" s="33" t="s">
        <v>4764</v>
      </c>
      <c r="J29" s="33" t="s">
        <v>4799</v>
      </c>
      <c r="K29" s="35" t="s">
        <v>4763</v>
      </c>
      <c r="L29" s="36">
        <v>46193</v>
      </c>
      <c r="M29" s="37">
        <v>7</v>
      </c>
      <c r="N29" s="32" t="str">
        <f t="shared" si="0"/>
        <v>10066215_2910</v>
      </c>
      <c r="O29" s="35">
        <f>_xlfn.XLOOKUP(N29,Allocation!H:H,Allocation!C:C,0)</f>
        <v>0</v>
      </c>
      <c r="P29" s="39">
        <f t="shared" si="1"/>
        <v>7</v>
      </c>
    </row>
    <row r="30" spans="1:16" s="32" customFormat="1">
      <c r="A30" s="32" t="str">
        <f>_xlfn.XLOOKUP(C:C,'Price List'!C:C,'Price List'!A:A)</f>
        <v>NATASHA KING PR</v>
      </c>
      <c r="B30" s="33" t="s">
        <v>1629</v>
      </c>
      <c r="C30" s="34">
        <v>10030187</v>
      </c>
      <c r="D30" s="33" t="s">
        <v>1641</v>
      </c>
      <c r="E30" s="34" t="s">
        <v>4795</v>
      </c>
      <c r="F30" s="34">
        <f>_xlfn.XLOOKUP(C:C,'Price List'!C:C,'Price List'!E:E)</f>
        <v>1</v>
      </c>
      <c r="G30" s="34" t="str">
        <f>_xlfn.XLOOKUP(C:C,'Price List'!C:C,'Price List'!F:F)</f>
        <v>4.5 KG</v>
      </c>
      <c r="H30" s="35" t="s">
        <v>4</v>
      </c>
      <c r="I30" s="33" t="s">
        <v>4764</v>
      </c>
      <c r="J30" s="33" t="s">
        <v>4800</v>
      </c>
      <c r="K30" s="35" t="s">
        <v>4763</v>
      </c>
      <c r="L30" s="36">
        <v>46193</v>
      </c>
      <c r="M30" s="37">
        <v>1</v>
      </c>
      <c r="N30" s="32" t="str">
        <f t="shared" si="0"/>
        <v>10030187_2910</v>
      </c>
      <c r="O30" s="35">
        <f>_xlfn.XLOOKUP(N30,Allocation!H:H,Allocation!C:C,0)</f>
        <v>0</v>
      </c>
      <c r="P30" s="39">
        <f t="shared" si="1"/>
        <v>1</v>
      </c>
    </row>
    <row r="31" spans="1:16" s="32" customFormat="1">
      <c r="A31" s="32" t="str">
        <f>_xlfn.XLOOKUP(C:C,'Price List'!C:C,'Price List'!A:A)</f>
        <v>SERENA LEE PR</v>
      </c>
      <c r="B31" s="33" t="s">
        <v>1320</v>
      </c>
      <c r="C31" s="34">
        <v>10019780</v>
      </c>
      <c r="D31" s="33" t="s">
        <v>220</v>
      </c>
      <c r="E31" s="34" t="s">
        <v>4795</v>
      </c>
      <c r="F31" s="34">
        <f>_xlfn.XLOOKUP(C:C,'Price List'!C:C,'Price List'!E:E)</f>
        <v>1</v>
      </c>
      <c r="G31" s="34" t="str">
        <f>_xlfn.XLOOKUP(C:C,'Price List'!C:C,'Price List'!F:F)</f>
        <v>2 KG</v>
      </c>
      <c r="H31" s="35" t="s">
        <v>4</v>
      </c>
      <c r="I31" s="33" t="s">
        <v>4764</v>
      </c>
      <c r="J31" s="33" t="s">
        <v>4801</v>
      </c>
      <c r="K31" s="35" t="s">
        <v>4763</v>
      </c>
      <c r="L31" s="36">
        <v>46195</v>
      </c>
      <c r="M31" s="37">
        <v>28</v>
      </c>
      <c r="N31" s="32" t="str">
        <f t="shared" si="0"/>
        <v>10019780_2910</v>
      </c>
      <c r="O31" s="35">
        <f>_xlfn.XLOOKUP(N31,Allocation!H:H,Allocation!C:C,0)</f>
        <v>0</v>
      </c>
      <c r="P31" s="39">
        <f t="shared" si="1"/>
        <v>28</v>
      </c>
    </row>
    <row r="32" spans="1:16" s="32" customFormat="1">
      <c r="A32" s="32" t="str">
        <f>_xlfn.XLOOKUP(C:C,'Price List'!C:C,'Price List'!A:A)</f>
        <v>ASIF AHMAD GB</v>
      </c>
      <c r="B32" s="33" t="s">
        <v>1161</v>
      </c>
      <c r="C32" s="34">
        <v>10016405</v>
      </c>
      <c r="D32" s="33" t="s">
        <v>4802</v>
      </c>
      <c r="E32" s="34">
        <f>_xlfn.XLOOKUP(C:C,'Price List'!C:C,'Price List'!K:K)</f>
        <v>0</v>
      </c>
      <c r="F32" s="34">
        <f>_xlfn.XLOOKUP(C:C,'Price List'!C:C,'Price List'!E:E)</f>
        <v>12</v>
      </c>
      <c r="G32" s="34" t="str">
        <f>_xlfn.XLOOKUP(C:C,'Price List'!C:C,'Price List'!F:F)</f>
        <v>946 ML</v>
      </c>
      <c r="H32" s="35" t="s">
        <v>4</v>
      </c>
      <c r="I32" s="33" t="s">
        <v>4764</v>
      </c>
      <c r="J32" s="33" t="s">
        <v>4803</v>
      </c>
      <c r="K32" s="35" t="s">
        <v>4763</v>
      </c>
      <c r="L32" s="36">
        <v>46195</v>
      </c>
      <c r="M32" s="37">
        <v>72</v>
      </c>
      <c r="N32" s="32" t="str">
        <f t="shared" si="0"/>
        <v>10016405_2910</v>
      </c>
      <c r="O32" s="35">
        <f>_xlfn.XLOOKUP(N32,Allocation!H:H,Allocation!C:C,0)</f>
        <v>0</v>
      </c>
      <c r="P32" s="39">
        <f t="shared" si="1"/>
        <v>72</v>
      </c>
    </row>
    <row r="33" spans="1:16" s="32" customFormat="1">
      <c r="A33" s="32" t="str">
        <f>_xlfn.XLOOKUP(C:C,'Price List'!C:C,'Price List'!A:A)</f>
        <v>ANABELA NEVES PR</v>
      </c>
      <c r="B33" s="33" t="s">
        <v>1823</v>
      </c>
      <c r="C33" s="34">
        <v>10100089</v>
      </c>
      <c r="D33" s="33" t="s">
        <v>4804</v>
      </c>
      <c r="E33" s="34">
        <f>_xlfn.XLOOKUP(C:C,'Price List'!C:C,'Price List'!K:K)</f>
        <v>0</v>
      </c>
      <c r="F33" s="34">
        <f>_xlfn.XLOOKUP(C:C,'Price List'!C:C,'Price List'!E:E)</f>
        <v>12</v>
      </c>
      <c r="G33" s="34" t="str">
        <f>_xlfn.XLOOKUP(C:C,'Price List'!C:C,'Price List'!F:F)</f>
        <v>540 GR</v>
      </c>
      <c r="H33" s="35" t="s">
        <v>4</v>
      </c>
      <c r="I33" s="33" t="s">
        <v>4764</v>
      </c>
      <c r="J33" s="33" t="s">
        <v>4805</v>
      </c>
      <c r="K33" s="35" t="s">
        <v>4763</v>
      </c>
      <c r="L33" s="36">
        <v>46197</v>
      </c>
      <c r="M33" s="37">
        <v>10</v>
      </c>
      <c r="N33" s="32" t="str">
        <f t="shared" si="0"/>
        <v>10100089_2910</v>
      </c>
      <c r="O33" s="35">
        <f>_xlfn.XLOOKUP(N33,Allocation!H:H,Allocation!C:C,0)</f>
        <v>0</v>
      </c>
      <c r="P33" s="39">
        <f t="shared" si="1"/>
        <v>10</v>
      </c>
    </row>
    <row r="34" spans="1:16" s="32" customFormat="1">
      <c r="A34" s="32" t="str">
        <f>_xlfn.XLOOKUP(C:C,'Price List'!C:C,'Price List'!A:A)</f>
        <v>WARREN PARK</v>
      </c>
      <c r="B34" s="33" t="s">
        <v>1488</v>
      </c>
      <c r="C34" s="34">
        <v>10020851</v>
      </c>
      <c r="D34" s="33" t="s">
        <v>253</v>
      </c>
      <c r="E34" s="34">
        <f>_xlfn.XLOOKUP(C:C,'Price List'!C:C,'Price List'!K:K)</f>
        <v>0</v>
      </c>
      <c r="F34" s="34">
        <f>_xlfn.XLOOKUP(C:C,'Price List'!C:C,'Price List'!E:E)</f>
        <v>20</v>
      </c>
      <c r="G34" s="34" t="str">
        <f>_xlfn.XLOOKUP(C:C,'Price List'!C:C,'Price List'!F:F)</f>
        <v>45 GR</v>
      </c>
      <c r="H34" s="35" t="s">
        <v>4</v>
      </c>
      <c r="I34" s="33" t="s">
        <v>4764</v>
      </c>
      <c r="J34" s="33" t="s">
        <v>4806</v>
      </c>
      <c r="K34" s="35" t="s">
        <v>4763</v>
      </c>
      <c r="L34" s="36">
        <v>46197</v>
      </c>
      <c r="M34" s="37">
        <v>4</v>
      </c>
      <c r="N34" s="32" t="str">
        <f t="shared" si="0"/>
        <v>10020851_2910</v>
      </c>
      <c r="O34" s="35">
        <f>_xlfn.XLOOKUP(N34,Allocation!H:H,Allocation!C:C,0)</f>
        <v>0</v>
      </c>
      <c r="P34" s="39">
        <f t="shared" si="1"/>
        <v>4</v>
      </c>
    </row>
    <row r="35" spans="1:16" s="32" customFormat="1">
      <c r="A35" s="32" t="str">
        <f>_xlfn.XLOOKUP(C:C,'Price List'!C:C,'Price List'!A:A)</f>
        <v>ANABELA NEVES PR</v>
      </c>
      <c r="B35" s="33" t="s">
        <v>1019</v>
      </c>
      <c r="C35" s="34">
        <v>10013759</v>
      </c>
      <c r="D35" s="33" t="s">
        <v>4807</v>
      </c>
      <c r="E35" s="34" t="s">
        <v>4795</v>
      </c>
      <c r="F35" s="34">
        <f>_xlfn.XLOOKUP(C:C,'Price List'!C:C,'Price List'!E:E)</f>
        <v>2</v>
      </c>
      <c r="G35" s="34" t="str">
        <f>_xlfn.XLOOKUP(C:C,'Price List'!C:C,'Price List'!F:F)</f>
        <v>3 KG</v>
      </c>
      <c r="H35" s="35" t="s">
        <v>4</v>
      </c>
      <c r="I35" s="33" t="s">
        <v>4764</v>
      </c>
      <c r="J35" s="33" t="s">
        <v>4808</v>
      </c>
      <c r="K35" s="35" t="s">
        <v>4763</v>
      </c>
      <c r="L35" s="36">
        <v>46198</v>
      </c>
      <c r="M35" s="37">
        <v>2</v>
      </c>
      <c r="N35" s="32" t="str">
        <f t="shared" si="0"/>
        <v>10013759_2910</v>
      </c>
      <c r="O35" s="35">
        <f>_xlfn.XLOOKUP(N35,Allocation!H:H,Allocation!C:C,0)</f>
        <v>0</v>
      </c>
      <c r="P35" s="39">
        <f t="shared" si="1"/>
        <v>2</v>
      </c>
    </row>
    <row r="36" spans="1:16" s="32" customFormat="1">
      <c r="A36" s="32" t="str">
        <f>_xlfn.XLOOKUP(C:C,'Price List'!C:C,'Price List'!A:A)</f>
        <v>NATASHA KING PR</v>
      </c>
      <c r="B36" s="33" t="s">
        <v>3719</v>
      </c>
      <c r="C36" s="34">
        <v>10097047</v>
      </c>
      <c r="D36" s="33" t="s">
        <v>4809</v>
      </c>
      <c r="E36" s="34">
        <f>_xlfn.XLOOKUP(C:C,'Price List'!C:C,'Price List'!K:K)</f>
        <v>0</v>
      </c>
      <c r="F36" s="34">
        <f>_xlfn.XLOOKUP(C:C,'Price List'!C:C,'Price List'!E:E)</f>
        <v>8</v>
      </c>
      <c r="G36" s="34" t="str">
        <f>_xlfn.XLOOKUP(C:C,'Price List'!C:C,'Price List'!F:F)</f>
        <v>150 GR</v>
      </c>
      <c r="H36" s="35" t="s">
        <v>4</v>
      </c>
      <c r="I36" s="33" t="s">
        <v>4764</v>
      </c>
      <c r="J36" s="33" t="s">
        <v>4810</v>
      </c>
      <c r="K36" s="35" t="s">
        <v>4763</v>
      </c>
      <c r="L36" s="36">
        <v>46198</v>
      </c>
      <c r="M36" s="37">
        <v>3</v>
      </c>
      <c r="N36" s="32" t="str">
        <f t="shared" si="0"/>
        <v>10097047_2910</v>
      </c>
      <c r="O36" s="35">
        <f>_xlfn.XLOOKUP(N36,Allocation!H:H,Allocation!C:C,0)</f>
        <v>0</v>
      </c>
      <c r="P36" s="39">
        <f t="shared" si="1"/>
        <v>3</v>
      </c>
    </row>
    <row r="37" spans="1:16" s="32" customFormat="1">
      <c r="A37" s="32" t="str">
        <f>_xlfn.XLOOKUP(C:C,'Price List'!C:C,'Price List'!A:A)</f>
        <v>SAMANTHA RODRIGUES GB</v>
      </c>
      <c r="B37" s="33" t="s">
        <v>2741</v>
      </c>
      <c r="C37" s="34">
        <v>10059163</v>
      </c>
      <c r="D37" s="33" t="s">
        <v>4811</v>
      </c>
      <c r="E37" s="34">
        <f>_xlfn.XLOOKUP(C:C,'Price List'!C:C,'Price List'!K:K)</f>
        <v>0</v>
      </c>
      <c r="F37" s="34">
        <f>_xlfn.XLOOKUP(C:C,'Price List'!C:C,'Price List'!E:E)</f>
        <v>1</v>
      </c>
      <c r="G37" s="34" t="str">
        <f>_xlfn.XLOOKUP(C:C,'Price List'!C:C,'Price List'!F:F)</f>
        <v>296 ML</v>
      </c>
      <c r="H37" s="35" t="s">
        <v>4</v>
      </c>
      <c r="I37" s="33" t="s">
        <v>4764</v>
      </c>
      <c r="J37" s="33" t="s">
        <v>4812</v>
      </c>
      <c r="K37" s="35" t="s">
        <v>4763</v>
      </c>
      <c r="L37" s="36">
        <v>46199</v>
      </c>
      <c r="M37" s="37">
        <v>42</v>
      </c>
      <c r="N37" s="32" t="str">
        <f t="shared" si="0"/>
        <v>10059163_2910</v>
      </c>
      <c r="O37" s="35">
        <f>_xlfn.XLOOKUP(N37,Allocation!H:H,Allocation!C:C,0)</f>
        <v>0</v>
      </c>
      <c r="P37" s="39">
        <f t="shared" si="1"/>
        <v>42</v>
      </c>
    </row>
    <row r="38" spans="1:16" s="32" customFormat="1">
      <c r="A38" s="32" t="str">
        <f>_xlfn.XLOOKUP(C:C,'Price List'!C:C,'Price List'!A:A)</f>
        <v>TRACEY LAWRENCE</v>
      </c>
      <c r="B38" s="33" t="s">
        <v>3214</v>
      </c>
      <c r="C38" s="34">
        <v>10066217</v>
      </c>
      <c r="D38" s="33" t="s">
        <v>228</v>
      </c>
      <c r="E38" s="34">
        <f>_xlfn.XLOOKUP(C:C,'Price List'!C:C,'Price List'!K:K)</f>
        <v>0</v>
      </c>
      <c r="F38" s="34">
        <f>_xlfn.XLOOKUP(C:C,'Price List'!C:C,'Price List'!E:E)</f>
        <v>24</v>
      </c>
      <c r="G38" s="34" t="str">
        <f>_xlfn.XLOOKUP(C:C,'Price List'!C:C,'Price List'!F:F)</f>
        <v>56 GR</v>
      </c>
      <c r="H38" s="35" t="s">
        <v>4</v>
      </c>
      <c r="I38" s="33" t="s">
        <v>4764</v>
      </c>
      <c r="J38" s="33" t="s">
        <v>4813</v>
      </c>
      <c r="K38" s="35" t="s">
        <v>4763</v>
      </c>
      <c r="L38" s="36">
        <v>46200</v>
      </c>
      <c r="M38" s="37">
        <v>5</v>
      </c>
      <c r="N38" s="32" t="str">
        <f t="shared" si="0"/>
        <v>10066217_2910</v>
      </c>
      <c r="O38" s="35">
        <f>_xlfn.XLOOKUP(N38,Allocation!H:H,Allocation!C:C,0)</f>
        <v>0</v>
      </c>
      <c r="P38" s="39">
        <f t="shared" si="1"/>
        <v>5</v>
      </c>
    </row>
    <row r="39" spans="1:16" s="32" customFormat="1">
      <c r="A39" s="32" t="str">
        <f>_xlfn.XLOOKUP(C:C,'Price List'!C:C,'Price List'!A:A)</f>
        <v>MICHELLE JEWELL NT</v>
      </c>
      <c r="B39" s="33" t="s">
        <v>1914</v>
      </c>
      <c r="C39" s="34">
        <v>10038132</v>
      </c>
      <c r="D39" s="33" t="s">
        <v>462</v>
      </c>
      <c r="E39" s="34">
        <f>_xlfn.XLOOKUP(C:C,'Price List'!C:C,'Price List'!K:K)</f>
        <v>0</v>
      </c>
      <c r="F39" s="34">
        <f>_xlfn.XLOOKUP(C:C,'Price List'!C:C,'Price List'!E:E)</f>
        <v>8</v>
      </c>
      <c r="G39" s="34" t="str">
        <f>_xlfn.XLOOKUP(C:C,'Price List'!C:C,'Price List'!F:F)</f>
        <v>400 GR</v>
      </c>
      <c r="H39" s="35" t="s">
        <v>4</v>
      </c>
      <c r="I39" s="33" t="s">
        <v>4764</v>
      </c>
      <c r="J39" s="33" t="s">
        <v>4814</v>
      </c>
      <c r="K39" s="35" t="s">
        <v>4763</v>
      </c>
      <c r="L39" s="36">
        <v>46200</v>
      </c>
      <c r="M39" s="37">
        <v>162</v>
      </c>
      <c r="N39" s="32" t="str">
        <f t="shared" si="0"/>
        <v>10038132_2910</v>
      </c>
      <c r="O39" s="35">
        <f>_xlfn.XLOOKUP(N39,Allocation!H:H,Allocation!C:C,0)</f>
        <v>0</v>
      </c>
      <c r="P39" s="39">
        <f t="shared" si="1"/>
        <v>162</v>
      </c>
    </row>
    <row r="40" spans="1:16" s="32" customFormat="1">
      <c r="A40" s="32" t="str">
        <f>_xlfn.XLOOKUP(C:C,'Price List'!C:C,'Price List'!A:A)</f>
        <v>SERENA LEE PR</v>
      </c>
      <c r="B40" s="33" t="s">
        <v>1320</v>
      </c>
      <c r="C40" s="34">
        <v>10100360</v>
      </c>
      <c r="D40" s="33" t="s">
        <v>4055</v>
      </c>
      <c r="E40" s="34" t="s">
        <v>4795</v>
      </c>
      <c r="F40" s="34">
        <f>_xlfn.XLOOKUP(C:C,'Price List'!C:C,'Price List'!E:E)</f>
        <v>2</v>
      </c>
      <c r="G40" s="34" t="str">
        <f>_xlfn.XLOOKUP(C:C,'Price List'!C:C,'Price List'!F:F)</f>
        <v>1.5 KG</v>
      </c>
      <c r="H40" s="35" t="s">
        <v>4</v>
      </c>
      <c r="I40" s="33" t="s">
        <v>4764</v>
      </c>
      <c r="J40" s="33" t="s">
        <v>4815</v>
      </c>
      <c r="K40" s="35" t="s">
        <v>4763</v>
      </c>
      <c r="L40" s="36">
        <v>46201</v>
      </c>
      <c r="M40" s="37">
        <v>3</v>
      </c>
      <c r="N40" s="32" t="str">
        <f t="shared" si="0"/>
        <v>10100360_2910</v>
      </c>
      <c r="O40" s="35">
        <f>_xlfn.XLOOKUP(N40,Allocation!H:H,Allocation!C:C,0)</f>
        <v>0</v>
      </c>
      <c r="P40" s="39">
        <f t="shared" si="1"/>
        <v>3</v>
      </c>
    </row>
    <row r="41" spans="1:16" s="32" customFormat="1">
      <c r="A41" s="32" t="str">
        <f>_xlfn.XLOOKUP(C:C,'Price List'!C:C,'Price List'!A:A)</f>
        <v>NANCY QUISPE PT</v>
      </c>
      <c r="B41" s="33" t="s">
        <v>2401</v>
      </c>
      <c r="C41" s="34">
        <v>10050282</v>
      </c>
      <c r="D41" s="33" t="s">
        <v>4816</v>
      </c>
      <c r="E41" s="34">
        <f>_xlfn.XLOOKUP(C:C,'Price List'!C:C,'Price List'!K:K)</f>
        <v>0</v>
      </c>
      <c r="F41" s="34">
        <f>_xlfn.XLOOKUP(C:C,'Price List'!C:C,'Price List'!E:E)</f>
        <v>6</v>
      </c>
      <c r="G41" s="34" t="str">
        <f>_xlfn.XLOOKUP(C:C,'Price List'!C:C,'Price List'!F:F)</f>
        <v>395 ML</v>
      </c>
      <c r="H41" s="35" t="s">
        <v>4</v>
      </c>
      <c r="I41" s="33" t="s">
        <v>4764</v>
      </c>
      <c r="J41" s="33" t="s">
        <v>4817</v>
      </c>
      <c r="K41" s="35" t="s">
        <v>4763</v>
      </c>
      <c r="L41" s="36">
        <v>46201</v>
      </c>
      <c r="M41" s="37">
        <v>1</v>
      </c>
      <c r="N41" s="32" t="str">
        <f t="shared" si="0"/>
        <v>10050282_2910</v>
      </c>
      <c r="O41" s="35">
        <f>_xlfn.XLOOKUP(N41,Allocation!H:H,Allocation!C:C,0)</f>
        <v>0</v>
      </c>
      <c r="P41" s="39">
        <f t="shared" si="1"/>
        <v>1</v>
      </c>
    </row>
    <row r="42" spans="1:16" s="32" customFormat="1">
      <c r="A42" s="32" t="str">
        <f>_xlfn.XLOOKUP(C:C,'Price List'!C:C,'Price List'!A:A)</f>
        <v>Michael Gambino PR</v>
      </c>
      <c r="B42" s="33" t="s">
        <v>2264</v>
      </c>
      <c r="C42" s="34">
        <v>10045482</v>
      </c>
      <c r="D42" s="33" t="s">
        <v>4818</v>
      </c>
      <c r="E42" s="34">
        <f>_xlfn.XLOOKUP(C:C,'Price List'!C:C,'Price List'!K:K)</f>
        <v>0</v>
      </c>
      <c r="F42" s="34">
        <f>_xlfn.XLOOKUP(C:C,'Price List'!C:C,'Price List'!E:E)</f>
        <v>8</v>
      </c>
      <c r="G42" s="34" t="str">
        <f>_xlfn.XLOOKUP(C:C,'Price List'!C:C,'Price List'!F:F)</f>
        <v>198 GR</v>
      </c>
      <c r="H42" s="35" t="s">
        <v>4</v>
      </c>
      <c r="I42" s="33" t="s">
        <v>4764</v>
      </c>
      <c r="J42" s="33" t="s">
        <v>4819</v>
      </c>
      <c r="K42" s="35" t="s">
        <v>4763</v>
      </c>
      <c r="L42" s="36">
        <v>46202</v>
      </c>
      <c r="M42" s="37">
        <v>16</v>
      </c>
      <c r="N42" s="32" t="str">
        <f t="shared" si="0"/>
        <v>10045482_2910</v>
      </c>
      <c r="O42" s="35">
        <f>_xlfn.XLOOKUP(N42,Allocation!H:H,Allocation!C:C,0)</f>
        <v>0</v>
      </c>
      <c r="P42" s="39">
        <f t="shared" si="1"/>
        <v>16</v>
      </c>
    </row>
    <row r="43" spans="1:16" s="32" customFormat="1">
      <c r="A43" s="32" t="str">
        <f>_xlfn.XLOOKUP(C:C,'Price List'!C:C,'Price List'!A:A)</f>
        <v>ANABELA NEVES PR</v>
      </c>
      <c r="B43" s="33" t="s">
        <v>1288</v>
      </c>
      <c r="C43" s="34">
        <v>10018980</v>
      </c>
      <c r="D43" s="33" t="s">
        <v>159</v>
      </c>
      <c r="E43" s="34">
        <f>_xlfn.XLOOKUP(C:C,'Price List'!C:C,'Price List'!K:K)</f>
        <v>0</v>
      </c>
      <c r="F43" s="34">
        <f>_xlfn.XLOOKUP(C:C,'Price List'!C:C,'Price List'!E:E)</f>
        <v>12</v>
      </c>
      <c r="G43" s="34" t="str">
        <f>_xlfn.XLOOKUP(C:C,'Price List'!C:C,'Price List'!F:F)</f>
        <v>170 GR</v>
      </c>
      <c r="H43" s="35" t="s">
        <v>4</v>
      </c>
      <c r="I43" s="33" t="s">
        <v>4764</v>
      </c>
      <c r="J43" s="33" t="s">
        <v>4820</v>
      </c>
      <c r="K43" s="35" t="s">
        <v>4763</v>
      </c>
      <c r="L43" s="36">
        <v>46203</v>
      </c>
      <c r="M43" s="37">
        <v>250</v>
      </c>
      <c r="N43" s="32" t="str">
        <f t="shared" si="0"/>
        <v>10018980_2910</v>
      </c>
      <c r="O43" s="35">
        <f>_xlfn.XLOOKUP(N43,Allocation!H:H,Allocation!C:C,0)</f>
        <v>0</v>
      </c>
      <c r="P43" s="39">
        <f t="shared" si="1"/>
        <v>250</v>
      </c>
    </row>
    <row r="44" spans="1:16" s="32" customFormat="1">
      <c r="A44" s="32" t="str">
        <f>_xlfn.XLOOKUP(C:C,'Price List'!C:C,'Price List'!A:A)</f>
        <v>ANABELA NEVES PR</v>
      </c>
      <c r="B44" s="33" t="s">
        <v>1288</v>
      </c>
      <c r="C44" s="34">
        <v>10018980</v>
      </c>
      <c r="D44" s="33" t="s">
        <v>159</v>
      </c>
      <c r="E44" s="34">
        <f>_xlfn.XLOOKUP(C:C,'Price List'!C:C,'Price List'!K:K)</f>
        <v>0</v>
      </c>
      <c r="F44" s="34">
        <f>_xlfn.XLOOKUP(C:C,'Price List'!C:C,'Price List'!E:E)</f>
        <v>12</v>
      </c>
      <c r="G44" s="34" t="str">
        <f>_xlfn.XLOOKUP(C:C,'Price List'!C:C,'Price List'!F:F)</f>
        <v>170 GR</v>
      </c>
      <c r="H44" s="35" t="s">
        <v>4</v>
      </c>
      <c r="I44" s="33" t="s">
        <v>4764</v>
      </c>
      <c r="J44" s="33" t="s">
        <v>4821</v>
      </c>
      <c r="K44" s="35" t="s">
        <v>4763</v>
      </c>
      <c r="L44" s="36">
        <v>46203</v>
      </c>
      <c r="M44" s="37">
        <v>260</v>
      </c>
      <c r="N44" s="32" t="str">
        <f t="shared" si="0"/>
        <v>10018980_2910</v>
      </c>
      <c r="O44" s="35">
        <f>_xlfn.XLOOKUP(N44,Allocation!H:H,Allocation!C:C,0)</f>
        <v>0</v>
      </c>
      <c r="P44" s="39">
        <f t="shared" si="1"/>
        <v>260</v>
      </c>
    </row>
    <row r="45" spans="1:16" s="32" customFormat="1">
      <c r="A45" s="32" t="str">
        <f>_xlfn.XLOOKUP(C:C,'Price List'!C:C,'Price List'!A:A)</f>
        <v>ANABELA NEVES PR</v>
      </c>
      <c r="B45" s="33" t="s">
        <v>1288</v>
      </c>
      <c r="C45" s="34">
        <v>10018980</v>
      </c>
      <c r="D45" s="33" t="s">
        <v>159</v>
      </c>
      <c r="E45" s="34">
        <f>_xlfn.XLOOKUP(C:C,'Price List'!C:C,'Price List'!K:K)</f>
        <v>0</v>
      </c>
      <c r="F45" s="34">
        <f>_xlfn.XLOOKUP(C:C,'Price List'!C:C,'Price List'!E:E)</f>
        <v>12</v>
      </c>
      <c r="G45" s="34" t="str">
        <f>_xlfn.XLOOKUP(C:C,'Price List'!C:C,'Price List'!F:F)</f>
        <v>170 GR</v>
      </c>
      <c r="H45" s="35" t="s">
        <v>4</v>
      </c>
      <c r="I45" s="33" t="s">
        <v>4764</v>
      </c>
      <c r="J45" s="33" t="s">
        <v>4822</v>
      </c>
      <c r="K45" s="35" t="s">
        <v>4763</v>
      </c>
      <c r="L45" s="36">
        <v>46203</v>
      </c>
      <c r="M45" s="37">
        <v>208</v>
      </c>
      <c r="N45" s="32" t="str">
        <f t="shared" si="0"/>
        <v>10018980_2910</v>
      </c>
      <c r="O45" s="35">
        <f>_xlfn.XLOOKUP(N45,Allocation!H:H,Allocation!C:C,0)</f>
        <v>0</v>
      </c>
      <c r="P45" s="39">
        <f t="shared" si="1"/>
        <v>208</v>
      </c>
    </row>
    <row r="46" spans="1:16" s="32" customFormat="1">
      <c r="A46" s="32" t="str">
        <f>_xlfn.XLOOKUP(C:C,'Price List'!C:C,'Price List'!A:A)</f>
        <v>ANABELA NEVES PR</v>
      </c>
      <c r="B46" s="33" t="s">
        <v>1288</v>
      </c>
      <c r="C46" s="34">
        <v>10019099</v>
      </c>
      <c r="D46" s="33" t="s">
        <v>4823</v>
      </c>
      <c r="E46" s="34">
        <f>_xlfn.XLOOKUP(C:C,'Price List'!C:C,'Price List'!K:K)</f>
        <v>0</v>
      </c>
      <c r="F46" s="34">
        <f>_xlfn.XLOOKUP(C:C,'Price List'!C:C,'Price List'!E:E)</f>
        <v>12</v>
      </c>
      <c r="G46" s="34" t="str">
        <f>_xlfn.XLOOKUP(C:C,'Price List'!C:C,'Price List'!F:F)</f>
        <v>170 GR</v>
      </c>
      <c r="H46" s="35" t="s">
        <v>4</v>
      </c>
      <c r="I46" s="33" t="s">
        <v>4764</v>
      </c>
      <c r="J46" s="33" t="s">
        <v>4824</v>
      </c>
      <c r="K46" s="35" t="s">
        <v>4763</v>
      </c>
      <c r="L46" s="36">
        <v>46203</v>
      </c>
      <c r="M46" s="37">
        <v>44</v>
      </c>
      <c r="N46" s="32" t="str">
        <f t="shared" si="0"/>
        <v>10019099_2910</v>
      </c>
      <c r="O46" s="35">
        <f>_xlfn.XLOOKUP(N46,Allocation!H:H,Allocation!C:C,0)</f>
        <v>0</v>
      </c>
      <c r="P46" s="39">
        <f t="shared" si="1"/>
        <v>44</v>
      </c>
    </row>
    <row r="47" spans="1:16" s="32" customFormat="1">
      <c r="A47" s="32" t="str">
        <f>_xlfn.XLOOKUP(C:C,'Price List'!C:C,'Price List'!A:A)</f>
        <v>ANABELA NEVES PR</v>
      </c>
      <c r="B47" s="33" t="s">
        <v>1288</v>
      </c>
      <c r="C47" s="34">
        <v>10019099</v>
      </c>
      <c r="D47" s="33" t="s">
        <v>4823</v>
      </c>
      <c r="E47" s="34">
        <f>_xlfn.XLOOKUP(C:C,'Price List'!C:C,'Price List'!K:K)</f>
        <v>0</v>
      </c>
      <c r="F47" s="34">
        <f>_xlfn.XLOOKUP(C:C,'Price List'!C:C,'Price List'!E:E)</f>
        <v>12</v>
      </c>
      <c r="G47" s="34" t="str">
        <f>_xlfn.XLOOKUP(C:C,'Price List'!C:C,'Price List'!F:F)</f>
        <v>170 GR</v>
      </c>
      <c r="H47" s="35" t="s">
        <v>4</v>
      </c>
      <c r="I47" s="33" t="s">
        <v>4764</v>
      </c>
      <c r="J47" s="33" t="s">
        <v>4825</v>
      </c>
      <c r="K47" s="35" t="s">
        <v>4763</v>
      </c>
      <c r="L47" s="36">
        <v>46203</v>
      </c>
      <c r="M47" s="37">
        <v>101</v>
      </c>
      <c r="N47" s="32" t="str">
        <f t="shared" si="0"/>
        <v>10019099_2910</v>
      </c>
      <c r="O47" s="35">
        <f>_xlfn.XLOOKUP(N47,Allocation!H:H,Allocation!C:C,0)</f>
        <v>0</v>
      </c>
      <c r="P47" s="39">
        <f t="shared" si="1"/>
        <v>101</v>
      </c>
    </row>
    <row r="48" spans="1:16" s="32" customFormat="1">
      <c r="A48" s="32" t="str">
        <f>_xlfn.XLOOKUP(C:C,'Price List'!C:C,'Price List'!A:A)</f>
        <v>ANABELA NEVES PR</v>
      </c>
      <c r="B48" s="33" t="s">
        <v>1288</v>
      </c>
      <c r="C48" s="34">
        <v>10019099</v>
      </c>
      <c r="D48" s="33" t="s">
        <v>4823</v>
      </c>
      <c r="E48" s="34">
        <f>_xlfn.XLOOKUP(C:C,'Price List'!C:C,'Price List'!K:K)</f>
        <v>0</v>
      </c>
      <c r="F48" s="34">
        <f>_xlfn.XLOOKUP(C:C,'Price List'!C:C,'Price List'!E:E)</f>
        <v>12</v>
      </c>
      <c r="G48" s="34" t="str">
        <f>_xlfn.XLOOKUP(C:C,'Price List'!C:C,'Price List'!F:F)</f>
        <v>170 GR</v>
      </c>
      <c r="H48" s="35" t="s">
        <v>4</v>
      </c>
      <c r="I48" s="33" t="s">
        <v>4764</v>
      </c>
      <c r="J48" s="33" t="s">
        <v>4826</v>
      </c>
      <c r="K48" s="35" t="s">
        <v>4763</v>
      </c>
      <c r="L48" s="36">
        <v>46203</v>
      </c>
      <c r="M48" s="37">
        <v>39</v>
      </c>
      <c r="N48" s="32" t="str">
        <f t="shared" si="0"/>
        <v>10019099_2910</v>
      </c>
      <c r="O48" s="35">
        <f>_xlfn.XLOOKUP(N48,Allocation!H:H,Allocation!C:C,0)</f>
        <v>0</v>
      </c>
      <c r="P48" s="39">
        <f t="shared" si="1"/>
        <v>39</v>
      </c>
    </row>
    <row r="49" spans="1:16" s="32" customFormat="1">
      <c r="A49" s="32" t="str">
        <f>_xlfn.XLOOKUP(C:C,'Price List'!C:C,'Price List'!A:A)</f>
        <v>ANABELA NEVES PR</v>
      </c>
      <c r="B49" s="33" t="s">
        <v>1288</v>
      </c>
      <c r="C49" s="34">
        <v>10019099</v>
      </c>
      <c r="D49" s="33" t="s">
        <v>4823</v>
      </c>
      <c r="E49" s="34">
        <f>_xlfn.XLOOKUP(C:C,'Price List'!C:C,'Price List'!K:K)</f>
        <v>0</v>
      </c>
      <c r="F49" s="34">
        <f>_xlfn.XLOOKUP(C:C,'Price List'!C:C,'Price List'!E:E)</f>
        <v>12</v>
      </c>
      <c r="G49" s="34" t="str">
        <f>_xlfn.XLOOKUP(C:C,'Price List'!C:C,'Price List'!F:F)</f>
        <v>170 GR</v>
      </c>
      <c r="H49" s="35" t="s">
        <v>4</v>
      </c>
      <c r="I49" s="33" t="s">
        <v>4764</v>
      </c>
      <c r="J49" s="33" t="s">
        <v>4827</v>
      </c>
      <c r="K49" s="35" t="s">
        <v>4763</v>
      </c>
      <c r="L49" s="36">
        <v>46203</v>
      </c>
      <c r="M49" s="37">
        <v>1</v>
      </c>
      <c r="N49" s="32" t="str">
        <f t="shared" si="0"/>
        <v>10019099_2910</v>
      </c>
      <c r="O49" s="35">
        <f>_xlfn.XLOOKUP(N49,Allocation!H:H,Allocation!C:C,0)</f>
        <v>0</v>
      </c>
      <c r="P49" s="39">
        <f t="shared" si="1"/>
        <v>1</v>
      </c>
    </row>
    <row r="50" spans="1:16" s="32" customFormat="1">
      <c r="A50" s="32" t="str">
        <f>_xlfn.XLOOKUP(C:C,'Price List'!C:C,'Price List'!A:A)</f>
        <v>ANABELA NEVES PR</v>
      </c>
      <c r="B50" s="33" t="s">
        <v>1288</v>
      </c>
      <c r="C50" s="34">
        <v>10019099</v>
      </c>
      <c r="D50" s="33" t="s">
        <v>4823</v>
      </c>
      <c r="E50" s="34">
        <f>_xlfn.XLOOKUP(C:C,'Price List'!C:C,'Price List'!K:K)</f>
        <v>0</v>
      </c>
      <c r="F50" s="34">
        <f>_xlfn.XLOOKUP(C:C,'Price List'!C:C,'Price List'!E:E)</f>
        <v>12</v>
      </c>
      <c r="G50" s="34" t="str">
        <f>_xlfn.XLOOKUP(C:C,'Price List'!C:C,'Price List'!F:F)</f>
        <v>170 GR</v>
      </c>
      <c r="H50" s="35" t="s">
        <v>4</v>
      </c>
      <c r="I50" s="33" t="s">
        <v>4764</v>
      </c>
      <c r="J50" s="33" t="s">
        <v>4828</v>
      </c>
      <c r="K50" s="35" t="s">
        <v>4763</v>
      </c>
      <c r="L50" s="36">
        <v>46203</v>
      </c>
      <c r="M50" s="37">
        <v>305</v>
      </c>
      <c r="N50" s="32" t="str">
        <f t="shared" si="0"/>
        <v>10019099_2910</v>
      </c>
      <c r="O50" s="35">
        <f>_xlfn.XLOOKUP(N50,Allocation!H:H,Allocation!C:C,0)</f>
        <v>0</v>
      </c>
      <c r="P50" s="39">
        <f t="shared" si="1"/>
        <v>305</v>
      </c>
    </row>
    <row r="51" spans="1:16" s="32" customFormat="1">
      <c r="A51" s="32" t="str">
        <f>_xlfn.XLOOKUP(C:C,'Price List'!C:C,'Price List'!A:A)</f>
        <v>SANDRA GAGANIARAS GB</v>
      </c>
      <c r="B51" s="33" t="s">
        <v>3547</v>
      </c>
      <c r="C51" s="34">
        <v>10080616</v>
      </c>
      <c r="D51" s="33" t="s">
        <v>425</v>
      </c>
      <c r="E51" s="34">
        <f>_xlfn.XLOOKUP(C:C,'Price List'!C:C,'Price List'!K:K)</f>
        <v>0</v>
      </c>
      <c r="F51" s="34">
        <f>_xlfn.XLOOKUP(C:C,'Price List'!C:C,'Price List'!E:E)</f>
        <v>6</v>
      </c>
      <c r="G51" s="34" t="str">
        <f>_xlfn.XLOOKUP(C:C,'Price List'!C:C,'Price List'!F:F)</f>
        <v>4X200 ML</v>
      </c>
      <c r="H51" s="35" t="s">
        <v>4</v>
      </c>
      <c r="I51" s="33" t="s">
        <v>4764</v>
      </c>
      <c r="J51" s="33" t="s">
        <v>4829</v>
      </c>
      <c r="K51" s="35" t="s">
        <v>4763</v>
      </c>
      <c r="L51" s="36">
        <v>46203</v>
      </c>
      <c r="M51" s="37">
        <v>11</v>
      </c>
      <c r="N51" s="32" t="str">
        <f t="shared" si="0"/>
        <v>10080616_2910</v>
      </c>
      <c r="O51" s="35">
        <f>_xlfn.XLOOKUP(N51,Allocation!H:H,Allocation!C:C,0)</f>
        <v>0</v>
      </c>
      <c r="P51" s="39">
        <f t="shared" si="1"/>
        <v>11</v>
      </c>
    </row>
    <row r="52" spans="1:16" s="32" customFormat="1">
      <c r="A52" s="32" t="str">
        <f>_xlfn.XLOOKUP(C:C,'Price List'!C:C,'Price List'!A:A)</f>
        <v>NANCY QUISPE PT</v>
      </c>
      <c r="B52" s="33" t="s">
        <v>608</v>
      </c>
      <c r="C52" s="34">
        <v>10004452</v>
      </c>
      <c r="D52" s="33" t="s">
        <v>703</v>
      </c>
      <c r="E52" s="34">
        <f>_xlfn.XLOOKUP(C:C,'Price List'!C:C,'Price List'!K:K)</f>
        <v>0</v>
      </c>
      <c r="F52" s="34">
        <f>_xlfn.XLOOKUP(C:C,'Price List'!C:C,'Price List'!E:E)</f>
        <v>6</v>
      </c>
      <c r="G52" s="34" t="str">
        <f>_xlfn.XLOOKUP(C:C,'Price List'!C:C,'Price List'!F:F)</f>
        <v>4X370 ML</v>
      </c>
      <c r="H52" s="35" t="s">
        <v>4</v>
      </c>
      <c r="I52" s="33" t="s">
        <v>4764</v>
      </c>
      <c r="J52" s="33" t="s">
        <v>4830</v>
      </c>
      <c r="K52" s="35" t="s">
        <v>4763</v>
      </c>
      <c r="L52" s="36">
        <v>46203</v>
      </c>
      <c r="M52" s="37">
        <v>1</v>
      </c>
      <c r="N52" s="32" t="str">
        <f t="shared" si="0"/>
        <v>10004452_2910</v>
      </c>
      <c r="O52" s="35">
        <f>_xlfn.XLOOKUP(N52,Allocation!H:H,Allocation!C:C,0)</f>
        <v>0</v>
      </c>
      <c r="P52" s="39">
        <f t="shared" si="1"/>
        <v>1</v>
      </c>
    </row>
    <row r="53" spans="1:16" s="32" customFormat="1">
      <c r="A53" s="32" t="str">
        <f>_xlfn.XLOOKUP(C:C,'Price List'!C:C,'Price List'!A:A)</f>
        <v>JAMES TYSON</v>
      </c>
      <c r="B53" s="33" t="s">
        <v>691</v>
      </c>
      <c r="C53" s="34">
        <v>10057995</v>
      </c>
      <c r="D53" s="33" t="s">
        <v>4831</v>
      </c>
      <c r="E53" s="34">
        <f>_xlfn.XLOOKUP(C:C,'Price List'!C:C,'Price List'!K:K)</f>
        <v>0</v>
      </c>
      <c r="F53" s="34">
        <f>_xlfn.XLOOKUP(C:C,'Price List'!C:C,'Price List'!E:E)</f>
        <v>6</v>
      </c>
      <c r="G53" s="34" t="str">
        <f>_xlfn.XLOOKUP(C:C,'Price List'!C:C,'Price List'!F:F)</f>
        <v>167 GR</v>
      </c>
      <c r="H53" s="35" t="s">
        <v>4</v>
      </c>
      <c r="I53" s="33" t="s">
        <v>4764</v>
      </c>
      <c r="J53" s="33" t="s">
        <v>4832</v>
      </c>
      <c r="K53" s="35" t="s">
        <v>4763</v>
      </c>
      <c r="L53" s="36">
        <v>46203</v>
      </c>
      <c r="M53" s="37">
        <v>10</v>
      </c>
      <c r="N53" s="32" t="str">
        <f t="shared" si="0"/>
        <v>10057995_2910</v>
      </c>
      <c r="O53" s="35">
        <f>_xlfn.XLOOKUP(N53,Allocation!H:H,Allocation!C:C,0)</f>
        <v>0</v>
      </c>
      <c r="P53" s="39">
        <f t="shared" si="1"/>
        <v>10</v>
      </c>
    </row>
    <row r="54" spans="1:16" s="32" customFormat="1">
      <c r="A54" s="32" t="str">
        <f>_xlfn.XLOOKUP(C:C,'Price List'!C:C,'Price List'!A:A)</f>
        <v>JAMES TYSON</v>
      </c>
      <c r="B54" s="33" t="s">
        <v>4480</v>
      </c>
      <c r="C54" s="34">
        <v>20037813</v>
      </c>
      <c r="D54" s="33" t="s">
        <v>4833</v>
      </c>
      <c r="E54" s="34">
        <f>_xlfn.XLOOKUP(C:C,'Price List'!C:C,'Price List'!K:K)</f>
        <v>0</v>
      </c>
      <c r="F54" s="34">
        <f>_xlfn.XLOOKUP(C:C,'Price List'!C:C,'Price List'!E:E)</f>
        <v>12</v>
      </c>
      <c r="G54" s="34" t="str">
        <f>_xlfn.XLOOKUP(C:C,'Price List'!C:C,'Price List'!F:F)</f>
        <v>308 GR</v>
      </c>
      <c r="H54" s="35" t="s">
        <v>4</v>
      </c>
      <c r="I54" s="33" t="s">
        <v>4764</v>
      </c>
      <c r="J54" s="33" t="s">
        <v>4834</v>
      </c>
      <c r="K54" s="35" t="s">
        <v>4763</v>
      </c>
      <c r="L54" s="36">
        <v>46203</v>
      </c>
      <c r="M54" s="37">
        <v>46</v>
      </c>
      <c r="N54" s="32" t="str">
        <f t="shared" si="0"/>
        <v>20037813_2910</v>
      </c>
      <c r="O54" s="35">
        <f>_xlfn.XLOOKUP(N54,Allocation!H:H,Allocation!C:C,0)</f>
        <v>0</v>
      </c>
      <c r="P54" s="39">
        <f t="shared" si="1"/>
        <v>46</v>
      </c>
    </row>
    <row r="55" spans="1:16" s="32" customFormat="1">
      <c r="A55" s="32" t="str">
        <f>_xlfn.XLOOKUP(C:C,'Price List'!C:C,'Price List'!A:A)</f>
        <v>NANCY QUISPE PT</v>
      </c>
      <c r="B55" s="33" t="s">
        <v>1207</v>
      </c>
      <c r="C55" s="34">
        <v>10017611</v>
      </c>
      <c r="D55" s="33" t="s">
        <v>474</v>
      </c>
      <c r="E55" s="34">
        <f>_xlfn.XLOOKUP(C:C,'Price List'!C:C,'Price List'!K:K)</f>
        <v>0</v>
      </c>
      <c r="F55" s="34">
        <f>_xlfn.XLOOKUP(C:C,'Price List'!C:C,'Price List'!E:E)</f>
        <v>5</v>
      </c>
      <c r="G55" s="34" t="str">
        <f>_xlfn.XLOOKUP(C:C,'Price List'!C:C,'Price List'!F:F)</f>
        <v>285 ML</v>
      </c>
      <c r="H55" s="35" t="s">
        <v>4</v>
      </c>
      <c r="I55" s="33" t="s">
        <v>4764</v>
      </c>
      <c r="J55" s="33" t="s">
        <v>4835</v>
      </c>
      <c r="K55" s="35" t="s">
        <v>4763</v>
      </c>
      <c r="L55" s="36">
        <v>46203</v>
      </c>
      <c r="M55" s="37">
        <v>14</v>
      </c>
      <c r="N55" s="32" t="str">
        <f t="shared" si="0"/>
        <v>10017611_2910</v>
      </c>
      <c r="O55" s="35">
        <f>_xlfn.XLOOKUP(N55,Allocation!H:H,Allocation!C:C,0)</f>
        <v>0</v>
      </c>
      <c r="P55" s="39">
        <f t="shared" si="1"/>
        <v>14</v>
      </c>
    </row>
    <row r="56" spans="1:16" s="32" customFormat="1">
      <c r="A56" s="32" t="str">
        <f>_xlfn.XLOOKUP(C:C,'Price List'!C:C,'Price List'!A:A)</f>
        <v>SAMANTHA RODRIGUES GB</v>
      </c>
      <c r="B56" s="33" t="s">
        <v>3441</v>
      </c>
      <c r="C56" s="34">
        <v>10076520</v>
      </c>
      <c r="D56" s="33" t="s">
        <v>519</v>
      </c>
      <c r="E56" s="34">
        <f>_xlfn.XLOOKUP(C:C,'Price List'!C:C,'Price List'!K:K)</f>
        <v>0</v>
      </c>
      <c r="F56" s="34">
        <f>_xlfn.XLOOKUP(C:C,'Price List'!C:C,'Price List'!E:E)</f>
        <v>24</v>
      </c>
      <c r="G56" s="34" t="str">
        <f>_xlfn.XLOOKUP(C:C,'Price List'!C:C,'Price List'!F:F)</f>
        <v>150 GR</v>
      </c>
      <c r="H56" s="35" t="s">
        <v>4</v>
      </c>
      <c r="I56" s="33" t="s">
        <v>4764</v>
      </c>
      <c r="J56" s="33" t="s">
        <v>4836</v>
      </c>
      <c r="K56" s="35" t="s">
        <v>4763</v>
      </c>
      <c r="L56" s="36">
        <v>46203</v>
      </c>
      <c r="M56" s="37">
        <v>39</v>
      </c>
      <c r="N56" s="32" t="str">
        <f t="shared" si="0"/>
        <v>10076520_2910</v>
      </c>
      <c r="O56" s="35">
        <f>_xlfn.XLOOKUP(N56,Allocation!H:H,Allocation!C:C,0)</f>
        <v>122</v>
      </c>
      <c r="P56" s="39">
        <f t="shared" si="1"/>
        <v>-83</v>
      </c>
    </row>
    <row r="57" spans="1:16" s="32" customFormat="1">
      <c r="A57" s="32" t="str">
        <f>_xlfn.XLOOKUP(C:C,'Price List'!C:C,'Price List'!A:A)</f>
        <v>NANCY QUISPE PT</v>
      </c>
      <c r="B57" s="33" t="s">
        <v>3281</v>
      </c>
      <c r="C57" s="34">
        <v>10070181</v>
      </c>
      <c r="D57" s="33" t="s">
        <v>4837</v>
      </c>
      <c r="E57" s="34">
        <f>_xlfn.XLOOKUP(C:C,'Price List'!C:C,'Price List'!K:K)</f>
        <v>0</v>
      </c>
      <c r="F57" s="34">
        <f>_xlfn.XLOOKUP(C:C,'Price List'!C:C,'Price List'!E:E)</f>
        <v>12</v>
      </c>
      <c r="G57" s="34" t="str">
        <f>_xlfn.XLOOKUP(C:C,'Price List'!C:C,'Price List'!F:F)</f>
        <v>500 GR</v>
      </c>
      <c r="H57" s="35" t="s">
        <v>5</v>
      </c>
      <c r="I57" s="33" t="s">
        <v>4761</v>
      </c>
      <c r="J57" s="33" t="s">
        <v>4838</v>
      </c>
      <c r="K57" s="35" t="s">
        <v>4763</v>
      </c>
      <c r="L57" s="36">
        <v>46205</v>
      </c>
      <c r="M57" s="37">
        <v>1</v>
      </c>
      <c r="N57" s="32" t="str">
        <f t="shared" si="0"/>
        <v>10070181_2910</v>
      </c>
      <c r="O57" s="35">
        <f>_xlfn.XLOOKUP(N57,Allocation!H:H,Allocation!C:C,0)</f>
        <v>0</v>
      </c>
      <c r="P57" s="39">
        <f t="shared" si="1"/>
        <v>1</v>
      </c>
    </row>
    <row r="58" spans="1:16" s="32" customFormat="1">
      <c r="A58" s="32" t="str">
        <f>_xlfn.XLOOKUP(C:C,'Price List'!C:C,'Price List'!A:A)</f>
        <v>TRACEY LAWRENCE</v>
      </c>
      <c r="B58" s="33" t="s">
        <v>3214</v>
      </c>
      <c r="C58" s="34">
        <v>10067042</v>
      </c>
      <c r="D58" s="33" t="s">
        <v>368</v>
      </c>
      <c r="E58" s="34">
        <f>_xlfn.XLOOKUP(C:C,'Price List'!C:C,'Price List'!K:K)</f>
        <v>0</v>
      </c>
      <c r="F58" s="34">
        <f>_xlfn.XLOOKUP(C:C,'Price List'!C:C,'Price List'!E:E)</f>
        <v>12</v>
      </c>
      <c r="G58" s="34" t="str">
        <f>_xlfn.XLOOKUP(C:C,'Price List'!C:C,'Price List'!F:F)</f>
        <v>156 GR</v>
      </c>
      <c r="H58" s="35" t="s">
        <v>4</v>
      </c>
      <c r="I58" s="33" t="s">
        <v>4764</v>
      </c>
      <c r="J58" s="33" t="s">
        <v>4839</v>
      </c>
      <c r="K58" s="35" t="s">
        <v>4763</v>
      </c>
      <c r="L58" s="36">
        <v>46207</v>
      </c>
      <c r="M58" s="37">
        <v>16</v>
      </c>
      <c r="N58" s="32" t="str">
        <f t="shared" si="0"/>
        <v>10067042_2910</v>
      </c>
      <c r="O58" s="35">
        <f>_xlfn.XLOOKUP(N58,Allocation!H:H,Allocation!C:C,0)</f>
        <v>0</v>
      </c>
      <c r="P58" s="39">
        <f t="shared" si="1"/>
        <v>16</v>
      </c>
    </row>
    <row r="59" spans="1:16" s="32" customFormat="1">
      <c r="A59" s="32" t="str">
        <f>_xlfn.XLOOKUP(C:C,'Price List'!C:C,'Price List'!A:A)</f>
        <v>TRACEY LAWRENCE</v>
      </c>
      <c r="B59" s="33" t="s">
        <v>1261</v>
      </c>
      <c r="C59" s="34">
        <v>10018676</v>
      </c>
      <c r="D59" s="33" t="s">
        <v>4840</v>
      </c>
      <c r="E59" s="34">
        <f>_xlfn.XLOOKUP(C:C,'Price List'!C:C,'Price List'!K:K)</f>
        <v>0</v>
      </c>
      <c r="F59" s="34">
        <f>_xlfn.XLOOKUP(C:C,'Price List'!C:C,'Price List'!E:E)</f>
        <v>60</v>
      </c>
      <c r="G59" s="34" t="str">
        <f>_xlfn.XLOOKUP(C:C,'Price List'!C:C,'Price List'!F:F)</f>
        <v>SHIPPER</v>
      </c>
      <c r="H59" s="35" t="s">
        <v>4</v>
      </c>
      <c r="I59" s="33" t="s">
        <v>4764</v>
      </c>
      <c r="J59" s="33" t="s">
        <v>4839</v>
      </c>
      <c r="K59" s="35" t="s">
        <v>4763</v>
      </c>
      <c r="L59" s="36">
        <v>46207</v>
      </c>
      <c r="M59" s="37">
        <v>1</v>
      </c>
      <c r="N59" s="32" t="str">
        <f t="shared" si="0"/>
        <v>10018676_2910</v>
      </c>
      <c r="O59" s="35">
        <f>_xlfn.XLOOKUP(N59,Allocation!H:H,Allocation!C:C,0)</f>
        <v>0</v>
      </c>
      <c r="P59" s="39">
        <f t="shared" si="1"/>
        <v>1</v>
      </c>
    </row>
    <row r="60" spans="1:16" s="32" customFormat="1">
      <c r="A60" s="32" t="str">
        <f>_xlfn.XLOOKUP(C:C,'Price List'!C:C,'Price List'!A:A)</f>
        <v>ANABELA NEVES PR</v>
      </c>
      <c r="B60" s="33" t="s">
        <v>980</v>
      </c>
      <c r="C60" s="34">
        <v>10013105</v>
      </c>
      <c r="D60" s="33" t="s">
        <v>277</v>
      </c>
      <c r="E60" s="34" t="s">
        <v>4795</v>
      </c>
      <c r="F60" s="34">
        <f>_xlfn.XLOOKUP(C:C,'Price List'!C:C,'Price List'!E:E)</f>
        <v>2</v>
      </c>
      <c r="G60" s="34" t="str">
        <f>_xlfn.XLOOKUP(C:C,'Price List'!C:C,'Price List'!F:F)</f>
        <v>3 KG</v>
      </c>
      <c r="H60" s="35" t="s">
        <v>4</v>
      </c>
      <c r="I60" s="33" t="s">
        <v>4764</v>
      </c>
      <c r="J60" s="33" t="s">
        <v>4841</v>
      </c>
      <c r="K60" s="35" t="s">
        <v>4763</v>
      </c>
      <c r="L60" s="36">
        <v>46209</v>
      </c>
      <c r="M60" s="37">
        <v>4</v>
      </c>
      <c r="N60" s="32" t="str">
        <f t="shared" si="0"/>
        <v>10013105_2910</v>
      </c>
      <c r="O60" s="35">
        <f>_xlfn.XLOOKUP(N60,Allocation!H:H,Allocation!C:C,0)</f>
        <v>0</v>
      </c>
      <c r="P60" s="39">
        <f t="shared" si="1"/>
        <v>4</v>
      </c>
    </row>
    <row r="61" spans="1:16" s="32" customFormat="1">
      <c r="A61" s="32" t="str">
        <f>_xlfn.XLOOKUP(C:C,'Price List'!C:C,'Price List'!A:A)</f>
        <v>MICHELLE JEWELL NT</v>
      </c>
      <c r="B61" s="33" t="s">
        <v>1914</v>
      </c>
      <c r="C61" s="34">
        <v>10038130</v>
      </c>
      <c r="D61" s="33" t="s">
        <v>459</v>
      </c>
      <c r="E61" s="34">
        <f>_xlfn.XLOOKUP(C:C,'Price List'!C:C,'Price List'!K:K)</f>
        <v>0</v>
      </c>
      <c r="F61" s="34">
        <f>_xlfn.XLOOKUP(C:C,'Price List'!C:C,'Price List'!E:E)</f>
        <v>5</v>
      </c>
      <c r="G61" s="34" t="str">
        <f>_xlfn.XLOOKUP(C:C,'Price List'!C:C,'Price List'!F:F)</f>
        <v>210 GR</v>
      </c>
      <c r="H61" s="35" t="s">
        <v>4</v>
      </c>
      <c r="I61" s="33" t="s">
        <v>4764</v>
      </c>
      <c r="J61" s="33" t="s">
        <v>4842</v>
      </c>
      <c r="K61" s="35" t="s">
        <v>4763</v>
      </c>
      <c r="L61" s="36">
        <v>46209</v>
      </c>
      <c r="M61" s="37">
        <v>21</v>
      </c>
      <c r="N61" s="32" t="str">
        <f t="shared" si="0"/>
        <v>10038130_2910</v>
      </c>
      <c r="O61" s="35">
        <f>_xlfn.XLOOKUP(N61,Allocation!H:H,Allocation!C:C,0)</f>
        <v>0</v>
      </c>
      <c r="P61" s="39">
        <f t="shared" si="1"/>
        <v>21</v>
      </c>
    </row>
    <row r="62" spans="1:16" s="32" customFormat="1">
      <c r="A62" s="32" t="str">
        <f>_xlfn.XLOOKUP(C:C,'Price List'!C:C,'Price List'!A:A)</f>
        <v>MICHELLE JEWELL NT</v>
      </c>
      <c r="B62" s="33" t="s">
        <v>743</v>
      </c>
      <c r="C62" s="34">
        <v>10060595</v>
      </c>
      <c r="D62" s="33" t="s">
        <v>4843</v>
      </c>
      <c r="E62" s="34">
        <f>_xlfn.XLOOKUP(C:C,'Price List'!C:C,'Price List'!K:K)</f>
        <v>0</v>
      </c>
      <c r="F62" s="34">
        <f>_xlfn.XLOOKUP(C:C,'Price List'!C:C,'Price List'!E:E)</f>
        <v>6</v>
      </c>
      <c r="G62" s="34" t="str">
        <f>_xlfn.XLOOKUP(C:C,'Price List'!C:C,'Price List'!F:F)</f>
        <v>312 GR</v>
      </c>
      <c r="H62" s="35" t="s">
        <v>4</v>
      </c>
      <c r="I62" s="33" t="s">
        <v>4764</v>
      </c>
      <c r="J62" s="33" t="s">
        <v>4844</v>
      </c>
      <c r="K62" s="35" t="s">
        <v>4763</v>
      </c>
      <c r="L62" s="36">
        <v>46210</v>
      </c>
      <c r="M62" s="37">
        <v>1</v>
      </c>
      <c r="N62" s="32" t="str">
        <f t="shared" si="0"/>
        <v>10060595_2910</v>
      </c>
      <c r="O62" s="35">
        <f>_xlfn.XLOOKUP(N62,Allocation!H:H,Allocation!C:C,0)</f>
        <v>0</v>
      </c>
      <c r="P62" s="39">
        <f t="shared" si="1"/>
        <v>1</v>
      </c>
    </row>
    <row r="63" spans="1:16" s="32" customFormat="1">
      <c r="A63" s="32" t="str">
        <f>_xlfn.XLOOKUP(C:C,'Price List'!C:C,'Price List'!A:A)</f>
        <v>SAMANTHA RODRIGUES GB</v>
      </c>
      <c r="B63" s="33" t="s">
        <v>2761</v>
      </c>
      <c r="C63" s="34">
        <v>10059179</v>
      </c>
      <c r="D63" s="33" t="s">
        <v>4845</v>
      </c>
      <c r="E63" s="34">
        <f>_xlfn.XLOOKUP(C:C,'Price List'!C:C,'Price List'!K:K)</f>
        <v>0</v>
      </c>
      <c r="F63" s="34">
        <f>_xlfn.XLOOKUP(C:C,'Price List'!C:C,'Price List'!E:E)</f>
        <v>6</v>
      </c>
      <c r="G63" s="34" t="str">
        <f>_xlfn.XLOOKUP(C:C,'Price List'!C:C,'Price List'!F:F)</f>
        <v>2.27 KG</v>
      </c>
      <c r="H63" s="35" t="s">
        <v>4</v>
      </c>
      <c r="I63" s="33" t="s">
        <v>4764</v>
      </c>
      <c r="J63" s="33" t="s">
        <v>4846</v>
      </c>
      <c r="K63" s="35" t="s">
        <v>4763</v>
      </c>
      <c r="L63" s="36">
        <v>46210</v>
      </c>
      <c r="M63" s="37">
        <v>31</v>
      </c>
      <c r="N63" s="32" t="str">
        <f t="shared" si="0"/>
        <v>10059179_2910</v>
      </c>
      <c r="O63" s="35">
        <f>_xlfn.XLOOKUP(N63,Allocation!H:H,Allocation!C:C,0)</f>
        <v>0</v>
      </c>
      <c r="P63" s="39">
        <f t="shared" si="1"/>
        <v>31</v>
      </c>
    </row>
    <row r="64" spans="1:16" s="32" customFormat="1">
      <c r="A64" s="32" t="str">
        <f>_xlfn.XLOOKUP(C:C,'Price List'!C:C,'Price List'!A:A)</f>
        <v>JAMES TYSON</v>
      </c>
      <c r="B64" s="33" t="s">
        <v>2388</v>
      </c>
      <c r="C64" s="34">
        <v>10050197</v>
      </c>
      <c r="D64" s="33" t="s">
        <v>4847</v>
      </c>
      <c r="E64" s="34">
        <f>_xlfn.XLOOKUP(C:C,'Price List'!C:C,'Price List'!K:K)</f>
        <v>0</v>
      </c>
      <c r="F64" s="34">
        <f>_xlfn.XLOOKUP(C:C,'Price List'!C:C,'Price List'!E:E)</f>
        <v>8</v>
      </c>
      <c r="G64" s="34" t="str">
        <f>_xlfn.XLOOKUP(C:C,'Price List'!C:C,'Price List'!F:F)</f>
        <v>210 GR</v>
      </c>
      <c r="H64" s="35" t="s">
        <v>4</v>
      </c>
      <c r="I64" s="33" t="s">
        <v>4764</v>
      </c>
      <c r="J64" s="33" t="s">
        <v>4848</v>
      </c>
      <c r="K64" s="35" t="s">
        <v>4763</v>
      </c>
      <c r="L64" s="36">
        <v>46211</v>
      </c>
      <c r="M64" s="37">
        <v>3</v>
      </c>
      <c r="N64" s="32" t="str">
        <f t="shared" si="0"/>
        <v>10050197_2910</v>
      </c>
      <c r="O64" s="35">
        <f>_xlfn.XLOOKUP(N64,Allocation!H:H,Allocation!C:C,0)</f>
        <v>0</v>
      </c>
      <c r="P64" s="39">
        <f t="shared" si="1"/>
        <v>3</v>
      </c>
    </row>
    <row r="65" spans="1:16" s="32" customFormat="1">
      <c r="A65" s="32" t="str">
        <f>_xlfn.XLOOKUP(C:C,'Price List'!C:C,'Price List'!A:A)</f>
        <v>TRACEY LAWRENCE</v>
      </c>
      <c r="B65" s="33" t="s">
        <v>3130</v>
      </c>
      <c r="C65" s="34">
        <v>10063102</v>
      </c>
      <c r="D65" s="33" t="s">
        <v>237</v>
      </c>
      <c r="E65" s="34">
        <f>_xlfn.XLOOKUP(C:C,'Price List'!C:C,'Price List'!K:K)</f>
        <v>0</v>
      </c>
      <c r="F65" s="34">
        <f>_xlfn.XLOOKUP(C:C,'Price List'!C:C,'Price List'!E:E)</f>
        <v>12</v>
      </c>
      <c r="G65" s="34" t="str">
        <f>_xlfn.XLOOKUP(C:C,'Price List'!C:C,'Price List'!F:F)</f>
        <v>220 GR</v>
      </c>
      <c r="H65" s="35" t="s">
        <v>4</v>
      </c>
      <c r="I65" s="33" t="s">
        <v>4764</v>
      </c>
      <c r="J65" s="33" t="s">
        <v>4849</v>
      </c>
      <c r="K65" s="35" t="s">
        <v>4763</v>
      </c>
      <c r="L65" s="36">
        <v>46214</v>
      </c>
      <c r="M65" s="37">
        <v>9</v>
      </c>
      <c r="N65" s="32" t="str">
        <f t="shared" si="0"/>
        <v>10063102_2910</v>
      </c>
      <c r="O65" s="35">
        <f>_xlfn.XLOOKUP(N65,Allocation!H:H,Allocation!C:C,0)</f>
        <v>39</v>
      </c>
      <c r="P65" s="39">
        <f t="shared" si="1"/>
        <v>-30</v>
      </c>
    </row>
    <row r="66" spans="1:16" s="32" customFormat="1">
      <c r="A66" s="32" t="str">
        <f>_xlfn.XLOOKUP(C:C,'Price List'!C:C,'Price List'!A:A)</f>
        <v>TRACEY LAWRENCE</v>
      </c>
      <c r="B66" s="33" t="s">
        <v>3130</v>
      </c>
      <c r="C66" s="34">
        <v>10063102</v>
      </c>
      <c r="D66" s="33" t="s">
        <v>237</v>
      </c>
      <c r="E66" s="34">
        <f>_xlfn.XLOOKUP(C:C,'Price List'!C:C,'Price List'!K:K)</f>
        <v>0</v>
      </c>
      <c r="F66" s="34">
        <f>_xlfn.XLOOKUP(C:C,'Price List'!C:C,'Price List'!E:E)</f>
        <v>12</v>
      </c>
      <c r="G66" s="34" t="str">
        <f>_xlfn.XLOOKUP(C:C,'Price List'!C:C,'Price List'!F:F)</f>
        <v>220 GR</v>
      </c>
      <c r="H66" s="35" t="s">
        <v>4</v>
      </c>
      <c r="I66" s="33" t="s">
        <v>4764</v>
      </c>
      <c r="J66" s="33" t="s">
        <v>4850</v>
      </c>
      <c r="K66" s="35" t="s">
        <v>4763</v>
      </c>
      <c r="L66" s="36">
        <v>46214</v>
      </c>
      <c r="M66" s="37">
        <v>30</v>
      </c>
      <c r="N66" s="32" t="str">
        <f t="shared" ref="N66:N129" si="2">C66 &amp; "_" &amp; 2910</f>
        <v>10063102_2910</v>
      </c>
      <c r="O66" s="35">
        <f>_xlfn.XLOOKUP(N66,Allocation!H:H,Allocation!C:C,0)</f>
        <v>39</v>
      </c>
      <c r="P66" s="39">
        <f t="shared" si="1"/>
        <v>-9</v>
      </c>
    </row>
    <row r="67" spans="1:16" s="32" customFormat="1">
      <c r="A67" s="32" t="str">
        <f>_xlfn.XLOOKUP(C:C,'Price List'!C:C,'Price List'!A:A)</f>
        <v>SAMANTHA RODRIGUES GB</v>
      </c>
      <c r="B67" s="33" t="s">
        <v>3649</v>
      </c>
      <c r="C67" s="34">
        <v>10083462</v>
      </c>
      <c r="D67" s="33" t="s">
        <v>554</v>
      </c>
      <c r="E67" s="34">
        <f>_xlfn.XLOOKUP(C:C,'Price List'!C:C,'Price List'!K:K)</f>
        <v>0</v>
      </c>
      <c r="F67" s="34">
        <f>_xlfn.XLOOKUP(C:C,'Price List'!C:C,'Price List'!E:E)</f>
        <v>12</v>
      </c>
      <c r="G67" s="34" t="str">
        <f>_xlfn.XLOOKUP(C:C,'Price List'!C:C,'Price List'!F:F)</f>
        <v>300 GR</v>
      </c>
      <c r="H67" s="35" t="s">
        <v>4</v>
      </c>
      <c r="I67" s="33" t="s">
        <v>4764</v>
      </c>
      <c r="J67" s="33" t="s">
        <v>4851</v>
      </c>
      <c r="K67" s="35" t="s">
        <v>4763</v>
      </c>
      <c r="L67" s="36">
        <v>46214</v>
      </c>
      <c r="M67" s="37">
        <v>92</v>
      </c>
      <c r="N67" s="32" t="str">
        <f t="shared" si="2"/>
        <v>10083462_2910</v>
      </c>
      <c r="O67" s="35">
        <f>_xlfn.XLOOKUP(N67,Allocation!H:H,Allocation!C:C,0)</f>
        <v>72</v>
      </c>
      <c r="P67" s="39">
        <f t="shared" ref="P67:P78" si="3">M67-O67</f>
        <v>20</v>
      </c>
    </row>
    <row r="68" spans="1:16" s="32" customFormat="1">
      <c r="A68" s="32" t="str">
        <f>_xlfn.XLOOKUP(C:C,'Price List'!C:C,'Price List'!A:A)</f>
        <v>MICHELLE JEWELL NT</v>
      </c>
      <c r="B68" s="33" t="s">
        <v>1914</v>
      </c>
      <c r="C68" s="34">
        <v>10038132</v>
      </c>
      <c r="D68" s="33" t="s">
        <v>462</v>
      </c>
      <c r="E68" s="34">
        <f>_xlfn.XLOOKUP(C:C,'Price List'!C:C,'Price List'!K:K)</f>
        <v>0</v>
      </c>
      <c r="F68" s="34">
        <f>_xlfn.XLOOKUP(C:C,'Price List'!C:C,'Price List'!E:E)</f>
        <v>8</v>
      </c>
      <c r="G68" s="34" t="str">
        <f>_xlfn.XLOOKUP(C:C,'Price List'!C:C,'Price List'!F:F)</f>
        <v>400 GR</v>
      </c>
      <c r="H68" s="35" t="s">
        <v>4</v>
      </c>
      <c r="I68" s="33" t="s">
        <v>4764</v>
      </c>
      <c r="J68" s="33" t="s">
        <v>4852</v>
      </c>
      <c r="K68" s="35" t="s">
        <v>4763</v>
      </c>
      <c r="L68" s="36">
        <v>46214</v>
      </c>
      <c r="M68" s="37">
        <v>12</v>
      </c>
      <c r="N68" s="32" t="str">
        <f t="shared" si="2"/>
        <v>10038132_2910</v>
      </c>
      <c r="O68" s="35">
        <f>_xlfn.XLOOKUP(N68,Allocation!H:H,Allocation!C:C,0)</f>
        <v>0</v>
      </c>
      <c r="P68" s="39">
        <f t="shared" si="3"/>
        <v>12</v>
      </c>
    </row>
    <row r="69" spans="1:16" s="32" customFormat="1">
      <c r="A69" s="32" t="str">
        <f>_xlfn.XLOOKUP(C:C,'Price List'!C:C,'Price List'!A:A)</f>
        <v>TRACEY LAWRENCE</v>
      </c>
      <c r="B69" s="33" t="s">
        <v>1261</v>
      </c>
      <c r="C69" s="34">
        <v>10018658</v>
      </c>
      <c r="D69" s="33" t="s">
        <v>4853</v>
      </c>
      <c r="E69" s="34">
        <f>_xlfn.XLOOKUP(C:C,'Price List'!C:C,'Price List'!K:K)</f>
        <v>0</v>
      </c>
      <c r="F69" s="34">
        <f>_xlfn.XLOOKUP(C:C,'Price List'!C:C,'Price List'!E:E)</f>
        <v>12</v>
      </c>
      <c r="G69" s="34" t="str">
        <f>_xlfn.XLOOKUP(C:C,'Price List'!C:C,'Price List'!F:F)</f>
        <v>240 GR</v>
      </c>
      <c r="H69" s="35" t="s">
        <v>4</v>
      </c>
      <c r="I69" s="33" t="s">
        <v>4764</v>
      </c>
      <c r="J69" s="33" t="s">
        <v>4854</v>
      </c>
      <c r="K69" s="35" t="s">
        <v>4763</v>
      </c>
      <c r="L69" s="36">
        <v>46214</v>
      </c>
      <c r="M69" s="37">
        <v>56</v>
      </c>
      <c r="N69" s="32" t="str">
        <f t="shared" si="2"/>
        <v>10018658_2910</v>
      </c>
      <c r="O69" s="35">
        <f>_xlfn.XLOOKUP(N69,Allocation!H:H,Allocation!C:C,0)</f>
        <v>0</v>
      </c>
      <c r="P69" s="39">
        <f t="shared" si="3"/>
        <v>56</v>
      </c>
    </row>
    <row r="70" spans="1:16" s="32" customFormat="1">
      <c r="A70" s="32" t="str">
        <f>_xlfn.XLOOKUP(C:C,'Price List'!C:C,'Price List'!A:A)</f>
        <v>ANABELA NEVES PR</v>
      </c>
      <c r="B70" s="33" t="s">
        <v>983</v>
      </c>
      <c r="C70" s="34">
        <v>10016044</v>
      </c>
      <c r="D70" s="33" t="s">
        <v>232</v>
      </c>
      <c r="E70" s="34">
        <f>_xlfn.XLOOKUP(C:C,'Price List'!C:C,'Price List'!K:K)</f>
        <v>0</v>
      </c>
      <c r="F70" s="34">
        <f>_xlfn.XLOOKUP(C:C,'Price List'!C:C,'Price List'!E:E)</f>
        <v>12</v>
      </c>
      <c r="G70" s="34" t="str">
        <f>_xlfn.XLOOKUP(C:C,'Price List'!C:C,'Price List'!F:F)</f>
        <v>150 GR</v>
      </c>
      <c r="H70" s="35" t="s">
        <v>4</v>
      </c>
      <c r="I70" s="33" t="s">
        <v>4764</v>
      </c>
      <c r="J70" s="33" t="s">
        <v>4855</v>
      </c>
      <c r="K70" s="35" t="s">
        <v>4763</v>
      </c>
      <c r="L70" s="36">
        <v>46218</v>
      </c>
      <c r="M70" s="37">
        <v>4</v>
      </c>
      <c r="N70" s="32" t="str">
        <f t="shared" si="2"/>
        <v>10016044_2910</v>
      </c>
      <c r="O70" s="35">
        <f>_xlfn.XLOOKUP(N70,Allocation!H:H,Allocation!C:C,0)</f>
        <v>0</v>
      </c>
      <c r="P70" s="39">
        <f t="shared" si="3"/>
        <v>4</v>
      </c>
    </row>
    <row r="71" spans="1:16" s="32" customFormat="1">
      <c r="A71" s="32" t="str">
        <f>_xlfn.XLOOKUP(C:C,'Price List'!C:C,'Price List'!A:A)</f>
        <v>MICHELLE JEWELL NT</v>
      </c>
      <c r="B71" s="33" t="s">
        <v>1914</v>
      </c>
      <c r="C71" s="34">
        <v>10038126</v>
      </c>
      <c r="D71" s="33" t="s">
        <v>409</v>
      </c>
      <c r="E71" s="34">
        <f>_xlfn.XLOOKUP(C:C,'Price List'!C:C,'Price List'!K:K)</f>
        <v>0</v>
      </c>
      <c r="F71" s="34">
        <f>_xlfn.XLOOKUP(C:C,'Price List'!C:C,'Price List'!E:E)</f>
        <v>5</v>
      </c>
      <c r="G71" s="34" t="str">
        <f>_xlfn.XLOOKUP(C:C,'Price List'!C:C,'Price List'!F:F)</f>
        <v>250 GR</v>
      </c>
      <c r="H71" s="35" t="s">
        <v>4</v>
      </c>
      <c r="I71" s="33" t="s">
        <v>4764</v>
      </c>
      <c r="J71" s="33" t="s">
        <v>4856</v>
      </c>
      <c r="K71" s="35" t="s">
        <v>4763</v>
      </c>
      <c r="L71" s="36">
        <v>46218</v>
      </c>
      <c r="M71" s="37">
        <v>10</v>
      </c>
      <c r="N71" s="32" t="str">
        <f t="shared" si="2"/>
        <v>10038126_2910</v>
      </c>
      <c r="O71" s="35">
        <f>_xlfn.XLOOKUP(N71,Allocation!H:H,Allocation!C:C,0)</f>
        <v>0</v>
      </c>
      <c r="P71" s="39">
        <f t="shared" si="3"/>
        <v>10</v>
      </c>
    </row>
    <row r="72" spans="1:16" s="32" customFormat="1">
      <c r="A72" s="32" t="str">
        <f>_xlfn.XLOOKUP(C:C,'Price List'!C:C,'Price List'!A:A)</f>
        <v>AMOL PRAKASH</v>
      </c>
      <c r="B72" s="33" t="s">
        <v>664</v>
      </c>
      <c r="C72" s="34">
        <v>10003061</v>
      </c>
      <c r="D72" s="33" t="s">
        <v>261</v>
      </c>
      <c r="E72" s="34">
        <f>_xlfn.XLOOKUP(C:C,'Price List'!C:C,'Price List'!K:K)</f>
        <v>0</v>
      </c>
      <c r="F72" s="34">
        <f>_xlfn.XLOOKUP(C:C,'Price List'!C:C,'Price List'!E:E)</f>
        <v>8</v>
      </c>
      <c r="G72" s="34" t="str">
        <f>_xlfn.XLOOKUP(C:C,'Price List'!C:C,'Price List'!F:F)</f>
        <v>3X200 ML</v>
      </c>
      <c r="H72" s="35" t="s">
        <v>4</v>
      </c>
      <c r="I72" s="33" t="s">
        <v>4764</v>
      </c>
      <c r="J72" s="33" t="s">
        <v>4857</v>
      </c>
      <c r="K72" s="35" t="s">
        <v>4763</v>
      </c>
      <c r="L72" s="36">
        <v>46219</v>
      </c>
      <c r="M72" s="37">
        <v>62</v>
      </c>
      <c r="N72" s="32" t="str">
        <f t="shared" si="2"/>
        <v>10003061_2910</v>
      </c>
      <c r="O72" s="35">
        <f>_xlfn.XLOOKUP(N72,Allocation!H:H,Allocation!C:C,0)</f>
        <v>0</v>
      </c>
      <c r="P72" s="39">
        <f t="shared" si="3"/>
        <v>62</v>
      </c>
    </row>
    <row r="73" spans="1:16" s="32" customFormat="1">
      <c r="A73" s="32" t="str">
        <f>_xlfn.XLOOKUP(C:C,'Price List'!C:C,'Price List'!A:A)</f>
        <v>ASIF AHMAD GB</v>
      </c>
      <c r="B73" s="33" t="s">
        <v>1300</v>
      </c>
      <c r="C73" s="34">
        <v>10019131</v>
      </c>
      <c r="D73" s="33" t="s">
        <v>415</v>
      </c>
      <c r="E73" s="34">
        <f>_xlfn.XLOOKUP(C:C,'Price List'!C:C,'Price List'!K:K)</f>
        <v>0</v>
      </c>
      <c r="F73" s="34">
        <f>_xlfn.XLOOKUP(C:C,'Price List'!C:C,'Price List'!E:E)</f>
        <v>12</v>
      </c>
      <c r="G73" s="34" t="str">
        <f>_xlfn.XLOOKUP(C:C,'Price List'!C:C,'Price List'!F:F)</f>
        <v>500 ML</v>
      </c>
      <c r="H73" s="35" t="s">
        <v>4</v>
      </c>
      <c r="I73" s="33" t="s">
        <v>4764</v>
      </c>
      <c r="J73" s="33" t="s">
        <v>4858</v>
      </c>
      <c r="K73" s="35" t="s">
        <v>4763</v>
      </c>
      <c r="L73" s="36">
        <v>46219</v>
      </c>
      <c r="M73" s="37">
        <v>2</v>
      </c>
      <c r="N73" s="32" t="str">
        <f t="shared" si="2"/>
        <v>10019131_2910</v>
      </c>
      <c r="O73" s="35">
        <f>_xlfn.XLOOKUP(N73,Allocation!H:H,Allocation!C:C,0)</f>
        <v>0</v>
      </c>
      <c r="P73" s="39">
        <f t="shared" si="3"/>
        <v>2</v>
      </c>
    </row>
    <row r="74" spans="1:16" s="32" customFormat="1">
      <c r="A74" s="32" t="str">
        <f>_xlfn.XLOOKUP(C:C,'Price List'!C:C,'Price List'!A:A)</f>
        <v>NATASHA KING PR</v>
      </c>
      <c r="B74" s="33" t="s">
        <v>3667</v>
      </c>
      <c r="C74" s="34">
        <v>10088045</v>
      </c>
      <c r="D74" s="33" t="s">
        <v>555</v>
      </c>
      <c r="E74" s="34">
        <f>_xlfn.XLOOKUP(C:C,'Price List'!C:C,'Price List'!K:K)</f>
        <v>0</v>
      </c>
      <c r="F74" s="34">
        <f>_xlfn.XLOOKUP(C:C,'Price List'!C:C,'Price List'!E:E)</f>
        <v>12</v>
      </c>
      <c r="G74" s="34" t="str">
        <f>_xlfn.XLOOKUP(C:C,'Price List'!C:C,'Price List'!F:F)</f>
        <v>925 GR</v>
      </c>
      <c r="H74" s="35" t="s">
        <v>4</v>
      </c>
      <c r="I74" s="33" t="s">
        <v>4764</v>
      </c>
      <c r="J74" s="33" t="s">
        <v>4859</v>
      </c>
      <c r="K74" s="35" t="s">
        <v>4763</v>
      </c>
      <c r="L74" s="36">
        <v>46219</v>
      </c>
      <c r="M74" s="37">
        <v>72</v>
      </c>
      <c r="N74" s="32" t="str">
        <f t="shared" si="2"/>
        <v>10088045_2910</v>
      </c>
      <c r="O74" s="35">
        <f>_xlfn.XLOOKUP(N74,Allocation!H:H,Allocation!C:C,0)</f>
        <v>72</v>
      </c>
      <c r="P74" s="39">
        <f t="shared" si="3"/>
        <v>0</v>
      </c>
    </row>
    <row r="75" spans="1:16" s="32" customFormat="1">
      <c r="A75" s="32" t="str">
        <f>_xlfn.XLOOKUP(C:C,'Price List'!C:C,'Price List'!A:A)</f>
        <v>ANABELA NEVES PR</v>
      </c>
      <c r="B75" s="33" t="s">
        <v>983</v>
      </c>
      <c r="C75" s="34">
        <v>10016204</v>
      </c>
      <c r="D75" s="33" t="s">
        <v>279</v>
      </c>
      <c r="E75" s="34">
        <f>_xlfn.XLOOKUP(C:C,'Price List'!C:C,'Price List'!K:K)</f>
        <v>0</v>
      </c>
      <c r="F75" s="34">
        <f>_xlfn.XLOOKUP(C:C,'Price List'!C:C,'Price List'!E:E)</f>
        <v>12</v>
      </c>
      <c r="G75" s="34" t="str">
        <f>_xlfn.XLOOKUP(C:C,'Price List'!C:C,'Price List'!F:F)</f>
        <v>200 GR</v>
      </c>
      <c r="H75" s="35" t="s">
        <v>4</v>
      </c>
      <c r="I75" s="33" t="s">
        <v>4764</v>
      </c>
      <c r="J75" s="33" t="s">
        <v>4860</v>
      </c>
      <c r="K75" s="35" t="s">
        <v>4763</v>
      </c>
      <c r="L75" s="36">
        <v>46220</v>
      </c>
      <c r="M75" s="37">
        <v>5</v>
      </c>
      <c r="N75" s="32" t="str">
        <f t="shared" si="2"/>
        <v>10016204_2910</v>
      </c>
      <c r="O75" s="35">
        <f>_xlfn.XLOOKUP(N75,Allocation!H:H,Allocation!C:C,0)</f>
        <v>0</v>
      </c>
      <c r="P75" s="39">
        <f t="shared" si="3"/>
        <v>5</v>
      </c>
    </row>
    <row r="76" spans="1:16" s="32" customFormat="1">
      <c r="A76" s="32" t="str">
        <f>_xlfn.XLOOKUP(C:C,'Price List'!C:C,'Price List'!A:A)</f>
        <v>Michael Gambino PR</v>
      </c>
      <c r="B76" s="33" t="s">
        <v>2597</v>
      </c>
      <c r="C76" s="34">
        <v>10052076</v>
      </c>
      <c r="D76" s="33" t="s">
        <v>250</v>
      </c>
      <c r="E76" s="34">
        <f>_xlfn.XLOOKUP(C:C,'Price List'!C:C,'Price List'!K:K)</f>
        <v>0</v>
      </c>
      <c r="F76" s="34">
        <f>_xlfn.XLOOKUP(C:C,'Price List'!C:C,'Price List'!E:E)</f>
        <v>10</v>
      </c>
      <c r="G76" s="34" t="str">
        <f>_xlfn.XLOOKUP(C:C,'Price List'!C:C,'Price List'!F:F)</f>
        <v>180 GR</v>
      </c>
      <c r="H76" s="35" t="s">
        <v>4</v>
      </c>
      <c r="I76" s="33" t="s">
        <v>4764</v>
      </c>
      <c r="J76" s="33" t="s">
        <v>4861</v>
      </c>
      <c r="K76" s="35" t="s">
        <v>4763</v>
      </c>
      <c r="L76" s="36">
        <v>46220</v>
      </c>
      <c r="M76" s="37">
        <v>53</v>
      </c>
      <c r="N76" s="32" t="str">
        <f t="shared" si="2"/>
        <v>10052076_2910</v>
      </c>
      <c r="O76" s="35">
        <f>_xlfn.XLOOKUP(N76,Allocation!H:H,Allocation!C:C,0)</f>
        <v>53</v>
      </c>
      <c r="P76" s="39">
        <f t="shared" si="3"/>
        <v>0</v>
      </c>
    </row>
    <row r="77" spans="1:16" s="32" customFormat="1">
      <c r="A77" s="32" t="str">
        <f>_xlfn.XLOOKUP(C:C,'Price List'!C:C,'Price List'!A:A)</f>
        <v>JAMES TYSON</v>
      </c>
      <c r="B77" s="33" t="s">
        <v>691</v>
      </c>
      <c r="C77" s="34">
        <v>10007851</v>
      </c>
      <c r="D77" s="33" t="s">
        <v>556</v>
      </c>
      <c r="E77" s="34">
        <f>_xlfn.XLOOKUP(C:C,'Price List'!C:C,'Price List'!K:K)</f>
        <v>0</v>
      </c>
      <c r="F77" s="34">
        <f>_xlfn.XLOOKUP(C:C,'Price List'!C:C,'Price List'!E:E)</f>
        <v>6</v>
      </c>
      <c r="G77" s="34" t="str">
        <f>_xlfn.XLOOKUP(C:C,'Price List'!C:C,'Price List'!F:F)</f>
        <v>907 GR</v>
      </c>
      <c r="H77" s="35" t="s">
        <v>4</v>
      </c>
      <c r="I77" s="33" t="s">
        <v>4764</v>
      </c>
      <c r="J77" s="33" t="s">
        <v>4862</v>
      </c>
      <c r="K77" s="35" t="s">
        <v>4763</v>
      </c>
      <c r="L77" s="36">
        <v>46220</v>
      </c>
      <c r="M77" s="37">
        <v>74</v>
      </c>
      <c r="N77" s="32" t="str">
        <f t="shared" si="2"/>
        <v>10007851_2910</v>
      </c>
      <c r="O77" s="35">
        <f>_xlfn.XLOOKUP(N77,Allocation!H:H,Allocation!C:C,0)</f>
        <v>74</v>
      </c>
      <c r="P77" s="39">
        <f t="shared" si="3"/>
        <v>0</v>
      </c>
    </row>
    <row r="78" spans="1:16" s="32" customFormat="1">
      <c r="A78" s="32" t="str">
        <f>_xlfn.XLOOKUP(C:C,'Price List'!C:C,'Price List'!A:A)</f>
        <v>ANNA MARIA D'ANGELA</v>
      </c>
      <c r="B78" s="33" t="s">
        <v>2026</v>
      </c>
      <c r="C78" s="34">
        <v>10040699</v>
      </c>
      <c r="D78" s="33" t="s">
        <v>589</v>
      </c>
      <c r="E78" s="34">
        <f>_xlfn.XLOOKUP(C:C,'Price List'!C:C,'Price List'!K:K)</f>
        <v>0</v>
      </c>
      <c r="F78" s="34">
        <f>_xlfn.XLOOKUP(C:C,'Price List'!C:C,'Price List'!E:E)</f>
        <v>12</v>
      </c>
      <c r="G78" s="34" t="str">
        <f>_xlfn.XLOOKUP(C:C,'Price List'!C:C,'Price List'!F:F)</f>
        <v>750 ML</v>
      </c>
      <c r="H78" s="35" t="s">
        <v>4</v>
      </c>
      <c r="I78" s="33" t="s">
        <v>4764</v>
      </c>
      <c r="J78" s="33" t="s">
        <v>4863</v>
      </c>
      <c r="K78" s="35" t="s">
        <v>4763</v>
      </c>
      <c r="L78" s="36">
        <v>46220</v>
      </c>
      <c r="M78" s="37">
        <v>1</v>
      </c>
      <c r="N78" s="32" t="str">
        <f t="shared" si="2"/>
        <v>10040699_2910</v>
      </c>
      <c r="O78" s="35">
        <f>_xlfn.XLOOKUP(N78,Allocation!H:H,Allocation!C:C,0)</f>
        <v>23</v>
      </c>
      <c r="P78" s="39">
        <f t="shared" si="3"/>
        <v>-22</v>
      </c>
    </row>
    <row r="79" spans="1:16">
      <c r="A79" s="32" t="str">
        <f>_xlfn.XLOOKUP(C:C,'Price List'!C:C,'Price List'!A:A)</f>
        <v>AMOL PRAKASH</v>
      </c>
      <c r="B79" s="33" t="s">
        <v>726</v>
      </c>
      <c r="C79" s="34">
        <v>10076880</v>
      </c>
      <c r="D79" s="33" t="s">
        <v>581</v>
      </c>
      <c r="E79" s="34">
        <f>_xlfn.XLOOKUP(C:C,'Price List'!C:C,'Price List'!K:K)</f>
        <v>0</v>
      </c>
      <c r="F79" s="34">
        <f>_xlfn.XLOOKUP(C:C,'Price List'!C:C,'Price List'!E:E)</f>
        <v>6</v>
      </c>
      <c r="G79" s="34" t="str">
        <f>_xlfn.XLOOKUP(C:C,'Price List'!C:C,'Price List'!F:F)</f>
        <v>454 GR</v>
      </c>
      <c r="H79" s="35" t="s">
        <v>3</v>
      </c>
      <c r="I79" s="33" t="s">
        <v>4864</v>
      </c>
      <c r="J79" s="33" t="s">
        <v>4865</v>
      </c>
      <c r="K79" s="35" t="s">
        <v>4763</v>
      </c>
      <c r="L79" s="36">
        <v>46223</v>
      </c>
      <c r="M79" s="37">
        <v>70</v>
      </c>
      <c r="N79" s="32" t="str">
        <f t="shared" si="2"/>
        <v>10076880_2910</v>
      </c>
      <c r="O79" s="35">
        <f>_xlfn.XLOOKUP(N79,Allocation!H:H,Allocation!B:B,0)</f>
        <v>70</v>
      </c>
    </row>
    <row r="80" spans="1:16" s="32" customFormat="1">
      <c r="A80" s="32" t="str">
        <f>_xlfn.XLOOKUP(C:C,'Price List'!C:C,'Price List'!A:A)</f>
        <v>JAMES TYSON</v>
      </c>
      <c r="B80" s="33" t="s">
        <v>691</v>
      </c>
      <c r="C80" s="34">
        <v>10007849</v>
      </c>
      <c r="D80" s="33" t="s">
        <v>570</v>
      </c>
      <c r="E80" s="34">
        <f>_xlfn.XLOOKUP(C:C,'Price List'!C:C,'Price List'!K:K)</f>
        <v>0</v>
      </c>
      <c r="F80" s="34">
        <f>_xlfn.XLOOKUP(C:C,'Price List'!C:C,'Price List'!E:E)</f>
        <v>6</v>
      </c>
      <c r="G80" s="34" t="str">
        <f>_xlfn.XLOOKUP(C:C,'Price List'!C:C,'Price List'!F:F)</f>
        <v>907 GR</v>
      </c>
      <c r="H80" s="35" t="s">
        <v>4</v>
      </c>
      <c r="I80" s="33" t="s">
        <v>4764</v>
      </c>
      <c r="J80" s="33" t="s">
        <v>4866</v>
      </c>
      <c r="K80" s="35" t="s">
        <v>4763</v>
      </c>
      <c r="L80" s="36">
        <v>46224</v>
      </c>
      <c r="M80" s="37">
        <v>1</v>
      </c>
      <c r="N80" s="32" t="str">
        <f t="shared" si="2"/>
        <v>10007849_2910</v>
      </c>
      <c r="O80" s="35">
        <f>_xlfn.XLOOKUP(N80,Allocation!H:H,Allocation!C:C,0)</f>
        <v>1</v>
      </c>
      <c r="P80" s="39">
        <f t="shared" ref="P80:P83" si="4">M80-O80</f>
        <v>0</v>
      </c>
    </row>
    <row r="81" spans="1:16" s="32" customFormat="1">
      <c r="A81" s="32" t="str">
        <f>_xlfn.XLOOKUP(C:C,'Price List'!C:C,'Price List'!A:A)</f>
        <v>SAMANTHA RODRIGUES GB</v>
      </c>
      <c r="B81" s="33" t="s">
        <v>2741</v>
      </c>
      <c r="C81" s="34">
        <v>10066077</v>
      </c>
      <c r="D81" s="33" t="s">
        <v>4867</v>
      </c>
      <c r="E81" s="34">
        <f>_xlfn.XLOOKUP(C:C,'Price List'!C:C,'Price List'!K:K)</f>
        <v>0</v>
      </c>
      <c r="F81" s="34">
        <f>_xlfn.XLOOKUP(C:C,'Price List'!C:C,'Price List'!E:E)</f>
        <v>12</v>
      </c>
      <c r="G81" s="34" t="str">
        <f>_xlfn.XLOOKUP(C:C,'Price List'!C:C,'Price List'!F:F)</f>
        <v>148 ML</v>
      </c>
      <c r="H81" s="35" t="s">
        <v>4</v>
      </c>
      <c r="I81" s="33" t="s">
        <v>4764</v>
      </c>
      <c r="J81" s="33" t="s">
        <v>4868</v>
      </c>
      <c r="K81" s="35" t="s">
        <v>4763</v>
      </c>
      <c r="L81" s="36">
        <v>46225</v>
      </c>
      <c r="M81" s="37">
        <v>2</v>
      </c>
      <c r="N81" s="32" t="str">
        <f t="shared" si="2"/>
        <v>10066077_2910</v>
      </c>
      <c r="O81" s="35">
        <f>_xlfn.XLOOKUP(N81,Allocation!H:H,Allocation!C:C,0)</f>
        <v>0</v>
      </c>
      <c r="P81" s="39">
        <f t="shared" si="4"/>
        <v>2</v>
      </c>
    </row>
    <row r="82" spans="1:16" s="32" customFormat="1">
      <c r="A82" s="32" t="str">
        <f>_xlfn.XLOOKUP(C:C,'Price List'!C:C,'Price List'!A:A)</f>
        <v>ASIF AHMAD GB</v>
      </c>
      <c r="B82" s="33" t="s">
        <v>1161</v>
      </c>
      <c r="C82" s="34">
        <v>10016403</v>
      </c>
      <c r="D82" s="33" t="s">
        <v>4869</v>
      </c>
      <c r="E82" s="34">
        <f>_xlfn.XLOOKUP(C:C,'Price List'!C:C,'Price List'!K:K)</f>
        <v>0</v>
      </c>
      <c r="F82" s="34">
        <f>_xlfn.XLOOKUP(C:C,'Price List'!C:C,'Price List'!E:E)</f>
        <v>12</v>
      </c>
      <c r="G82" s="34" t="str">
        <f>_xlfn.XLOOKUP(C:C,'Price List'!C:C,'Price List'!F:F)</f>
        <v>946 ML</v>
      </c>
      <c r="H82" s="35" t="s">
        <v>4</v>
      </c>
      <c r="I82" s="33" t="s">
        <v>4764</v>
      </c>
      <c r="J82" s="33" t="s">
        <v>4870</v>
      </c>
      <c r="K82" s="35" t="s">
        <v>4763</v>
      </c>
      <c r="L82" s="36">
        <v>46229</v>
      </c>
      <c r="M82" s="37">
        <v>7</v>
      </c>
      <c r="N82" s="32" t="str">
        <f t="shared" si="2"/>
        <v>10016403_2910</v>
      </c>
      <c r="O82" s="35">
        <f>_xlfn.XLOOKUP(N82,Allocation!H:H,Allocation!C:C,0)</f>
        <v>0</v>
      </c>
      <c r="P82" s="39">
        <f t="shared" si="4"/>
        <v>7</v>
      </c>
    </row>
    <row r="83" spans="1:16" s="32" customFormat="1">
      <c r="A83" s="32" t="str">
        <f>_xlfn.XLOOKUP(C:C,'Price List'!C:C,'Price List'!A:A)</f>
        <v>SAMANTHA RODRIGUES GB</v>
      </c>
      <c r="B83" s="33" t="s">
        <v>2761</v>
      </c>
      <c r="C83" s="34">
        <v>10059179</v>
      </c>
      <c r="D83" s="33" t="s">
        <v>4845</v>
      </c>
      <c r="E83" s="34">
        <f>_xlfn.XLOOKUP(C:C,'Price List'!C:C,'Price List'!K:K)</f>
        <v>0</v>
      </c>
      <c r="F83" s="34">
        <f>_xlfn.XLOOKUP(C:C,'Price List'!C:C,'Price List'!E:E)</f>
        <v>6</v>
      </c>
      <c r="G83" s="34" t="str">
        <f>_xlfn.XLOOKUP(C:C,'Price List'!C:C,'Price List'!F:F)</f>
        <v>2.27 KG</v>
      </c>
      <c r="H83" s="35" t="s">
        <v>4</v>
      </c>
      <c r="I83" s="33" t="s">
        <v>4764</v>
      </c>
      <c r="J83" s="33" t="s">
        <v>4871</v>
      </c>
      <c r="K83" s="35" t="s">
        <v>4763</v>
      </c>
      <c r="L83" s="36">
        <v>46229</v>
      </c>
      <c r="M83" s="37">
        <v>69</v>
      </c>
      <c r="N83" s="32" t="str">
        <f t="shared" si="2"/>
        <v>10059179_2910</v>
      </c>
      <c r="O83" s="35">
        <f>_xlfn.XLOOKUP(N83,Allocation!H:H,Allocation!C:C,0)</f>
        <v>0</v>
      </c>
      <c r="P83" s="39">
        <f t="shared" si="4"/>
        <v>69</v>
      </c>
    </row>
    <row r="84" spans="1:16">
      <c r="A84" t="str">
        <f>_xlfn.XLOOKUP(C:C,'Price List'!C:C,'Price List'!A:A)</f>
        <v>NANCY QUISPE PT</v>
      </c>
      <c r="B84" s="2" t="s">
        <v>3281</v>
      </c>
      <c r="C84" s="9">
        <v>10070148</v>
      </c>
      <c r="D84" s="2" t="s">
        <v>4872</v>
      </c>
      <c r="E84" s="9">
        <f>_xlfn.XLOOKUP(C:C,'Price List'!C:C,'Price List'!K:K)</f>
        <v>0</v>
      </c>
      <c r="F84" s="9">
        <f>_xlfn.XLOOKUP(C:C,'Price List'!C:C,'Price List'!E:E)</f>
        <v>8</v>
      </c>
      <c r="G84" s="9" t="str">
        <f>_xlfn.XLOOKUP(C:C,'Price List'!C:C,'Price List'!F:F)</f>
        <v>300 GR</v>
      </c>
      <c r="H84" s="6" t="s">
        <v>4873</v>
      </c>
      <c r="I84" s="2" t="s">
        <v>4874</v>
      </c>
      <c r="J84" s="2" t="s">
        <v>4875</v>
      </c>
      <c r="K84" s="6" t="s">
        <v>4763</v>
      </c>
      <c r="L84" s="14">
        <v>46229</v>
      </c>
      <c r="M84" s="15">
        <v>15</v>
      </c>
      <c r="N84" t="str">
        <f t="shared" si="2"/>
        <v>10070148_2910</v>
      </c>
      <c r="O84" s="6">
        <f>_xlfn.XLOOKUP(N84,Allocation!H:H,Allocation!E:E,0)</f>
        <v>0</v>
      </c>
      <c r="P84" s="38">
        <f>M84-O84</f>
        <v>15</v>
      </c>
    </row>
    <row r="85" spans="1:16">
      <c r="A85" t="str">
        <f>_xlfn.XLOOKUP(C:C,'Price List'!C:C,'Price List'!A:A)</f>
        <v>MICHELLE JEWELL NT</v>
      </c>
      <c r="B85" s="2" t="s">
        <v>1679</v>
      </c>
      <c r="C85" s="9">
        <v>10031626</v>
      </c>
      <c r="D85" s="2" t="s">
        <v>4876</v>
      </c>
      <c r="E85" s="9">
        <f>_xlfn.XLOOKUP(C:C,'Price List'!C:C,'Price List'!K:K)</f>
        <v>0</v>
      </c>
      <c r="F85" s="9">
        <f>_xlfn.XLOOKUP(C:C,'Price List'!C:C,'Price List'!E:E)</f>
        <v>8</v>
      </c>
      <c r="G85" s="9" t="str">
        <f>_xlfn.XLOOKUP(C:C,'Price List'!C:C,'Price List'!F:F)</f>
        <v>260 GR</v>
      </c>
      <c r="H85" s="6" t="s">
        <v>6</v>
      </c>
      <c r="I85" s="2" t="s">
        <v>4877</v>
      </c>
      <c r="J85" s="2" t="s">
        <v>4878</v>
      </c>
      <c r="K85" s="6" t="s">
        <v>4763</v>
      </c>
      <c r="L85" s="14">
        <v>46230</v>
      </c>
      <c r="M85" s="15">
        <v>23</v>
      </c>
      <c r="N85" t="str">
        <f t="shared" si="2"/>
        <v>10031626_2910</v>
      </c>
      <c r="O85" s="6">
        <f>_xlfn.XLOOKUP(N85,Allocation!H:H,Allocation!E:E,0)</f>
        <v>0</v>
      </c>
      <c r="P85" s="38">
        <f t="shared" ref="P85:P86" si="5">M85-O85</f>
        <v>23</v>
      </c>
    </row>
    <row r="86" spans="1:16">
      <c r="A86" t="str">
        <f>_xlfn.XLOOKUP(C:C,'Price List'!C:C,'Price List'!A:A)</f>
        <v>MICHELLE JEWELL NT</v>
      </c>
      <c r="B86" s="2" t="s">
        <v>1679</v>
      </c>
      <c r="C86" s="9">
        <v>10031630</v>
      </c>
      <c r="D86" s="2" t="s">
        <v>4879</v>
      </c>
      <c r="E86" s="9">
        <f>_xlfn.XLOOKUP(C:C,'Price List'!C:C,'Price List'!K:K)</f>
        <v>0</v>
      </c>
      <c r="F86" s="9">
        <f>_xlfn.XLOOKUP(C:C,'Price List'!C:C,'Price List'!E:E)</f>
        <v>8</v>
      </c>
      <c r="G86" s="9" t="str">
        <f>_xlfn.XLOOKUP(C:C,'Price List'!C:C,'Price List'!F:F)</f>
        <v>227 GR</v>
      </c>
      <c r="H86" s="6" t="s">
        <v>6</v>
      </c>
      <c r="I86" s="2" t="s">
        <v>4877</v>
      </c>
      <c r="J86" s="2" t="s">
        <v>4878</v>
      </c>
      <c r="K86" s="6" t="s">
        <v>4763</v>
      </c>
      <c r="L86" s="14">
        <v>46230</v>
      </c>
      <c r="M86" s="15">
        <v>5</v>
      </c>
      <c r="N86" t="str">
        <f t="shared" si="2"/>
        <v>10031630_2910</v>
      </c>
      <c r="O86" s="6">
        <f>_xlfn.XLOOKUP(N86,Allocation!H:H,Allocation!E:E,0)</f>
        <v>0</v>
      </c>
      <c r="P86" s="38">
        <f t="shared" si="5"/>
        <v>5</v>
      </c>
    </row>
    <row r="87" spans="1:16" s="32" customFormat="1">
      <c r="A87" s="32" t="str">
        <f>_xlfn.XLOOKUP(C:C,'Price List'!C:C,'Price List'!A:A)</f>
        <v>NANCY QUISPE PT</v>
      </c>
      <c r="B87" s="33" t="s">
        <v>2401</v>
      </c>
      <c r="C87" s="34">
        <v>10050331</v>
      </c>
      <c r="D87" s="33" t="s">
        <v>2412</v>
      </c>
      <c r="E87" s="34">
        <f>_xlfn.XLOOKUP(C:C,'Price List'!C:C,'Price List'!K:K)</f>
        <v>0</v>
      </c>
      <c r="F87" s="34">
        <f>_xlfn.XLOOKUP(C:C,'Price List'!C:C,'Price List'!E:E)</f>
        <v>6</v>
      </c>
      <c r="G87" s="34" t="str">
        <f>_xlfn.XLOOKUP(C:C,'Price List'!C:C,'Price List'!F:F)</f>
        <v>395 ML</v>
      </c>
      <c r="H87" s="35" t="s">
        <v>4</v>
      </c>
      <c r="I87" s="33" t="s">
        <v>4764</v>
      </c>
      <c r="J87" s="33" t="s">
        <v>4880</v>
      </c>
      <c r="K87" s="35" t="s">
        <v>4763</v>
      </c>
      <c r="L87" s="36">
        <v>46231</v>
      </c>
      <c r="M87" s="37">
        <v>10</v>
      </c>
      <c r="N87" s="32" t="str">
        <f t="shared" si="2"/>
        <v>10050331_2910</v>
      </c>
      <c r="O87" s="35">
        <f>_xlfn.XLOOKUP(N87,Allocation!H:H,Allocation!C:C,0)</f>
        <v>0</v>
      </c>
      <c r="P87" s="39">
        <f t="shared" ref="P87:P89" si="6">M87-O87</f>
        <v>10</v>
      </c>
    </row>
    <row r="88" spans="1:16" s="32" customFormat="1">
      <c r="A88" s="32" t="str">
        <f>_xlfn.XLOOKUP(C:C,'Price List'!C:C,'Price List'!A:A)</f>
        <v>WARREN PARK</v>
      </c>
      <c r="B88" s="33" t="s">
        <v>2320</v>
      </c>
      <c r="C88" s="34">
        <v>10048715</v>
      </c>
      <c r="D88" s="33" t="s">
        <v>4881</v>
      </c>
      <c r="E88" s="34">
        <f>_xlfn.XLOOKUP(C:C,'Price List'!C:C,'Price List'!K:K)</f>
        <v>0</v>
      </c>
      <c r="F88" s="34">
        <f>_xlfn.XLOOKUP(C:C,'Price List'!C:C,'Price List'!E:E)</f>
        <v>6</v>
      </c>
      <c r="G88" s="34" t="str">
        <f>_xlfn.XLOOKUP(C:C,'Price List'!C:C,'Price List'!F:F)</f>
        <v>293 ML</v>
      </c>
      <c r="H88" s="35" t="s">
        <v>4</v>
      </c>
      <c r="I88" s="33" t="s">
        <v>4764</v>
      </c>
      <c r="J88" s="33" t="s">
        <v>4882</v>
      </c>
      <c r="K88" s="35" t="s">
        <v>4763</v>
      </c>
      <c r="L88" s="36">
        <v>46231</v>
      </c>
      <c r="M88" s="37">
        <v>6</v>
      </c>
      <c r="N88" s="32" t="str">
        <f t="shared" si="2"/>
        <v>10048715_2910</v>
      </c>
      <c r="O88" s="35">
        <f>_xlfn.XLOOKUP(N88,Allocation!H:H,Allocation!C:C,0)</f>
        <v>0</v>
      </c>
      <c r="P88" s="39">
        <f t="shared" si="6"/>
        <v>6</v>
      </c>
    </row>
    <row r="89" spans="1:16" s="32" customFormat="1">
      <c r="A89" s="32" t="str">
        <f>_xlfn.XLOOKUP(C:C,'Price List'!C:C,'Price List'!A:A)</f>
        <v>JAMES TYSON</v>
      </c>
      <c r="B89" s="33" t="s">
        <v>691</v>
      </c>
      <c r="C89" s="34">
        <v>10007843</v>
      </c>
      <c r="D89" s="33" t="s">
        <v>413</v>
      </c>
      <c r="E89" s="34">
        <f>_xlfn.XLOOKUP(C:C,'Price List'!C:C,'Price List'!K:K)</f>
        <v>0</v>
      </c>
      <c r="F89" s="34">
        <f>_xlfn.XLOOKUP(C:C,'Price List'!C:C,'Price List'!E:E)</f>
        <v>6</v>
      </c>
      <c r="G89" s="34" t="str">
        <f>_xlfn.XLOOKUP(C:C,'Price List'!C:C,'Price List'!F:F)</f>
        <v>907 GR</v>
      </c>
      <c r="H89" s="35" t="s">
        <v>4</v>
      </c>
      <c r="I89" s="33" t="s">
        <v>4764</v>
      </c>
      <c r="J89" s="33" t="s">
        <v>4883</v>
      </c>
      <c r="K89" s="35" t="s">
        <v>4763</v>
      </c>
      <c r="L89" s="36">
        <v>46232</v>
      </c>
      <c r="M89" s="37">
        <v>8</v>
      </c>
      <c r="N89" s="32" t="str">
        <f t="shared" si="2"/>
        <v>10007843_2910</v>
      </c>
      <c r="O89" s="35">
        <f>_xlfn.XLOOKUP(N89,Allocation!H:H,Allocation!C:C,0)</f>
        <v>8</v>
      </c>
      <c r="P89" s="39">
        <f t="shared" si="6"/>
        <v>0</v>
      </c>
    </row>
    <row r="90" spans="1:16">
      <c r="A90" s="32" t="str">
        <f>_xlfn.XLOOKUP(C:C,'Price List'!C:C,'Price List'!A:A)</f>
        <v>SAMANTHA RODRIGUES GB</v>
      </c>
      <c r="B90" s="33" t="s">
        <v>2761</v>
      </c>
      <c r="C90" s="34">
        <v>10059175</v>
      </c>
      <c r="D90" s="33" t="s">
        <v>4884</v>
      </c>
      <c r="E90" s="34">
        <f>_xlfn.XLOOKUP(C:C,'Price List'!C:C,'Price List'!K:K)</f>
        <v>0</v>
      </c>
      <c r="F90" s="34">
        <f>_xlfn.XLOOKUP(C:C,'Price List'!C:C,'Price List'!E:E)</f>
        <v>6</v>
      </c>
      <c r="G90" s="34" t="str">
        <f>_xlfn.XLOOKUP(C:C,'Price List'!C:C,'Price List'!F:F)</f>
        <v>2.2 KG</v>
      </c>
      <c r="H90" s="35" t="s">
        <v>3</v>
      </c>
      <c r="I90" s="33" t="s">
        <v>4864</v>
      </c>
      <c r="J90" s="33" t="s">
        <v>4885</v>
      </c>
      <c r="K90" s="35" t="s">
        <v>4763</v>
      </c>
      <c r="L90" s="36">
        <v>46233</v>
      </c>
      <c r="M90" s="37">
        <v>24</v>
      </c>
      <c r="N90" s="32" t="str">
        <f t="shared" si="2"/>
        <v>10059175_2910</v>
      </c>
      <c r="O90" s="35">
        <f>_xlfn.XLOOKUP(N90,Allocation!H:H,Allocation!B:B,0)</f>
        <v>0</v>
      </c>
    </row>
    <row r="91" spans="1:16" s="32" customFormat="1">
      <c r="A91" s="32" t="str">
        <f>_xlfn.XLOOKUP(C:C,'Price List'!C:C,'Price List'!A:A)</f>
        <v>SAMANTHA RODRIGUES GB</v>
      </c>
      <c r="B91" s="33" t="s">
        <v>3441</v>
      </c>
      <c r="C91" s="34">
        <v>10076520</v>
      </c>
      <c r="D91" s="33" t="s">
        <v>519</v>
      </c>
      <c r="E91" s="34">
        <f>_xlfn.XLOOKUP(C:C,'Price List'!C:C,'Price List'!K:K)</f>
        <v>0</v>
      </c>
      <c r="F91" s="34">
        <f>_xlfn.XLOOKUP(C:C,'Price List'!C:C,'Price List'!E:E)</f>
        <v>24</v>
      </c>
      <c r="G91" s="34" t="str">
        <f>_xlfn.XLOOKUP(C:C,'Price List'!C:C,'Price List'!F:F)</f>
        <v>150 GR</v>
      </c>
      <c r="H91" s="35" t="s">
        <v>4</v>
      </c>
      <c r="I91" s="33" t="s">
        <v>4764</v>
      </c>
      <c r="J91" s="33" t="s">
        <v>4886</v>
      </c>
      <c r="K91" s="35" t="s">
        <v>4763</v>
      </c>
      <c r="L91" s="36">
        <v>46233</v>
      </c>
      <c r="M91" s="37">
        <v>122</v>
      </c>
      <c r="N91" s="32" t="str">
        <f t="shared" si="2"/>
        <v>10076520_2910</v>
      </c>
      <c r="O91" s="35">
        <f>_xlfn.XLOOKUP(N91,Allocation!H:H,Allocation!C:C,0)</f>
        <v>122</v>
      </c>
      <c r="P91" s="39">
        <f t="shared" ref="P91:P93" si="7">M91-O91</f>
        <v>0</v>
      </c>
    </row>
    <row r="92" spans="1:16" s="32" customFormat="1">
      <c r="A92" s="32" t="str">
        <f>_xlfn.XLOOKUP(C:C,'Price List'!C:C,'Price List'!A:A)</f>
        <v>SAMANTHA RODRIGUES GB</v>
      </c>
      <c r="B92" s="33" t="s">
        <v>3441</v>
      </c>
      <c r="C92" s="34">
        <v>10076532</v>
      </c>
      <c r="D92" s="33" t="s">
        <v>572</v>
      </c>
      <c r="E92" s="34">
        <f>_xlfn.XLOOKUP(C:C,'Price List'!C:C,'Price List'!K:K)</f>
        <v>0</v>
      </c>
      <c r="F92" s="34">
        <f>_xlfn.XLOOKUP(C:C,'Price List'!C:C,'Price List'!E:E)</f>
        <v>12</v>
      </c>
      <c r="G92" s="34" t="str">
        <f>_xlfn.XLOOKUP(C:C,'Price List'!C:C,'Price List'!F:F)</f>
        <v>125 GR</v>
      </c>
      <c r="H92" s="35" t="s">
        <v>4</v>
      </c>
      <c r="I92" s="33" t="s">
        <v>4764</v>
      </c>
      <c r="J92" s="33" t="s">
        <v>4887</v>
      </c>
      <c r="K92" s="35" t="s">
        <v>4763</v>
      </c>
      <c r="L92" s="36">
        <v>46233</v>
      </c>
      <c r="M92" s="37">
        <v>3</v>
      </c>
      <c r="N92" s="32" t="str">
        <f t="shared" si="2"/>
        <v>10076532_2910</v>
      </c>
      <c r="O92" s="35">
        <f>_xlfn.XLOOKUP(N92,Allocation!H:H,Allocation!C:C,0)</f>
        <v>3</v>
      </c>
      <c r="P92" s="39">
        <f t="shared" si="7"/>
        <v>0</v>
      </c>
    </row>
    <row r="93" spans="1:16" s="32" customFormat="1">
      <c r="A93" s="32" t="str">
        <f>_xlfn.XLOOKUP(C:C,'Price List'!C:C,'Price List'!A:A)</f>
        <v>SAMANTHA RODRIGUES GB</v>
      </c>
      <c r="B93" s="33" t="s">
        <v>3441</v>
      </c>
      <c r="C93" s="34">
        <v>10076782</v>
      </c>
      <c r="D93" s="33" t="s">
        <v>301</v>
      </c>
      <c r="E93" s="34">
        <f>_xlfn.XLOOKUP(C:C,'Price List'!C:C,'Price List'!K:K)</f>
        <v>0</v>
      </c>
      <c r="F93" s="34">
        <f>_xlfn.XLOOKUP(C:C,'Price List'!C:C,'Price List'!E:E)</f>
        <v>12</v>
      </c>
      <c r="G93" s="34" t="str">
        <f>_xlfn.XLOOKUP(C:C,'Price List'!C:C,'Price List'!F:F)</f>
        <v>125 GR</v>
      </c>
      <c r="H93" s="35" t="s">
        <v>4</v>
      </c>
      <c r="I93" s="33" t="s">
        <v>4764</v>
      </c>
      <c r="J93" s="33" t="s">
        <v>4888</v>
      </c>
      <c r="K93" s="35" t="s">
        <v>4763</v>
      </c>
      <c r="L93" s="36">
        <v>46233</v>
      </c>
      <c r="M93" s="37">
        <v>20</v>
      </c>
      <c r="N93" s="32" t="str">
        <f t="shared" si="2"/>
        <v>10076782_2910</v>
      </c>
      <c r="O93" s="35">
        <f>_xlfn.XLOOKUP(N93,Allocation!H:H,Allocation!C:C,0)</f>
        <v>20</v>
      </c>
      <c r="P93" s="39">
        <f t="shared" si="7"/>
        <v>0</v>
      </c>
    </row>
    <row r="94" spans="1:16">
      <c r="A94" t="str">
        <f>_xlfn.XLOOKUP(C:C,'Price List'!C:C,'Price List'!A:A)</f>
        <v>ANABELA NEVES PR</v>
      </c>
      <c r="B94" s="2" t="s">
        <v>1823</v>
      </c>
      <c r="C94" s="9">
        <v>10033115</v>
      </c>
      <c r="D94" s="2" t="s">
        <v>550</v>
      </c>
      <c r="E94" s="9">
        <f>_xlfn.XLOOKUP(C:C,'Price List'!C:C,'Price List'!K:K)</f>
        <v>0</v>
      </c>
      <c r="F94" s="9">
        <f>_xlfn.XLOOKUP(C:C,'Price List'!C:C,'Price List'!E:E)</f>
        <v>15</v>
      </c>
      <c r="G94" s="9" t="str">
        <f>_xlfn.XLOOKUP(C:C,'Price List'!C:C,'Price List'!F:F)</f>
        <v>170 GR</v>
      </c>
      <c r="H94" s="6" t="s">
        <v>6</v>
      </c>
      <c r="I94" s="2" t="s">
        <v>4877</v>
      </c>
      <c r="J94" s="2" t="s">
        <v>4889</v>
      </c>
      <c r="K94" s="6" t="s">
        <v>4763</v>
      </c>
      <c r="L94" s="14">
        <v>46233</v>
      </c>
      <c r="M94" s="15">
        <v>1</v>
      </c>
      <c r="N94" t="str">
        <f t="shared" si="2"/>
        <v>10033115_2910</v>
      </c>
      <c r="O94" s="6">
        <f>_xlfn.XLOOKUP(N94,Allocation!H:H,Allocation!E:E,0)</f>
        <v>0</v>
      </c>
      <c r="P94" s="38">
        <f>M94-O94</f>
        <v>1</v>
      </c>
    </row>
    <row r="95" spans="1:16">
      <c r="A95" s="32" t="str">
        <f>_xlfn.XLOOKUP(C:C,'Price List'!C:C,'Price List'!A:A)</f>
        <v>ANABELA NEVES PR</v>
      </c>
      <c r="B95" s="33" t="s">
        <v>1288</v>
      </c>
      <c r="C95" s="34">
        <v>10018980</v>
      </c>
      <c r="D95" s="33" t="s">
        <v>159</v>
      </c>
      <c r="E95" s="34">
        <f>_xlfn.XLOOKUP(C:C,'Price List'!C:C,'Price List'!K:K)</f>
        <v>0</v>
      </c>
      <c r="F95" s="34">
        <f>_xlfn.XLOOKUP(C:C,'Price List'!C:C,'Price List'!E:E)</f>
        <v>12</v>
      </c>
      <c r="G95" s="34" t="str">
        <f>_xlfn.XLOOKUP(C:C,'Price List'!C:C,'Price List'!F:F)</f>
        <v>170 GR</v>
      </c>
      <c r="H95" s="35" t="s">
        <v>3</v>
      </c>
      <c r="I95" s="33" t="s">
        <v>4864</v>
      </c>
      <c r="J95" s="33" t="s">
        <v>4890</v>
      </c>
      <c r="K95" s="35" t="s">
        <v>4763</v>
      </c>
      <c r="L95" s="36">
        <v>46234</v>
      </c>
      <c r="M95" s="37">
        <v>430</v>
      </c>
      <c r="N95" s="32" t="str">
        <f t="shared" si="2"/>
        <v>10018980_2910</v>
      </c>
      <c r="O95" s="35">
        <f>_xlfn.XLOOKUP(N95,Allocation!H:H,Allocation!B:B,0)</f>
        <v>0</v>
      </c>
    </row>
    <row r="96" spans="1:16">
      <c r="A96" s="32" t="str">
        <f>_xlfn.XLOOKUP(C:C,'Price List'!C:C,'Price List'!A:A)</f>
        <v>ANABELA NEVES PR</v>
      </c>
      <c r="B96" s="33" t="s">
        <v>1288</v>
      </c>
      <c r="C96" s="34">
        <v>10018980</v>
      </c>
      <c r="D96" s="33" t="s">
        <v>159</v>
      </c>
      <c r="E96" s="34">
        <f>_xlfn.XLOOKUP(C:C,'Price List'!C:C,'Price List'!K:K)</f>
        <v>0</v>
      </c>
      <c r="F96" s="34">
        <f>_xlfn.XLOOKUP(C:C,'Price List'!C:C,'Price List'!E:E)</f>
        <v>12</v>
      </c>
      <c r="G96" s="34" t="str">
        <f>_xlfn.XLOOKUP(C:C,'Price List'!C:C,'Price List'!F:F)</f>
        <v>170 GR</v>
      </c>
      <c r="H96" s="35" t="s">
        <v>3</v>
      </c>
      <c r="I96" s="33" t="s">
        <v>4864</v>
      </c>
      <c r="J96" s="33" t="s">
        <v>4891</v>
      </c>
      <c r="K96" s="35" t="s">
        <v>4763</v>
      </c>
      <c r="L96" s="36">
        <v>46234</v>
      </c>
      <c r="M96" s="37">
        <v>381</v>
      </c>
      <c r="N96" s="32" t="str">
        <f t="shared" si="2"/>
        <v>10018980_2910</v>
      </c>
      <c r="O96" s="35">
        <f>_xlfn.XLOOKUP(N96,Allocation!H:H,Allocation!B:B,0)</f>
        <v>0</v>
      </c>
    </row>
    <row r="97" spans="1:16">
      <c r="A97" s="32" t="str">
        <f>_xlfn.XLOOKUP(C:C,'Price List'!C:C,'Price List'!A:A)</f>
        <v>ANABELA NEVES PR</v>
      </c>
      <c r="B97" s="33" t="s">
        <v>1288</v>
      </c>
      <c r="C97" s="34">
        <v>10018980</v>
      </c>
      <c r="D97" s="33" t="s">
        <v>159</v>
      </c>
      <c r="E97" s="34">
        <f>_xlfn.XLOOKUP(C:C,'Price List'!C:C,'Price List'!K:K)</f>
        <v>0</v>
      </c>
      <c r="F97" s="34">
        <f>_xlfn.XLOOKUP(C:C,'Price List'!C:C,'Price List'!E:E)</f>
        <v>12</v>
      </c>
      <c r="G97" s="34" t="str">
        <f>_xlfn.XLOOKUP(C:C,'Price List'!C:C,'Price List'!F:F)</f>
        <v>170 GR</v>
      </c>
      <c r="H97" s="35" t="s">
        <v>3</v>
      </c>
      <c r="I97" s="33" t="s">
        <v>4864</v>
      </c>
      <c r="J97" s="33" t="s">
        <v>4892</v>
      </c>
      <c r="K97" s="35" t="s">
        <v>4763</v>
      </c>
      <c r="L97" s="36">
        <v>46234</v>
      </c>
      <c r="M97" s="37">
        <v>228</v>
      </c>
      <c r="N97" s="32" t="str">
        <f t="shared" si="2"/>
        <v>10018980_2910</v>
      </c>
      <c r="O97" s="35">
        <f>_xlfn.XLOOKUP(N97,Allocation!H:H,Allocation!B:B,0)</f>
        <v>0</v>
      </c>
    </row>
    <row r="98" spans="1:16">
      <c r="A98" s="32" t="str">
        <f>_xlfn.XLOOKUP(C:C,'Price List'!C:C,'Price List'!A:A)</f>
        <v>ANABELA NEVES PR</v>
      </c>
      <c r="B98" s="33" t="s">
        <v>1288</v>
      </c>
      <c r="C98" s="34">
        <v>10019106</v>
      </c>
      <c r="D98" s="33" t="s">
        <v>4893</v>
      </c>
      <c r="E98" s="34">
        <f>_xlfn.XLOOKUP(C:C,'Price List'!C:C,'Price List'!K:K)</f>
        <v>0</v>
      </c>
      <c r="F98" s="34">
        <f>_xlfn.XLOOKUP(C:C,'Price List'!C:C,'Price List'!E:E)</f>
        <v>12</v>
      </c>
      <c r="G98" s="34" t="str">
        <f>_xlfn.XLOOKUP(C:C,'Price List'!C:C,'Price List'!F:F)</f>
        <v>170 GR</v>
      </c>
      <c r="H98" s="35" t="s">
        <v>3</v>
      </c>
      <c r="I98" s="33" t="s">
        <v>4864</v>
      </c>
      <c r="J98" s="33" t="s">
        <v>4894</v>
      </c>
      <c r="K98" s="35" t="s">
        <v>4763</v>
      </c>
      <c r="L98" s="36">
        <v>46234</v>
      </c>
      <c r="M98" s="37">
        <v>352</v>
      </c>
      <c r="N98" s="32" t="str">
        <f t="shared" si="2"/>
        <v>10019106_2910</v>
      </c>
      <c r="O98" s="35">
        <f>_xlfn.XLOOKUP(N98,Allocation!H:H,Allocation!B:B,0)</f>
        <v>0</v>
      </c>
    </row>
    <row r="99" spans="1:16" s="32" customFormat="1">
      <c r="A99" s="32" t="str">
        <f>_xlfn.XLOOKUP(C:C,'Price List'!C:C,'Price List'!A:A)</f>
        <v>ANABELA NEVES PR</v>
      </c>
      <c r="B99" s="33" t="s">
        <v>1288</v>
      </c>
      <c r="C99" s="34">
        <v>10019106</v>
      </c>
      <c r="D99" s="33" t="s">
        <v>4893</v>
      </c>
      <c r="E99" s="34">
        <f>_xlfn.XLOOKUP(C:C,'Price List'!C:C,'Price List'!K:K)</f>
        <v>0</v>
      </c>
      <c r="F99" s="34">
        <f>_xlfn.XLOOKUP(C:C,'Price List'!C:C,'Price List'!E:E)</f>
        <v>12</v>
      </c>
      <c r="G99" s="34" t="str">
        <f>_xlfn.XLOOKUP(C:C,'Price List'!C:C,'Price List'!F:F)</f>
        <v>170 GR</v>
      </c>
      <c r="H99" s="35" t="s">
        <v>4</v>
      </c>
      <c r="I99" s="33" t="s">
        <v>4764</v>
      </c>
      <c r="J99" s="33" t="s">
        <v>4894</v>
      </c>
      <c r="K99" s="35" t="s">
        <v>4763</v>
      </c>
      <c r="L99" s="36">
        <v>46234</v>
      </c>
      <c r="M99" s="37">
        <v>31</v>
      </c>
      <c r="N99" s="32" t="str">
        <f t="shared" si="2"/>
        <v>10019106_2910</v>
      </c>
      <c r="O99" s="35">
        <f>_xlfn.XLOOKUP(N99,Allocation!H:H,Allocation!C:C,0)</f>
        <v>0</v>
      </c>
      <c r="P99" s="39">
        <f t="shared" ref="P99:P104" si="8">M99-O99</f>
        <v>31</v>
      </c>
    </row>
    <row r="100" spans="1:16" s="32" customFormat="1">
      <c r="A100" s="32" t="str">
        <f>_xlfn.XLOOKUP(C:C,'Price List'!C:C,'Price List'!A:A)</f>
        <v>ANABELA NEVES PR</v>
      </c>
      <c r="B100" s="33" t="s">
        <v>1288</v>
      </c>
      <c r="C100" s="34">
        <v>10019107</v>
      </c>
      <c r="D100" s="33" t="s">
        <v>548</v>
      </c>
      <c r="E100" s="34">
        <f>_xlfn.XLOOKUP(C:C,'Price List'!C:C,'Price List'!K:K)</f>
        <v>0</v>
      </c>
      <c r="F100" s="34">
        <f>_xlfn.XLOOKUP(C:C,'Price List'!C:C,'Price List'!E:E)</f>
        <v>12</v>
      </c>
      <c r="G100" s="34" t="str">
        <f>_xlfn.XLOOKUP(C:C,'Price List'!C:C,'Price List'!F:F)</f>
        <v>170 GR</v>
      </c>
      <c r="H100" s="35" t="s">
        <v>4</v>
      </c>
      <c r="I100" s="33" t="s">
        <v>4764</v>
      </c>
      <c r="J100" s="33" t="s">
        <v>4895</v>
      </c>
      <c r="K100" s="35" t="s">
        <v>4763</v>
      </c>
      <c r="L100" s="36">
        <v>46234</v>
      </c>
      <c r="M100" s="37">
        <v>6</v>
      </c>
      <c r="N100" s="32" t="str">
        <f t="shared" si="2"/>
        <v>10019107_2910</v>
      </c>
      <c r="O100" s="35">
        <f>_xlfn.XLOOKUP(N100,Allocation!H:H,Allocation!C:C,0)</f>
        <v>0</v>
      </c>
      <c r="P100" s="39">
        <f t="shared" si="8"/>
        <v>6</v>
      </c>
    </row>
    <row r="101" spans="1:16" s="32" customFormat="1">
      <c r="A101" s="32" t="str">
        <f>_xlfn.XLOOKUP(C:C,'Price List'!C:C,'Price List'!A:A)</f>
        <v>ANABELA NEVES PR</v>
      </c>
      <c r="B101" s="33" t="s">
        <v>1288</v>
      </c>
      <c r="C101" s="34">
        <v>10019108</v>
      </c>
      <c r="D101" s="33" t="s">
        <v>4896</v>
      </c>
      <c r="E101" s="34">
        <f>_xlfn.XLOOKUP(C:C,'Price List'!C:C,'Price List'!K:K)</f>
        <v>0</v>
      </c>
      <c r="F101" s="34">
        <f>_xlfn.XLOOKUP(C:C,'Price List'!C:C,'Price List'!E:E)</f>
        <v>24</v>
      </c>
      <c r="G101" s="34" t="str">
        <f>_xlfn.XLOOKUP(C:C,'Price List'!C:C,'Price List'!F:F)</f>
        <v>28 GR</v>
      </c>
      <c r="H101" s="35" t="s">
        <v>4</v>
      </c>
      <c r="I101" s="33" t="s">
        <v>4764</v>
      </c>
      <c r="J101" s="33" t="s">
        <v>4897</v>
      </c>
      <c r="K101" s="35" t="s">
        <v>4763</v>
      </c>
      <c r="L101" s="36">
        <v>46234</v>
      </c>
      <c r="M101" s="37">
        <v>27</v>
      </c>
      <c r="N101" s="32" t="str">
        <f t="shared" si="2"/>
        <v>10019108_2910</v>
      </c>
      <c r="O101" s="35">
        <f>_xlfn.XLOOKUP(N101,Allocation!H:H,Allocation!C:C,0)</f>
        <v>0</v>
      </c>
      <c r="P101" s="39">
        <f t="shared" si="8"/>
        <v>27</v>
      </c>
    </row>
    <row r="102" spans="1:16" s="32" customFormat="1">
      <c r="A102" s="32" t="str">
        <f>_xlfn.XLOOKUP(C:C,'Price List'!C:C,'Price List'!A:A)</f>
        <v>NANCY QUISPE PT</v>
      </c>
      <c r="B102" s="33" t="s">
        <v>2401</v>
      </c>
      <c r="C102" s="34">
        <v>10050324</v>
      </c>
      <c r="D102" s="33" t="s">
        <v>379</v>
      </c>
      <c r="E102" s="34">
        <f>_xlfn.XLOOKUP(C:C,'Price List'!C:C,'Price List'!K:K)</f>
        <v>0</v>
      </c>
      <c r="F102" s="34">
        <f>_xlfn.XLOOKUP(C:C,'Price List'!C:C,'Price List'!E:E)</f>
        <v>2</v>
      </c>
      <c r="G102" s="34" t="str">
        <f>_xlfn.XLOOKUP(C:C,'Price List'!C:C,'Price List'!F:F)</f>
        <v>2.6 KG</v>
      </c>
      <c r="H102" s="35" t="s">
        <v>4</v>
      </c>
      <c r="I102" s="33" t="s">
        <v>4764</v>
      </c>
      <c r="J102" s="33" t="s">
        <v>4898</v>
      </c>
      <c r="K102" s="35" t="s">
        <v>4763</v>
      </c>
      <c r="L102" s="36">
        <v>46234</v>
      </c>
      <c r="M102" s="37">
        <v>97</v>
      </c>
      <c r="N102" s="32" t="str">
        <f t="shared" si="2"/>
        <v>10050324_2910</v>
      </c>
      <c r="O102" s="35">
        <f>_xlfn.XLOOKUP(N102,Allocation!H:H,Allocation!C:C,0)</f>
        <v>10</v>
      </c>
      <c r="P102" s="39">
        <f t="shared" si="8"/>
        <v>87</v>
      </c>
    </row>
    <row r="103" spans="1:16" s="32" customFormat="1">
      <c r="A103" s="32" t="str">
        <f>_xlfn.XLOOKUP(C:C,'Price List'!C:C,'Price List'!A:A)</f>
        <v>NANCY QUISPE PT</v>
      </c>
      <c r="B103" s="33" t="s">
        <v>1207</v>
      </c>
      <c r="C103" s="34">
        <v>10017602</v>
      </c>
      <c r="D103" s="33" t="s">
        <v>4899</v>
      </c>
      <c r="E103" s="34">
        <f>_xlfn.XLOOKUP(C:C,'Price List'!C:C,'Price List'!K:K)</f>
        <v>0</v>
      </c>
      <c r="F103" s="34">
        <f>_xlfn.XLOOKUP(C:C,'Price List'!C:C,'Price List'!E:E)</f>
        <v>5</v>
      </c>
      <c r="G103" s="34" t="str">
        <f>_xlfn.XLOOKUP(C:C,'Price List'!C:C,'Price List'!F:F)</f>
        <v>260 ML</v>
      </c>
      <c r="H103" s="35" t="s">
        <v>4</v>
      </c>
      <c r="I103" s="33" t="s">
        <v>4764</v>
      </c>
      <c r="J103" s="33" t="s">
        <v>4900</v>
      </c>
      <c r="K103" s="35" t="s">
        <v>4763</v>
      </c>
      <c r="L103" s="36">
        <v>46234</v>
      </c>
      <c r="M103" s="37">
        <v>2</v>
      </c>
      <c r="N103" s="32" t="str">
        <f t="shared" si="2"/>
        <v>10017602_2910</v>
      </c>
      <c r="O103" s="35">
        <f>_xlfn.XLOOKUP(N103,Allocation!H:H,Allocation!C:C,0)</f>
        <v>0</v>
      </c>
      <c r="P103" s="39">
        <f t="shared" si="8"/>
        <v>2</v>
      </c>
    </row>
    <row r="104" spans="1:16" s="32" customFormat="1">
      <c r="A104" s="32" t="str">
        <f>_xlfn.XLOOKUP(C:C,'Price List'!C:C,'Price List'!A:A)</f>
        <v>NANCY QUISPE PT</v>
      </c>
      <c r="B104" s="33" t="s">
        <v>1207</v>
      </c>
      <c r="C104" s="34">
        <v>10017611</v>
      </c>
      <c r="D104" s="33" t="s">
        <v>474</v>
      </c>
      <c r="E104" s="34">
        <f>_xlfn.XLOOKUP(C:C,'Price List'!C:C,'Price List'!K:K)</f>
        <v>0</v>
      </c>
      <c r="F104" s="34">
        <f>_xlfn.XLOOKUP(C:C,'Price List'!C:C,'Price List'!E:E)</f>
        <v>5</v>
      </c>
      <c r="G104" s="34" t="str">
        <f>_xlfn.XLOOKUP(C:C,'Price List'!C:C,'Price List'!F:F)</f>
        <v>285 ML</v>
      </c>
      <c r="H104" s="35" t="s">
        <v>4</v>
      </c>
      <c r="I104" s="33" t="s">
        <v>4764</v>
      </c>
      <c r="J104" s="33" t="s">
        <v>4901</v>
      </c>
      <c r="K104" s="35" t="s">
        <v>4763</v>
      </c>
      <c r="L104" s="36">
        <v>46234</v>
      </c>
      <c r="M104" s="37">
        <v>76</v>
      </c>
      <c r="N104" s="32" t="str">
        <f t="shared" si="2"/>
        <v>10017611_2910</v>
      </c>
      <c r="O104" s="35">
        <f>_xlfn.XLOOKUP(N104,Allocation!H:H,Allocation!C:C,0)</f>
        <v>0</v>
      </c>
      <c r="P104" s="39">
        <f t="shared" si="8"/>
        <v>76</v>
      </c>
    </row>
    <row r="105" spans="1:16">
      <c r="A105" t="str">
        <f>_xlfn.XLOOKUP(C:C,'Price List'!C:C,'Price List'!A:A)</f>
        <v>ANABELA NEVES PR</v>
      </c>
      <c r="B105" s="2" t="s">
        <v>1288</v>
      </c>
      <c r="C105" s="9">
        <v>10019107</v>
      </c>
      <c r="D105" s="2" t="s">
        <v>548</v>
      </c>
      <c r="E105" s="9">
        <f>_xlfn.XLOOKUP(C:C,'Price List'!C:C,'Price List'!K:K)</f>
        <v>0</v>
      </c>
      <c r="F105" s="9">
        <f>_xlfn.XLOOKUP(C:C,'Price List'!C:C,'Price List'!E:E)</f>
        <v>12</v>
      </c>
      <c r="G105" s="9" t="str">
        <f>_xlfn.XLOOKUP(C:C,'Price List'!C:C,'Price List'!F:F)</f>
        <v>170 GR</v>
      </c>
      <c r="H105" s="6" t="s">
        <v>6</v>
      </c>
      <c r="I105" s="2" t="s">
        <v>4877</v>
      </c>
      <c r="J105" s="2" t="s">
        <v>4895</v>
      </c>
      <c r="K105" s="6" t="s">
        <v>4763</v>
      </c>
      <c r="L105" s="14">
        <v>46234</v>
      </c>
      <c r="M105" s="15">
        <v>1</v>
      </c>
      <c r="N105" t="str">
        <f t="shared" si="2"/>
        <v>10019107_2910</v>
      </c>
      <c r="O105" s="6">
        <f>_xlfn.XLOOKUP(N105,Allocation!H:H,Allocation!E:E,0)</f>
        <v>0</v>
      </c>
      <c r="P105" s="38">
        <f>M105-O105</f>
        <v>1</v>
      </c>
    </row>
    <row r="106" spans="1:16" s="32" customFormat="1">
      <c r="A106" s="32" t="str">
        <f>_xlfn.XLOOKUP(C:C,'Price List'!C:C,'Price List'!A:A)</f>
        <v>SAMANTHA RODRIGUES GB</v>
      </c>
      <c r="B106" s="33" t="s">
        <v>3649</v>
      </c>
      <c r="C106" s="34">
        <v>10083460</v>
      </c>
      <c r="D106" s="33" t="s">
        <v>429</v>
      </c>
      <c r="E106" s="34">
        <f>_xlfn.XLOOKUP(C:C,'Price List'!C:C,'Price List'!K:K)</f>
        <v>0</v>
      </c>
      <c r="F106" s="34">
        <f>_xlfn.XLOOKUP(C:C,'Price List'!C:C,'Price List'!E:E)</f>
        <v>12</v>
      </c>
      <c r="G106" s="34" t="str">
        <f>_xlfn.XLOOKUP(C:C,'Price List'!C:C,'Price List'!F:F)</f>
        <v>300 GR</v>
      </c>
      <c r="H106" s="35" t="s">
        <v>4</v>
      </c>
      <c r="I106" s="33" t="s">
        <v>4764</v>
      </c>
      <c r="J106" s="33" t="s">
        <v>4902</v>
      </c>
      <c r="K106" s="35" t="s">
        <v>4763</v>
      </c>
      <c r="L106" s="36">
        <v>46235</v>
      </c>
      <c r="M106" s="37">
        <v>15</v>
      </c>
      <c r="N106" s="32" t="str">
        <f t="shared" si="2"/>
        <v>10083460_2910</v>
      </c>
      <c r="O106" s="35">
        <f>_xlfn.XLOOKUP(N106,Allocation!H:H,Allocation!C:C,0)</f>
        <v>0</v>
      </c>
      <c r="P106" s="39">
        <f>M106-O106</f>
        <v>15</v>
      </c>
    </row>
    <row r="107" spans="1:16">
      <c r="A107" s="32" t="str">
        <f>_xlfn.XLOOKUP(C:C,'Price List'!C:C,'Price List'!A:A)</f>
        <v>SERENA LEE PR</v>
      </c>
      <c r="B107" s="33" t="s">
        <v>1320</v>
      </c>
      <c r="C107" s="34">
        <v>10019706</v>
      </c>
      <c r="D107" s="33" t="s">
        <v>295</v>
      </c>
      <c r="E107" s="34" t="s">
        <v>4795</v>
      </c>
      <c r="F107" s="34">
        <f>_xlfn.XLOOKUP(C:C,'Price List'!C:C,'Price List'!E:E)</f>
        <v>1</v>
      </c>
      <c r="G107" s="34" t="str">
        <f>_xlfn.XLOOKUP(C:C,'Price List'!C:C,'Price List'!F:F)</f>
        <v>2.5 KG</v>
      </c>
      <c r="H107" s="35" t="s">
        <v>3</v>
      </c>
      <c r="I107" s="33" t="s">
        <v>4864</v>
      </c>
      <c r="J107" s="33" t="s">
        <v>4903</v>
      </c>
      <c r="K107" s="35" t="s">
        <v>4763</v>
      </c>
      <c r="L107" s="36">
        <v>46236</v>
      </c>
      <c r="M107" s="37">
        <v>1</v>
      </c>
      <c r="N107" s="32" t="str">
        <f t="shared" si="2"/>
        <v>10019706_2910</v>
      </c>
      <c r="O107" s="35">
        <f>_xlfn.XLOOKUP(N107,Allocation!H:H,Allocation!B:B,0)</f>
        <v>0</v>
      </c>
    </row>
    <row r="108" spans="1:16">
      <c r="A108" t="str">
        <f>_xlfn.XLOOKUP(C:C,'Price List'!C:C,'Price List'!A:A)</f>
        <v>SAMANTHA RODRIGUES GB</v>
      </c>
      <c r="B108" s="2" t="s">
        <v>3649</v>
      </c>
      <c r="C108" s="9">
        <v>40099038</v>
      </c>
      <c r="D108" s="2" t="s">
        <v>4635</v>
      </c>
      <c r="E108" s="9">
        <f>_xlfn.XLOOKUP(C:C,'Price List'!C:C,'Price List'!K:K)</f>
        <v>0</v>
      </c>
      <c r="F108" s="9">
        <f>_xlfn.XLOOKUP(C:C,'Price List'!C:C,'Price List'!E:E)</f>
        <v>1</v>
      </c>
      <c r="G108" s="9" t="str">
        <f>_xlfn.XLOOKUP(C:C,'Price List'!C:C,'Price List'!F:F)</f>
        <v>SHIPPER COMPONENT</v>
      </c>
      <c r="H108" s="6" t="s">
        <v>6</v>
      </c>
      <c r="I108" s="2" t="s">
        <v>4877</v>
      </c>
      <c r="J108" s="2" t="s">
        <v>4904</v>
      </c>
      <c r="K108" s="6" t="s">
        <v>4763</v>
      </c>
      <c r="L108" s="14">
        <v>46236</v>
      </c>
      <c r="M108" s="16">
        <v>36</v>
      </c>
      <c r="N108" t="str">
        <f t="shared" si="2"/>
        <v>40099038_2910</v>
      </c>
      <c r="O108" s="6">
        <f>_xlfn.XLOOKUP(N108,Allocation!H:H,Allocation!E:E,0)</f>
        <v>0</v>
      </c>
      <c r="P108" s="38">
        <f t="shared" ref="P108:P109" si="9">M108-O108</f>
        <v>36</v>
      </c>
    </row>
    <row r="109" spans="1:16">
      <c r="A109" t="str">
        <f>_xlfn.XLOOKUP(C:C,'Price List'!C:C,'Price List'!A:A)</f>
        <v>SAMANTHA RODRIGUES GB</v>
      </c>
      <c r="B109" s="2" t="s">
        <v>3649</v>
      </c>
      <c r="C109" s="9">
        <v>40099042</v>
      </c>
      <c r="D109" s="2" t="s">
        <v>4638</v>
      </c>
      <c r="E109" s="9">
        <f>_xlfn.XLOOKUP(C:C,'Price List'!C:C,'Price List'!K:K)</f>
        <v>0</v>
      </c>
      <c r="F109" s="9">
        <f>_xlfn.XLOOKUP(C:C,'Price List'!C:C,'Price List'!E:E)</f>
        <v>1</v>
      </c>
      <c r="G109" s="9" t="str">
        <f>_xlfn.XLOOKUP(C:C,'Price List'!C:C,'Price List'!F:F)</f>
        <v>SHIPPER COMPONENT</v>
      </c>
      <c r="H109" s="6" t="s">
        <v>6</v>
      </c>
      <c r="I109" s="2" t="s">
        <v>4877</v>
      </c>
      <c r="J109" s="2" t="s">
        <v>4904</v>
      </c>
      <c r="K109" s="6" t="s">
        <v>4763</v>
      </c>
      <c r="L109" s="14">
        <v>46236</v>
      </c>
      <c r="M109" s="16">
        <v>9</v>
      </c>
      <c r="N109" t="str">
        <f t="shared" si="2"/>
        <v>40099042_2910</v>
      </c>
      <c r="O109" s="6">
        <f>_xlfn.XLOOKUP(N109,Allocation!H:H,Allocation!E:E,0)</f>
        <v>0</v>
      </c>
      <c r="P109" s="38">
        <f t="shared" si="9"/>
        <v>9</v>
      </c>
    </row>
    <row r="110" spans="1:16" s="32" customFormat="1">
      <c r="A110" s="32" t="str">
        <f>_xlfn.XLOOKUP(C:C,'Price List'!C:C,'Price List'!A:A)</f>
        <v>JAMES TYSON</v>
      </c>
      <c r="B110" s="33" t="s">
        <v>2388</v>
      </c>
      <c r="C110" s="34">
        <v>10050485</v>
      </c>
      <c r="D110" s="33" t="s">
        <v>576</v>
      </c>
      <c r="E110" s="34">
        <f>_xlfn.XLOOKUP(C:C,'Price List'!C:C,'Price List'!K:K)</f>
        <v>0</v>
      </c>
      <c r="F110" s="34">
        <f>_xlfn.XLOOKUP(C:C,'Price List'!C:C,'Price List'!E:E)</f>
        <v>6</v>
      </c>
      <c r="G110" s="34" t="str">
        <f>_xlfn.XLOOKUP(C:C,'Price List'!C:C,'Price List'!F:F)</f>
        <v>310 GR</v>
      </c>
      <c r="H110" s="35" t="s">
        <v>4</v>
      </c>
      <c r="I110" s="33" t="s">
        <v>4764</v>
      </c>
      <c r="J110" s="33" t="s">
        <v>4905</v>
      </c>
      <c r="K110" s="35" t="s">
        <v>4763</v>
      </c>
      <c r="L110" s="36">
        <v>46237</v>
      </c>
      <c r="M110" s="37">
        <v>48</v>
      </c>
      <c r="N110" s="32" t="str">
        <f t="shared" si="2"/>
        <v>10050485_2910</v>
      </c>
      <c r="O110" s="35">
        <f>_xlfn.XLOOKUP(N110,Allocation!H:H,Allocation!C:C,0)</f>
        <v>48</v>
      </c>
      <c r="P110" s="39">
        <f t="shared" ref="P110:P114" si="10">M110-O110</f>
        <v>0</v>
      </c>
    </row>
    <row r="111" spans="1:16" s="32" customFormat="1">
      <c r="A111" s="32" t="str">
        <f>_xlfn.XLOOKUP(C:C,'Price List'!C:C,'Price List'!A:A)</f>
        <v>JAMES TYSON</v>
      </c>
      <c r="B111" s="33" t="s">
        <v>2388</v>
      </c>
      <c r="C111" s="34">
        <v>10050486</v>
      </c>
      <c r="D111" s="33" t="s">
        <v>255</v>
      </c>
      <c r="E111" s="34">
        <f>_xlfn.XLOOKUP(C:C,'Price List'!C:C,'Price List'!K:K)</f>
        <v>0</v>
      </c>
      <c r="F111" s="34">
        <f>_xlfn.XLOOKUP(C:C,'Price List'!C:C,'Price List'!E:E)</f>
        <v>6</v>
      </c>
      <c r="G111" s="34" t="str">
        <f>_xlfn.XLOOKUP(C:C,'Price List'!C:C,'Price List'!F:F)</f>
        <v>310 GR</v>
      </c>
      <c r="H111" s="35" t="s">
        <v>4</v>
      </c>
      <c r="I111" s="33" t="s">
        <v>4764</v>
      </c>
      <c r="J111" s="33" t="s">
        <v>4906</v>
      </c>
      <c r="K111" s="35" t="s">
        <v>4763</v>
      </c>
      <c r="L111" s="36">
        <v>46237</v>
      </c>
      <c r="M111" s="37">
        <v>21</v>
      </c>
      <c r="N111" s="32" t="str">
        <f t="shared" si="2"/>
        <v>10050486_2910</v>
      </c>
      <c r="O111" s="35">
        <f>_xlfn.XLOOKUP(N111,Allocation!H:H,Allocation!C:C,0)</f>
        <v>21</v>
      </c>
      <c r="P111" s="39">
        <f t="shared" si="10"/>
        <v>0</v>
      </c>
    </row>
    <row r="112" spans="1:16">
      <c r="A112" t="str">
        <f>_xlfn.XLOOKUP(C:C,'Price List'!C:C,'Price List'!A:A)</f>
        <v>ASIF AHMAD GB</v>
      </c>
      <c r="B112" s="2" t="s">
        <v>1161</v>
      </c>
      <c r="C112" s="9">
        <v>10016408</v>
      </c>
      <c r="D112" s="2" t="s">
        <v>395</v>
      </c>
      <c r="E112" s="9">
        <f>_xlfn.XLOOKUP(C:C,'Price List'!C:C,'Price List'!K:K)</f>
        <v>0</v>
      </c>
      <c r="F112" s="9">
        <f>_xlfn.XLOOKUP(C:C,'Price List'!C:C,'Price List'!E:E)</f>
        <v>12</v>
      </c>
      <c r="G112" s="9" t="str">
        <f>_xlfn.XLOOKUP(C:C,'Price List'!C:C,'Price List'!F:F)</f>
        <v>946 ML</v>
      </c>
      <c r="H112" s="6" t="s">
        <v>6</v>
      </c>
      <c r="I112" s="2" t="s">
        <v>4877</v>
      </c>
      <c r="J112" s="2" t="s">
        <v>4907</v>
      </c>
      <c r="K112" s="6" t="s">
        <v>4763</v>
      </c>
      <c r="L112" s="14">
        <v>46237</v>
      </c>
      <c r="M112" s="15">
        <v>20</v>
      </c>
      <c r="N112" t="str">
        <f t="shared" si="2"/>
        <v>10016408_2910</v>
      </c>
      <c r="O112" s="6">
        <f>_xlfn.XLOOKUP(N112,Allocation!H:H,Allocation!E:E,0)</f>
        <v>0</v>
      </c>
      <c r="P112" s="38">
        <f t="shared" si="10"/>
        <v>20</v>
      </c>
    </row>
    <row r="113" spans="1:16">
      <c r="A113" t="str">
        <f>_xlfn.XLOOKUP(C:C,'Price List'!C:C,'Price List'!A:A)</f>
        <v>JAMES TYSON</v>
      </c>
      <c r="B113" s="2" t="s">
        <v>2388</v>
      </c>
      <c r="C113" s="9">
        <v>10050486</v>
      </c>
      <c r="D113" s="2" t="s">
        <v>255</v>
      </c>
      <c r="E113" s="9">
        <f>_xlfn.XLOOKUP(C:C,'Price List'!C:C,'Price List'!K:K)</f>
        <v>0</v>
      </c>
      <c r="F113" s="9">
        <f>_xlfn.XLOOKUP(C:C,'Price List'!C:C,'Price List'!E:E)</f>
        <v>6</v>
      </c>
      <c r="G113" s="9" t="str">
        <f>_xlfn.XLOOKUP(C:C,'Price List'!C:C,'Price List'!F:F)</f>
        <v>310 GR</v>
      </c>
      <c r="H113" s="6" t="s">
        <v>6</v>
      </c>
      <c r="I113" s="2" t="s">
        <v>4877</v>
      </c>
      <c r="J113" s="2" t="s">
        <v>4906</v>
      </c>
      <c r="K113" s="6" t="s">
        <v>4763</v>
      </c>
      <c r="L113" s="14">
        <v>46237</v>
      </c>
      <c r="M113" s="15">
        <v>20</v>
      </c>
      <c r="N113" t="str">
        <f t="shared" si="2"/>
        <v>10050486_2910</v>
      </c>
      <c r="O113" s="6">
        <f>_xlfn.XLOOKUP(N113,Allocation!H:H,Allocation!E:E,0)</f>
        <v>0</v>
      </c>
      <c r="P113" s="38">
        <f t="shared" si="10"/>
        <v>20</v>
      </c>
    </row>
    <row r="114" spans="1:16" s="32" customFormat="1">
      <c r="A114" s="32" t="str">
        <f>_xlfn.XLOOKUP(C:C,'Price List'!C:C,'Price List'!A:A)</f>
        <v>MICHELLE JEWELL NT</v>
      </c>
      <c r="B114" s="33" t="s">
        <v>1914</v>
      </c>
      <c r="C114" s="34">
        <v>10038130</v>
      </c>
      <c r="D114" s="33" t="s">
        <v>459</v>
      </c>
      <c r="E114" s="34">
        <f>_xlfn.XLOOKUP(C:C,'Price List'!C:C,'Price List'!K:K)</f>
        <v>0</v>
      </c>
      <c r="F114" s="34">
        <f>_xlfn.XLOOKUP(C:C,'Price List'!C:C,'Price List'!E:E)</f>
        <v>5</v>
      </c>
      <c r="G114" s="34" t="str">
        <f>_xlfn.XLOOKUP(C:C,'Price List'!C:C,'Price List'!F:F)</f>
        <v>210 GR</v>
      </c>
      <c r="H114" s="35" t="s">
        <v>6</v>
      </c>
      <c r="I114" s="33" t="s">
        <v>4877</v>
      </c>
      <c r="J114" s="33" t="s">
        <v>4908</v>
      </c>
      <c r="K114" s="35" t="s">
        <v>4763</v>
      </c>
      <c r="L114" s="36">
        <v>46237</v>
      </c>
      <c r="M114" s="37">
        <v>42</v>
      </c>
      <c r="N114" s="32" t="str">
        <f t="shared" si="2"/>
        <v>10038130_2910</v>
      </c>
      <c r="O114" s="35">
        <f>_xlfn.XLOOKUP(N114,Allocation!H:H,Allocation!E:E,0)</f>
        <v>0</v>
      </c>
      <c r="P114" s="39">
        <f t="shared" si="10"/>
        <v>42</v>
      </c>
    </row>
    <row r="115" spans="1:16" s="32" customFormat="1">
      <c r="A115" s="32" t="str">
        <f>_xlfn.XLOOKUP(C:C,'Price List'!C:C,'Price List'!A:A)</f>
        <v>SERENA LEE PR</v>
      </c>
      <c r="B115" s="33" t="s">
        <v>1320</v>
      </c>
      <c r="C115" s="34">
        <v>10100364</v>
      </c>
      <c r="D115" s="33" t="s">
        <v>547</v>
      </c>
      <c r="E115" s="34">
        <f>_xlfn.XLOOKUP(C:C,'Price List'!C:C,'Price List'!K:K)</f>
        <v>0</v>
      </c>
      <c r="F115" s="34">
        <f>_xlfn.XLOOKUP(C:C,'Price List'!C:C,'Price List'!E:E)</f>
        <v>8</v>
      </c>
      <c r="G115" s="34" t="str">
        <f>_xlfn.XLOOKUP(C:C,'Price List'!C:C,'Price List'!F:F)</f>
        <v>125 GR</v>
      </c>
      <c r="H115" s="35" t="s">
        <v>3</v>
      </c>
      <c r="I115" s="33" t="s">
        <v>4864</v>
      </c>
      <c r="J115" s="33" t="s">
        <v>4909</v>
      </c>
      <c r="K115" s="35" t="s">
        <v>4763</v>
      </c>
      <c r="L115" s="36">
        <v>46238</v>
      </c>
      <c r="M115" s="37">
        <v>4</v>
      </c>
      <c r="N115" s="32" t="str">
        <f t="shared" si="2"/>
        <v>10100364_2910</v>
      </c>
      <c r="O115" s="35">
        <f>_xlfn.XLOOKUP(N115,Allocation!H:H,Allocation!B:B,0)</f>
        <v>0</v>
      </c>
    </row>
    <row r="116" spans="1:16" s="32" customFormat="1">
      <c r="A116" s="32" t="str">
        <f>_xlfn.XLOOKUP(C:C,'Price List'!C:C,'Price List'!A:A)</f>
        <v>ANABELA NEVES PR</v>
      </c>
      <c r="B116" s="33" t="s">
        <v>3743</v>
      </c>
      <c r="C116" s="34">
        <v>10100030</v>
      </c>
      <c r="D116" s="33" t="s">
        <v>312</v>
      </c>
      <c r="E116" s="34">
        <f>_xlfn.XLOOKUP(C:C,'Price List'!C:C,'Price List'!K:K)</f>
        <v>0</v>
      </c>
      <c r="F116" s="34">
        <f>_xlfn.XLOOKUP(C:C,'Price List'!C:C,'Price List'!E:E)</f>
        <v>6</v>
      </c>
      <c r="G116" s="34" t="str">
        <f>_xlfn.XLOOKUP(C:C,'Price List'!C:C,'Price List'!F:F)</f>
        <v>180 GR</v>
      </c>
      <c r="H116" s="35" t="s">
        <v>3</v>
      </c>
      <c r="I116" s="33" t="s">
        <v>4864</v>
      </c>
      <c r="J116" s="33" t="s">
        <v>4910</v>
      </c>
      <c r="K116" s="35" t="s">
        <v>4763</v>
      </c>
      <c r="L116" s="36">
        <v>46238</v>
      </c>
      <c r="M116" s="37">
        <v>1</v>
      </c>
      <c r="N116" s="32" t="str">
        <f t="shared" si="2"/>
        <v>10100030_2910</v>
      </c>
      <c r="O116" s="35">
        <f>_xlfn.XLOOKUP(N116,Allocation!H:H,Allocation!B:B,0)</f>
        <v>0</v>
      </c>
    </row>
    <row r="117" spans="1:16" s="32" customFormat="1">
      <c r="A117" s="32" t="str">
        <f>_xlfn.XLOOKUP(C:C,'Price List'!C:C,'Price List'!A:A)</f>
        <v>JASON MULDOON PT</v>
      </c>
      <c r="B117" s="33" t="s">
        <v>2065</v>
      </c>
      <c r="C117" s="34">
        <v>10040391</v>
      </c>
      <c r="D117" s="33" t="s">
        <v>375</v>
      </c>
      <c r="E117" s="34" t="s">
        <v>4795</v>
      </c>
      <c r="F117" s="34">
        <f>_xlfn.XLOOKUP(C:C,'Price List'!C:C,'Price List'!E:E)</f>
        <v>4</v>
      </c>
      <c r="G117" s="34" t="str">
        <f>_xlfn.XLOOKUP(C:C,'Price List'!C:C,'Price List'!F:F)</f>
        <v>1.5 KG</v>
      </c>
      <c r="H117" s="35" t="s">
        <v>3</v>
      </c>
      <c r="I117" s="33" t="s">
        <v>4864</v>
      </c>
      <c r="J117" s="33" t="s">
        <v>4911</v>
      </c>
      <c r="K117" s="35" t="s">
        <v>4763</v>
      </c>
      <c r="L117" s="36">
        <v>46238</v>
      </c>
      <c r="M117" s="37">
        <v>8</v>
      </c>
      <c r="N117" s="32" t="str">
        <f t="shared" si="2"/>
        <v>10040391_2910</v>
      </c>
      <c r="O117" s="35">
        <f>_xlfn.XLOOKUP(N117,Allocation!H:H,Allocation!B:B,0)</f>
        <v>0</v>
      </c>
    </row>
    <row r="118" spans="1:16">
      <c r="A118" t="str">
        <f>_xlfn.XLOOKUP(C:C,'Price List'!C:C,'Price List'!A:A)</f>
        <v>ANABELA NEVES PR</v>
      </c>
      <c r="B118" s="2" t="s">
        <v>3743</v>
      </c>
      <c r="C118" s="9">
        <v>10100028</v>
      </c>
      <c r="D118" s="2" t="s">
        <v>310</v>
      </c>
      <c r="E118" s="9">
        <f>_xlfn.XLOOKUP(C:C,'Price List'!C:C,'Price List'!K:K)</f>
        <v>0</v>
      </c>
      <c r="F118" s="9">
        <f>_xlfn.XLOOKUP(C:C,'Price List'!C:C,'Price List'!E:E)</f>
        <v>6</v>
      </c>
      <c r="G118" s="9" t="str">
        <f>_xlfn.XLOOKUP(C:C,'Price List'!C:C,'Price List'!F:F)</f>
        <v>250 GR</v>
      </c>
      <c r="H118" s="6" t="s">
        <v>3</v>
      </c>
      <c r="I118" s="2" t="s">
        <v>4864</v>
      </c>
      <c r="J118" s="2" t="s">
        <v>4912</v>
      </c>
      <c r="K118" s="6" t="s">
        <v>4763</v>
      </c>
      <c r="L118" s="14">
        <v>46240</v>
      </c>
      <c r="M118" s="15">
        <v>7</v>
      </c>
      <c r="N118" t="str">
        <f t="shared" si="2"/>
        <v>10100028_2910</v>
      </c>
      <c r="O118" s="6">
        <f>_xlfn.XLOOKUP(N118,Allocation!H:H,Allocation!B:B,0)</f>
        <v>0</v>
      </c>
    </row>
    <row r="119" spans="1:16">
      <c r="A119" t="str">
        <f>_xlfn.XLOOKUP(C:C,'Price List'!C:C,'Price List'!A:A)</f>
        <v>ANABELA NEVES PR</v>
      </c>
      <c r="B119" s="2" t="s">
        <v>1823</v>
      </c>
      <c r="C119" s="9">
        <v>10033277</v>
      </c>
      <c r="D119" s="2" t="s">
        <v>4913</v>
      </c>
      <c r="E119" s="9">
        <f>_xlfn.XLOOKUP(C:C,'Price List'!C:C,'Price List'!K:K)</f>
        <v>0</v>
      </c>
      <c r="F119" s="9">
        <f>_xlfn.XLOOKUP(C:C,'Price List'!C:C,'Price List'!E:E)</f>
        <v>8</v>
      </c>
      <c r="G119" s="9" t="str">
        <f>_xlfn.XLOOKUP(C:C,'Price List'!C:C,'Price List'!F:F)</f>
        <v>1 KG</v>
      </c>
      <c r="H119" s="6" t="s">
        <v>3</v>
      </c>
      <c r="I119" s="2" t="s">
        <v>4864</v>
      </c>
      <c r="J119" s="2" t="s">
        <v>4914</v>
      </c>
      <c r="K119" s="6" t="s">
        <v>4763</v>
      </c>
      <c r="L119" s="14">
        <v>46240</v>
      </c>
      <c r="M119" s="15">
        <v>28</v>
      </c>
      <c r="N119" t="str">
        <f t="shared" si="2"/>
        <v>10033277_2910</v>
      </c>
      <c r="O119" s="6">
        <f>_xlfn.XLOOKUP(N119,Allocation!H:H,Allocation!B:B,0)</f>
        <v>0</v>
      </c>
    </row>
    <row r="120" spans="1:16">
      <c r="A120" t="str">
        <f>_xlfn.XLOOKUP(C:C,'Price List'!C:C,'Price List'!A:A)</f>
        <v>SERENA LEE PR</v>
      </c>
      <c r="B120" s="2" t="s">
        <v>1320</v>
      </c>
      <c r="C120" s="9">
        <v>10019690</v>
      </c>
      <c r="D120" s="2" t="s">
        <v>316</v>
      </c>
      <c r="E120" s="9">
        <f>_xlfn.XLOOKUP(C:C,'Price List'!C:C,'Price List'!K:K)</f>
        <v>0</v>
      </c>
      <c r="F120" s="9">
        <f>_xlfn.XLOOKUP(C:C,'Price List'!C:C,'Price List'!E:E)</f>
        <v>6</v>
      </c>
      <c r="G120" s="9" t="str">
        <f>_xlfn.XLOOKUP(C:C,'Price List'!C:C,'Price List'!F:F)</f>
        <v>180 GR</v>
      </c>
      <c r="H120" s="6" t="s">
        <v>3</v>
      </c>
      <c r="I120" s="2" t="s">
        <v>4864</v>
      </c>
      <c r="J120" s="2" t="s">
        <v>4915</v>
      </c>
      <c r="K120" s="6" t="s">
        <v>4763</v>
      </c>
      <c r="L120" s="14">
        <v>46241</v>
      </c>
      <c r="M120" s="15">
        <v>3</v>
      </c>
      <c r="N120" t="str">
        <f t="shared" si="2"/>
        <v>10019690_2910</v>
      </c>
      <c r="O120" s="6">
        <f>_xlfn.XLOOKUP(N120,Allocation!H:H,Allocation!B:B,0)</f>
        <v>0</v>
      </c>
    </row>
    <row r="121" spans="1:16">
      <c r="A121" t="str">
        <f>_xlfn.XLOOKUP(C:C,'Price List'!C:C,'Price List'!A:A)</f>
        <v>SANDRA GAGANIARAS GB</v>
      </c>
      <c r="B121" s="2" t="s">
        <v>3999</v>
      </c>
      <c r="C121" s="9">
        <v>10100310</v>
      </c>
      <c r="D121" s="2" t="s">
        <v>4916</v>
      </c>
      <c r="E121" s="9">
        <f>_xlfn.XLOOKUP(C:C,'Price List'!C:C,'Price List'!K:K)</f>
        <v>0</v>
      </c>
      <c r="F121" s="9">
        <f>_xlfn.XLOOKUP(C:C,'Price List'!C:C,'Price List'!E:E)</f>
        <v>6</v>
      </c>
      <c r="G121" s="9" t="str">
        <f>_xlfn.XLOOKUP(C:C,'Price List'!C:C,'Price List'!F:F)</f>
        <v>300 GR</v>
      </c>
      <c r="H121" s="6" t="s">
        <v>3</v>
      </c>
      <c r="I121" s="2" t="s">
        <v>4864</v>
      </c>
      <c r="J121" s="2" t="s">
        <v>4917</v>
      </c>
      <c r="K121" s="6" t="s">
        <v>4763</v>
      </c>
      <c r="L121" s="14">
        <v>46241</v>
      </c>
      <c r="M121" s="15">
        <v>13</v>
      </c>
      <c r="N121" t="str">
        <f t="shared" si="2"/>
        <v>10100310_2910</v>
      </c>
      <c r="O121" s="6">
        <f>_xlfn.XLOOKUP(N121,Allocation!H:H,Allocation!B:B,0)</f>
        <v>0</v>
      </c>
    </row>
    <row r="122" spans="1:16">
      <c r="A122" t="str">
        <f>_xlfn.XLOOKUP(C:C,'Price List'!C:C,'Price List'!A:A)</f>
        <v>SAMANTHA RODRIGUES GB</v>
      </c>
      <c r="B122" s="2" t="s">
        <v>2741</v>
      </c>
      <c r="C122" s="9">
        <v>10057233</v>
      </c>
      <c r="D122" s="2" t="s">
        <v>578</v>
      </c>
      <c r="E122" s="9">
        <f>_xlfn.XLOOKUP(C:C,'Price List'!C:C,'Price List'!K:K)</f>
        <v>0</v>
      </c>
      <c r="F122" s="9">
        <f>_xlfn.XLOOKUP(C:C,'Price List'!C:C,'Price List'!E:E)</f>
        <v>12</v>
      </c>
      <c r="G122" s="9" t="str">
        <f>_xlfn.XLOOKUP(C:C,'Price List'!C:C,'Price List'!F:F)</f>
        <v>290 ML</v>
      </c>
      <c r="H122" s="6" t="s">
        <v>4</v>
      </c>
      <c r="I122" s="2" t="s">
        <v>4764</v>
      </c>
      <c r="J122" s="2" t="s">
        <v>4918</v>
      </c>
      <c r="K122" s="6" t="s">
        <v>4763</v>
      </c>
      <c r="L122" s="14">
        <v>46241</v>
      </c>
      <c r="M122" s="15">
        <v>92</v>
      </c>
      <c r="N122" t="str">
        <f t="shared" si="2"/>
        <v>10057233_2910</v>
      </c>
      <c r="O122" s="6">
        <f>_xlfn.XLOOKUP(N122,Allocation!H:H,Allocation!C:C,0)</f>
        <v>92</v>
      </c>
      <c r="P122" s="38">
        <f t="shared" ref="P122:P127" si="11">M122-O122</f>
        <v>0</v>
      </c>
    </row>
    <row r="123" spans="1:16">
      <c r="A123" t="str">
        <f>_xlfn.XLOOKUP(C:C,'Price List'!C:C,'Price List'!A:A)</f>
        <v>AMOL PRAKASH</v>
      </c>
      <c r="B123" s="2" t="s">
        <v>664</v>
      </c>
      <c r="C123" s="9">
        <v>10003064</v>
      </c>
      <c r="D123" s="2" t="s">
        <v>4919</v>
      </c>
      <c r="E123" s="9">
        <f>_xlfn.XLOOKUP(C:C,'Price List'!C:C,'Price List'!K:K)</f>
        <v>0</v>
      </c>
      <c r="F123" s="9">
        <f>_xlfn.XLOOKUP(C:C,'Price List'!C:C,'Price List'!E:E)</f>
        <v>8</v>
      </c>
      <c r="G123" s="9" t="str">
        <f>_xlfn.XLOOKUP(C:C,'Price List'!C:C,'Price List'!F:F)</f>
        <v>3X200 ML</v>
      </c>
      <c r="H123" s="6" t="s">
        <v>4</v>
      </c>
      <c r="I123" s="2" t="s">
        <v>4764</v>
      </c>
      <c r="J123" s="2" t="s">
        <v>4920</v>
      </c>
      <c r="K123" s="6" t="s">
        <v>4763</v>
      </c>
      <c r="L123" s="14">
        <v>46241</v>
      </c>
      <c r="M123" s="15">
        <v>140</v>
      </c>
      <c r="N123" t="str">
        <f t="shared" si="2"/>
        <v>10003064_2910</v>
      </c>
      <c r="O123" s="6">
        <f>_xlfn.XLOOKUP(N123,Allocation!H:H,Allocation!C:C,0)</f>
        <v>0</v>
      </c>
      <c r="P123" s="38">
        <f t="shared" si="11"/>
        <v>140</v>
      </c>
    </row>
    <row r="124" spans="1:16">
      <c r="A124" t="str">
        <f>_xlfn.XLOOKUP(C:C,'Price List'!C:C,'Price List'!A:A)</f>
        <v>JAMES TYSON</v>
      </c>
      <c r="B124" s="2" t="s">
        <v>1075</v>
      </c>
      <c r="C124" s="9">
        <v>10015386</v>
      </c>
      <c r="D124" s="2" t="s">
        <v>4921</v>
      </c>
      <c r="E124" s="9">
        <f>_xlfn.XLOOKUP(C:C,'Price List'!C:C,'Price List'!K:K)</f>
        <v>0</v>
      </c>
      <c r="F124" s="9">
        <f>_xlfn.XLOOKUP(C:C,'Price List'!C:C,'Price List'!E:E)</f>
        <v>8</v>
      </c>
      <c r="G124" s="9" t="str">
        <f>_xlfn.XLOOKUP(C:C,'Price List'!C:C,'Price List'!F:F)</f>
        <v>340 GR</v>
      </c>
      <c r="H124" s="6" t="s">
        <v>5</v>
      </c>
      <c r="I124" s="2" t="s">
        <v>4761</v>
      </c>
      <c r="J124" s="2" t="s">
        <v>4922</v>
      </c>
      <c r="K124" s="6" t="s">
        <v>4763</v>
      </c>
      <c r="L124" s="14">
        <v>46241</v>
      </c>
      <c r="M124" s="15">
        <v>5</v>
      </c>
      <c r="N124" t="str">
        <f t="shared" si="2"/>
        <v>10015386_2910</v>
      </c>
      <c r="O124" s="6">
        <f>_xlfn.XLOOKUP(N124,Allocation!H:H,Allocation!C:C,0)</f>
        <v>0</v>
      </c>
      <c r="P124" s="38">
        <f t="shared" si="11"/>
        <v>5</v>
      </c>
    </row>
    <row r="125" spans="1:16">
      <c r="A125" t="str">
        <f>_xlfn.XLOOKUP(C:C,'Price List'!C:C,'Price List'!A:A)</f>
        <v>NIKISHA MOHAMMED</v>
      </c>
      <c r="B125" s="2" t="s">
        <v>2199</v>
      </c>
      <c r="C125" s="9">
        <v>10041270</v>
      </c>
      <c r="D125" s="2" t="s">
        <v>543</v>
      </c>
      <c r="E125" s="9">
        <f>_xlfn.XLOOKUP(C:C,'Price List'!C:C,'Price List'!K:K)</f>
        <v>0</v>
      </c>
      <c r="F125" s="9">
        <f>_xlfn.XLOOKUP(C:C,'Price List'!C:C,'Price List'!E:E)</f>
        <v>7</v>
      </c>
      <c r="G125" s="9" t="str">
        <f>_xlfn.XLOOKUP(C:C,'Price List'!C:C,'Price List'!F:F)</f>
        <v>700 GR</v>
      </c>
      <c r="H125" s="6" t="s">
        <v>4</v>
      </c>
      <c r="I125" s="2" t="s">
        <v>4764</v>
      </c>
      <c r="J125" s="2" t="s">
        <v>4923</v>
      </c>
      <c r="K125" s="6" t="s">
        <v>4763</v>
      </c>
      <c r="L125" s="14">
        <v>46242</v>
      </c>
      <c r="M125" s="15">
        <v>21</v>
      </c>
      <c r="N125" t="str">
        <f t="shared" si="2"/>
        <v>10041270_2910</v>
      </c>
      <c r="O125" s="6">
        <f>_xlfn.XLOOKUP(N125,Allocation!H:H,Allocation!C:C,0)</f>
        <v>0</v>
      </c>
      <c r="P125" s="38">
        <f t="shared" si="11"/>
        <v>21</v>
      </c>
    </row>
    <row r="126" spans="1:16">
      <c r="A126" t="str">
        <f>_xlfn.XLOOKUP(C:C,'Price List'!C:C,'Price List'!A:A)</f>
        <v>ANNA MARIA D'ANGELA</v>
      </c>
      <c r="B126" s="2" t="s">
        <v>2026</v>
      </c>
      <c r="C126" s="9">
        <v>10040869</v>
      </c>
      <c r="D126" s="2" t="s">
        <v>407</v>
      </c>
      <c r="E126" s="9">
        <f>_xlfn.XLOOKUP(C:C,'Price List'!C:C,'Price List'!K:K)</f>
        <v>0</v>
      </c>
      <c r="F126" s="9">
        <f>_xlfn.XLOOKUP(C:C,'Price List'!C:C,'Price List'!E:E)</f>
        <v>12</v>
      </c>
      <c r="G126" s="9" t="str">
        <f>_xlfn.XLOOKUP(C:C,'Price List'!C:C,'Price List'!F:F)</f>
        <v>250 GR</v>
      </c>
      <c r="H126" s="6" t="s">
        <v>4</v>
      </c>
      <c r="I126" s="2" t="s">
        <v>4764</v>
      </c>
      <c r="J126" s="2" t="s">
        <v>4924</v>
      </c>
      <c r="K126" s="6" t="s">
        <v>4763</v>
      </c>
      <c r="L126" s="14">
        <v>46242</v>
      </c>
      <c r="M126" s="15">
        <v>12</v>
      </c>
      <c r="N126" t="str">
        <f t="shared" si="2"/>
        <v>10040869_2910</v>
      </c>
      <c r="O126" s="6">
        <f>_xlfn.XLOOKUP(N126,Allocation!H:H,Allocation!C:C,0)</f>
        <v>0</v>
      </c>
      <c r="P126" s="38">
        <f t="shared" si="11"/>
        <v>12</v>
      </c>
    </row>
    <row r="127" spans="1:16">
      <c r="A127" t="str">
        <f>_xlfn.XLOOKUP(C:C,'Price List'!C:C,'Price List'!A:A)</f>
        <v>TRACEY LAWRENCE</v>
      </c>
      <c r="B127" s="2" t="s">
        <v>1261</v>
      </c>
      <c r="C127" s="9">
        <v>10018659</v>
      </c>
      <c r="D127" s="2" t="s">
        <v>178</v>
      </c>
      <c r="E127" s="9">
        <f>_xlfn.XLOOKUP(C:C,'Price List'!C:C,'Price List'!K:K)</f>
        <v>0</v>
      </c>
      <c r="F127" s="9">
        <f>_xlfn.XLOOKUP(C:C,'Price List'!C:C,'Price List'!E:E)</f>
        <v>12</v>
      </c>
      <c r="G127" s="9" t="str">
        <f>_xlfn.XLOOKUP(C:C,'Price List'!C:C,'Price List'!F:F)</f>
        <v>240 GR</v>
      </c>
      <c r="H127" s="6" t="s">
        <v>4</v>
      </c>
      <c r="I127" s="2" t="s">
        <v>4764</v>
      </c>
      <c r="J127" s="2" t="s">
        <v>4925</v>
      </c>
      <c r="K127" s="6" t="s">
        <v>4763</v>
      </c>
      <c r="L127" s="14">
        <v>46242</v>
      </c>
      <c r="M127" s="15">
        <v>10</v>
      </c>
      <c r="N127" t="str">
        <f t="shared" si="2"/>
        <v>10018659_2910</v>
      </c>
      <c r="O127" s="6">
        <f>_xlfn.XLOOKUP(N127,Allocation!H:H,Allocation!C:C,0)</f>
        <v>0</v>
      </c>
      <c r="P127" s="38">
        <f t="shared" si="11"/>
        <v>10</v>
      </c>
    </row>
    <row r="128" spans="1:16">
      <c r="A128" t="str">
        <f>_xlfn.XLOOKUP(C:C,'Price List'!C:C,'Price List'!A:A)</f>
        <v>SANDRA GAGANIARAS GB</v>
      </c>
      <c r="B128" s="2" t="s">
        <v>3999</v>
      </c>
      <c r="C128" s="9">
        <v>10100309</v>
      </c>
      <c r="D128" s="2" t="s">
        <v>4002</v>
      </c>
      <c r="E128" s="9">
        <f>_xlfn.XLOOKUP(C:C,'Price List'!C:C,'Price List'!K:K)</f>
        <v>0</v>
      </c>
      <c r="F128" s="9">
        <f>_xlfn.XLOOKUP(C:C,'Price List'!C:C,'Price List'!E:E)</f>
        <v>6</v>
      </c>
      <c r="G128" s="9" t="str">
        <f>_xlfn.XLOOKUP(C:C,'Price List'!C:C,'Price List'!F:F)</f>
        <v>300 GR</v>
      </c>
      <c r="H128" s="6" t="s">
        <v>3</v>
      </c>
      <c r="I128" s="2" t="s">
        <v>4864</v>
      </c>
      <c r="J128" s="2" t="s">
        <v>4926</v>
      </c>
      <c r="K128" s="6" t="s">
        <v>4763</v>
      </c>
      <c r="L128" s="14">
        <v>46243</v>
      </c>
      <c r="M128" s="15">
        <v>52</v>
      </c>
      <c r="N128" t="str">
        <f t="shared" si="2"/>
        <v>10100309_2910</v>
      </c>
      <c r="O128" s="6">
        <f>_xlfn.XLOOKUP(N128,Allocation!H:H,Allocation!B:B,0)</f>
        <v>0</v>
      </c>
    </row>
    <row r="129" spans="1:16">
      <c r="A129" t="str">
        <f>_xlfn.XLOOKUP(C:C,'Price List'!C:C,'Price List'!A:A)</f>
        <v>SANDRA GAGANIARAS GB</v>
      </c>
      <c r="B129" s="2" t="s">
        <v>3999</v>
      </c>
      <c r="C129" s="9">
        <v>10100322</v>
      </c>
      <c r="D129" s="2" t="s">
        <v>4927</v>
      </c>
      <c r="E129" s="9">
        <f>_xlfn.XLOOKUP(C:C,'Price List'!C:C,'Price List'!K:K)</f>
        <v>0</v>
      </c>
      <c r="F129" s="9">
        <f>_xlfn.XLOOKUP(C:C,'Price List'!C:C,'Price List'!E:E)</f>
        <v>6</v>
      </c>
      <c r="G129" s="9" t="str">
        <f>_xlfn.XLOOKUP(C:C,'Price List'!C:C,'Price List'!F:F)</f>
        <v>340 GR</v>
      </c>
      <c r="H129" s="6" t="s">
        <v>3</v>
      </c>
      <c r="I129" s="2" t="s">
        <v>4864</v>
      </c>
      <c r="J129" s="2" t="s">
        <v>4928</v>
      </c>
      <c r="K129" s="6" t="s">
        <v>4763</v>
      </c>
      <c r="L129" s="14">
        <v>46243</v>
      </c>
      <c r="M129" s="15">
        <v>40</v>
      </c>
      <c r="N129" t="str">
        <f t="shared" si="2"/>
        <v>10100322_2910</v>
      </c>
      <c r="O129" s="6">
        <f>_xlfn.XLOOKUP(N129,Allocation!H:H,Allocation!B:B,0)</f>
        <v>0</v>
      </c>
    </row>
    <row r="130" spans="1:16">
      <c r="A130" t="str">
        <f>_xlfn.XLOOKUP(C:C,'Price List'!C:C,'Price List'!A:A)</f>
        <v>ANABELA NEVES PR</v>
      </c>
      <c r="B130" s="2" t="s">
        <v>980</v>
      </c>
      <c r="C130" s="9">
        <v>10013128</v>
      </c>
      <c r="D130" s="2" t="s">
        <v>248</v>
      </c>
      <c r="E130" s="9">
        <f>_xlfn.XLOOKUP(C:C,'Price List'!C:C,'Price List'!K:K)</f>
        <v>0</v>
      </c>
      <c r="F130" s="9">
        <f>_xlfn.XLOOKUP(C:C,'Price List'!C:C,'Price List'!E:E)</f>
        <v>8</v>
      </c>
      <c r="G130" s="9" t="str">
        <f>_xlfn.XLOOKUP(C:C,'Price List'!C:C,'Price List'!F:F)</f>
        <v>180 GR</v>
      </c>
      <c r="H130" s="6" t="s">
        <v>3</v>
      </c>
      <c r="I130" s="2" t="s">
        <v>4864</v>
      </c>
      <c r="J130" s="2" t="s">
        <v>4929</v>
      </c>
      <c r="K130" s="6" t="s">
        <v>4763</v>
      </c>
      <c r="L130" s="14">
        <v>46244</v>
      </c>
      <c r="M130" s="15">
        <v>442</v>
      </c>
      <c r="N130" t="str">
        <f t="shared" ref="N130:N193" si="12">C130 &amp; "_" &amp; 2910</f>
        <v>10013128_2910</v>
      </c>
      <c r="O130" s="6">
        <f>_xlfn.XLOOKUP(N130,Allocation!H:H,Allocation!B:B,0)</f>
        <v>0</v>
      </c>
    </row>
    <row r="131" spans="1:16">
      <c r="A131" t="str">
        <f>_xlfn.XLOOKUP(C:C,'Price List'!C:C,'Price List'!A:A)</f>
        <v>MICHELLE JEWELL NT</v>
      </c>
      <c r="B131" s="2" t="s">
        <v>743</v>
      </c>
      <c r="C131" s="9">
        <v>10061789</v>
      </c>
      <c r="D131" s="2" t="s">
        <v>4930</v>
      </c>
      <c r="E131" s="9">
        <f>_xlfn.XLOOKUP(C:C,'Price List'!C:C,'Price List'!K:K)</f>
        <v>0</v>
      </c>
      <c r="F131" s="9">
        <f>_xlfn.XLOOKUP(C:C,'Price List'!C:C,'Price List'!E:E)</f>
        <v>4</v>
      </c>
      <c r="G131" s="9" t="str">
        <f>_xlfn.XLOOKUP(C:C,'Price List'!C:C,'Price List'!F:F)</f>
        <v>454 GR</v>
      </c>
      <c r="H131" s="6" t="s">
        <v>6</v>
      </c>
      <c r="I131" s="2" t="s">
        <v>4877</v>
      </c>
      <c r="J131" s="2" t="s">
        <v>4931</v>
      </c>
      <c r="K131" s="6" t="s">
        <v>4763</v>
      </c>
      <c r="L131" s="14">
        <v>46244</v>
      </c>
      <c r="M131" s="15">
        <v>10</v>
      </c>
      <c r="N131" t="str">
        <f t="shared" si="12"/>
        <v>10061789_2910</v>
      </c>
      <c r="O131" s="6">
        <f>_xlfn.XLOOKUP(N131,Allocation!H:H,Allocation!E:E,0)</f>
        <v>0</v>
      </c>
      <c r="P131" s="38">
        <f t="shared" ref="P131:P132" si="13">M131-O131</f>
        <v>10</v>
      </c>
    </row>
    <row r="132" spans="1:16">
      <c r="A132" t="str">
        <f>_xlfn.XLOOKUP(C:C,'Price List'!C:C,'Price List'!A:A)</f>
        <v>NATASHA KING PR</v>
      </c>
      <c r="B132" s="2" t="s">
        <v>1795</v>
      </c>
      <c r="C132" s="9">
        <v>10033030</v>
      </c>
      <c r="D132" s="2" t="s">
        <v>4932</v>
      </c>
      <c r="E132" s="9">
        <f>_xlfn.XLOOKUP(C:C,'Price List'!C:C,'Price List'!K:K)</f>
        <v>0</v>
      </c>
      <c r="F132" s="9">
        <f>_xlfn.XLOOKUP(C:C,'Price List'!C:C,'Price List'!E:E)</f>
        <v>12</v>
      </c>
      <c r="G132" s="9" t="str">
        <f>_xlfn.XLOOKUP(C:C,'Price List'!C:C,'Price List'!F:F)</f>
        <v>175 GR</v>
      </c>
      <c r="H132" s="6" t="s">
        <v>6</v>
      </c>
      <c r="I132" s="2" t="s">
        <v>4877</v>
      </c>
      <c r="J132" s="2" t="s">
        <v>4933</v>
      </c>
      <c r="K132" s="6" t="s">
        <v>4763</v>
      </c>
      <c r="L132" s="14">
        <v>46245</v>
      </c>
      <c r="M132" s="15">
        <v>2</v>
      </c>
      <c r="N132" t="str">
        <f t="shared" si="12"/>
        <v>10033030_2910</v>
      </c>
      <c r="O132" s="6">
        <f>_xlfn.XLOOKUP(N132,Allocation!H:H,Allocation!E:E,0)</f>
        <v>0</v>
      </c>
      <c r="P132" s="38">
        <f t="shared" si="13"/>
        <v>2</v>
      </c>
    </row>
    <row r="133" spans="1:16">
      <c r="A133" t="str">
        <f>_xlfn.XLOOKUP(C:C,'Price List'!C:C,'Price List'!A:A)</f>
        <v>SAMANTHA RODRIGUES GB</v>
      </c>
      <c r="B133" s="2" t="s">
        <v>2761</v>
      </c>
      <c r="C133" s="9">
        <v>10059179</v>
      </c>
      <c r="D133" s="2" t="s">
        <v>4845</v>
      </c>
      <c r="E133" s="9">
        <f>_xlfn.XLOOKUP(C:C,'Price List'!C:C,'Price List'!K:K)</f>
        <v>0</v>
      </c>
      <c r="F133" s="9">
        <f>_xlfn.XLOOKUP(C:C,'Price List'!C:C,'Price List'!E:E)</f>
        <v>6</v>
      </c>
      <c r="G133" s="9" t="str">
        <f>_xlfn.XLOOKUP(C:C,'Price List'!C:C,'Price List'!F:F)</f>
        <v>2.27 KG</v>
      </c>
      <c r="H133" s="6" t="s">
        <v>3</v>
      </c>
      <c r="I133" s="2" t="s">
        <v>4864</v>
      </c>
      <c r="J133" s="2" t="s">
        <v>4934</v>
      </c>
      <c r="K133" s="6" t="s">
        <v>4763</v>
      </c>
      <c r="L133" s="14">
        <v>46246</v>
      </c>
      <c r="M133" s="15">
        <v>1</v>
      </c>
      <c r="N133" t="str">
        <f t="shared" si="12"/>
        <v>10059179_2910</v>
      </c>
      <c r="O133" s="6">
        <f>_xlfn.XLOOKUP(N133,Allocation!H:H,Allocation!B:B,0)</f>
        <v>0</v>
      </c>
    </row>
    <row r="134" spans="1:16">
      <c r="A134" t="str">
        <f>_xlfn.XLOOKUP(C:C,'Price List'!C:C,'Price List'!A:A)</f>
        <v>SAMANTHA RODRIGUES GB</v>
      </c>
      <c r="B134" s="2" t="s">
        <v>2761</v>
      </c>
      <c r="C134" s="9">
        <v>10059179</v>
      </c>
      <c r="D134" s="2" t="s">
        <v>4845</v>
      </c>
      <c r="E134" s="9">
        <f>_xlfn.XLOOKUP(C:C,'Price List'!C:C,'Price List'!K:K)</f>
        <v>0</v>
      </c>
      <c r="F134" s="9">
        <f>_xlfn.XLOOKUP(C:C,'Price List'!C:C,'Price List'!E:E)</f>
        <v>6</v>
      </c>
      <c r="G134" s="9" t="str">
        <f>_xlfn.XLOOKUP(C:C,'Price List'!C:C,'Price List'!F:F)</f>
        <v>2.27 KG</v>
      </c>
      <c r="H134" s="6" t="s">
        <v>6</v>
      </c>
      <c r="I134" s="2" t="s">
        <v>4877</v>
      </c>
      <c r="J134" s="2" t="s">
        <v>4935</v>
      </c>
      <c r="K134" s="6" t="s">
        <v>4763</v>
      </c>
      <c r="L134" s="14">
        <v>46246</v>
      </c>
      <c r="M134" s="15">
        <v>350</v>
      </c>
      <c r="N134" t="str">
        <f t="shared" si="12"/>
        <v>10059179_2910</v>
      </c>
      <c r="O134" s="6">
        <f>_xlfn.XLOOKUP(N134,Allocation!H:H,Allocation!E:E,0)</f>
        <v>0</v>
      </c>
      <c r="P134" s="38">
        <f t="shared" ref="P134:P135" si="14">M134-O134</f>
        <v>350</v>
      </c>
    </row>
    <row r="135" spans="1:16">
      <c r="A135" t="str">
        <f>_xlfn.XLOOKUP(C:C,'Price List'!C:C,'Price List'!A:A)</f>
        <v>SAMANTHA RODRIGUES GB</v>
      </c>
      <c r="B135" s="2" t="s">
        <v>2761</v>
      </c>
      <c r="C135" s="9">
        <v>10059179</v>
      </c>
      <c r="D135" s="2" t="s">
        <v>4845</v>
      </c>
      <c r="E135" s="9">
        <f>_xlfn.XLOOKUP(C:C,'Price List'!C:C,'Price List'!K:K)</f>
        <v>0</v>
      </c>
      <c r="F135" s="9">
        <f>_xlfn.XLOOKUP(C:C,'Price List'!C:C,'Price List'!E:E)</f>
        <v>6</v>
      </c>
      <c r="G135" s="9" t="str">
        <f>_xlfn.XLOOKUP(C:C,'Price List'!C:C,'Price List'!F:F)</f>
        <v>2.27 KG</v>
      </c>
      <c r="H135" s="6" t="s">
        <v>6</v>
      </c>
      <c r="I135" s="2" t="s">
        <v>4877</v>
      </c>
      <c r="J135" s="2" t="s">
        <v>4936</v>
      </c>
      <c r="K135" s="6" t="s">
        <v>4763</v>
      </c>
      <c r="L135" s="14">
        <v>46246</v>
      </c>
      <c r="M135" s="15">
        <v>31</v>
      </c>
      <c r="N135" t="str">
        <f t="shared" si="12"/>
        <v>10059179_2910</v>
      </c>
      <c r="O135" s="6">
        <f>_xlfn.XLOOKUP(N135,Allocation!H:H,Allocation!E:E,0)</f>
        <v>0</v>
      </c>
      <c r="P135" s="38">
        <f t="shared" si="14"/>
        <v>31</v>
      </c>
    </row>
    <row r="136" spans="1:16">
      <c r="A136" t="str">
        <f>_xlfn.XLOOKUP(C:C,'Price List'!C:C,'Price List'!A:A)</f>
        <v>SERENA LEE PR</v>
      </c>
      <c r="B136" s="2" t="s">
        <v>1320</v>
      </c>
      <c r="C136" s="9">
        <v>10019661</v>
      </c>
      <c r="D136" s="2" t="s">
        <v>4937</v>
      </c>
      <c r="E136" s="9">
        <f>_xlfn.XLOOKUP(C:C,'Price List'!C:C,'Price List'!K:K)</f>
        <v>0</v>
      </c>
      <c r="F136" s="9">
        <f>_xlfn.XLOOKUP(C:C,'Price List'!C:C,'Price List'!E:E)</f>
        <v>48</v>
      </c>
      <c r="G136" s="9" t="str">
        <f>_xlfn.XLOOKUP(C:C,'Price List'!C:C,'Price List'!F:F)</f>
        <v>SHIPPER</v>
      </c>
      <c r="H136" s="6" t="s">
        <v>3</v>
      </c>
      <c r="I136" s="2" t="s">
        <v>4864</v>
      </c>
      <c r="J136" s="2" t="s">
        <v>4938</v>
      </c>
      <c r="K136" s="6" t="s">
        <v>4763</v>
      </c>
      <c r="L136" s="14">
        <v>46247</v>
      </c>
      <c r="M136" s="15">
        <v>7</v>
      </c>
      <c r="N136" t="str">
        <f t="shared" si="12"/>
        <v>10019661_2910</v>
      </c>
      <c r="O136" s="6">
        <f>_xlfn.XLOOKUP(N136,Allocation!H:H,Allocation!B:B,0)</f>
        <v>0</v>
      </c>
    </row>
    <row r="137" spans="1:16">
      <c r="A137" t="str">
        <f>_xlfn.XLOOKUP(C:C,'Price List'!C:C,'Price List'!A:A)</f>
        <v>SERENA LEE PR</v>
      </c>
      <c r="B137" s="2" t="s">
        <v>1320</v>
      </c>
      <c r="C137" s="9">
        <v>10019661</v>
      </c>
      <c r="D137" s="2" t="s">
        <v>4937</v>
      </c>
      <c r="E137" s="9">
        <f>_xlfn.XLOOKUP(C:C,'Price List'!C:C,'Price List'!K:K)</f>
        <v>0</v>
      </c>
      <c r="F137" s="9">
        <f>_xlfn.XLOOKUP(C:C,'Price List'!C:C,'Price List'!E:E)</f>
        <v>48</v>
      </c>
      <c r="G137" s="9" t="str">
        <f>_xlfn.XLOOKUP(C:C,'Price List'!C:C,'Price List'!F:F)</f>
        <v>SHIPPER</v>
      </c>
      <c r="H137" s="6" t="s">
        <v>3</v>
      </c>
      <c r="I137" s="2" t="s">
        <v>4864</v>
      </c>
      <c r="J137" s="2" t="s">
        <v>4939</v>
      </c>
      <c r="K137" s="6" t="s">
        <v>4763</v>
      </c>
      <c r="L137" s="14">
        <v>46247</v>
      </c>
      <c r="M137" s="15">
        <v>2</v>
      </c>
      <c r="N137" t="str">
        <f t="shared" si="12"/>
        <v>10019661_2910</v>
      </c>
      <c r="O137" s="6">
        <f>_xlfn.XLOOKUP(N137,Allocation!H:H,Allocation!B:B,0)</f>
        <v>0</v>
      </c>
    </row>
    <row r="138" spans="1:16">
      <c r="A138" t="str">
        <f>_xlfn.XLOOKUP(C:C,'Price List'!C:C,'Price List'!A:A)</f>
        <v>SERENA LEE PR</v>
      </c>
      <c r="B138" s="2" t="s">
        <v>1320</v>
      </c>
      <c r="C138" s="9">
        <v>10019661</v>
      </c>
      <c r="D138" s="2" t="s">
        <v>4937</v>
      </c>
      <c r="E138" s="9">
        <f>_xlfn.XLOOKUP(C:C,'Price List'!C:C,'Price List'!K:K)</f>
        <v>0</v>
      </c>
      <c r="F138" s="9">
        <f>_xlfn.XLOOKUP(C:C,'Price List'!C:C,'Price List'!E:E)</f>
        <v>48</v>
      </c>
      <c r="G138" s="9" t="str">
        <f>_xlfn.XLOOKUP(C:C,'Price List'!C:C,'Price List'!F:F)</f>
        <v>SHIPPER</v>
      </c>
      <c r="H138" s="6" t="s">
        <v>3</v>
      </c>
      <c r="I138" s="2" t="s">
        <v>4864</v>
      </c>
      <c r="J138" s="2" t="s">
        <v>4940</v>
      </c>
      <c r="K138" s="6" t="s">
        <v>4763</v>
      </c>
      <c r="L138" s="14">
        <v>46247</v>
      </c>
      <c r="M138" s="15">
        <v>3</v>
      </c>
      <c r="N138" t="str">
        <f t="shared" si="12"/>
        <v>10019661_2910</v>
      </c>
      <c r="O138" s="6">
        <f>_xlfn.XLOOKUP(N138,Allocation!H:H,Allocation!B:B,0)</f>
        <v>0</v>
      </c>
    </row>
    <row r="139" spans="1:16">
      <c r="A139" t="str">
        <f>_xlfn.XLOOKUP(C:C,'Price List'!C:C,'Price List'!A:A)</f>
        <v>NATASHA KING PR</v>
      </c>
      <c r="B139" s="2" t="s">
        <v>835</v>
      </c>
      <c r="C139" s="9">
        <v>10010755</v>
      </c>
      <c r="D139" s="2" t="s">
        <v>289</v>
      </c>
      <c r="E139" s="9" t="s">
        <v>4795</v>
      </c>
      <c r="F139" s="9">
        <f>_xlfn.XLOOKUP(C:C,'Price List'!C:C,'Price List'!E:E)</f>
        <v>1</v>
      </c>
      <c r="G139" s="9" t="str">
        <f>_xlfn.XLOOKUP(C:C,'Price List'!C:C,'Price List'!F:F)</f>
        <v>4.5 KG</v>
      </c>
      <c r="H139" s="6" t="s">
        <v>3</v>
      </c>
      <c r="I139" s="2" t="s">
        <v>4864</v>
      </c>
      <c r="J139" s="2" t="s">
        <v>4941</v>
      </c>
      <c r="K139" s="6" t="s">
        <v>4763</v>
      </c>
      <c r="L139" s="14">
        <v>46247</v>
      </c>
      <c r="M139" s="15">
        <v>3</v>
      </c>
      <c r="N139" t="str">
        <f t="shared" si="12"/>
        <v>10010755_2910</v>
      </c>
      <c r="O139" s="6">
        <f>_xlfn.XLOOKUP(N139,Allocation!H:H,Allocation!B:B,0)</f>
        <v>0</v>
      </c>
    </row>
    <row r="140" spans="1:16">
      <c r="A140" t="str">
        <f>_xlfn.XLOOKUP(C:C,'Price List'!C:C,'Price List'!A:A)</f>
        <v>SANDRA GAGANIARAS GB</v>
      </c>
      <c r="B140" s="2" t="s">
        <v>3547</v>
      </c>
      <c r="C140" s="9">
        <v>10080668</v>
      </c>
      <c r="D140" s="2" t="s">
        <v>4942</v>
      </c>
      <c r="E140" s="9">
        <f>_xlfn.XLOOKUP(C:C,'Price List'!C:C,'Price List'!K:K)</f>
        <v>0</v>
      </c>
      <c r="F140" s="9">
        <f>_xlfn.XLOOKUP(C:C,'Price List'!C:C,'Price List'!E:E)</f>
        <v>1</v>
      </c>
      <c r="G140" s="9" t="str">
        <f>_xlfn.XLOOKUP(C:C,'Price List'!C:C,'Price List'!F:F)</f>
        <v>24X250 ML COSTCO</v>
      </c>
      <c r="H140" s="6" t="s">
        <v>3</v>
      </c>
      <c r="I140" s="2" t="s">
        <v>4864</v>
      </c>
      <c r="J140" s="2" t="s">
        <v>4943</v>
      </c>
      <c r="K140" s="6" t="s">
        <v>4763</v>
      </c>
      <c r="L140" s="14">
        <v>46247</v>
      </c>
      <c r="M140" s="15">
        <v>2</v>
      </c>
      <c r="N140" t="str">
        <f t="shared" si="12"/>
        <v>10080668_2910</v>
      </c>
      <c r="O140" s="6">
        <f>_xlfn.XLOOKUP(N140,Allocation!H:H,Allocation!B:B,0)</f>
        <v>0</v>
      </c>
    </row>
    <row r="141" spans="1:16">
      <c r="A141" t="str">
        <f>_xlfn.XLOOKUP(C:C,'Price List'!C:C,'Price List'!A:A)</f>
        <v>AMOL PRAKASH</v>
      </c>
      <c r="B141" s="2" t="s">
        <v>726</v>
      </c>
      <c r="C141" s="9">
        <v>10007757</v>
      </c>
      <c r="D141" s="2" t="s">
        <v>592</v>
      </c>
      <c r="E141" s="9">
        <f>_xlfn.XLOOKUP(C:C,'Price List'!C:C,'Price List'!K:K)</f>
        <v>0</v>
      </c>
      <c r="F141" s="9">
        <f>_xlfn.XLOOKUP(C:C,'Price List'!C:C,'Price List'!E:E)</f>
        <v>6</v>
      </c>
      <c r="G141" s="9" t="str">
        <f>_xlfn.XLOOKUP(C:C,'Price List'!C:C,'Price List'!F:F)</f>
        <v>454 GR</v>
      </c>
      <c r="H141" s="6" t="s">
        <v>3</v>
      </c>
      <c r="I141" s="2" t="s">
        <v>4864</v>
      </c>
      <c r="J141" s="2" t="s">
        <v>4944</v>
      </c>
      <c r="K141" s="6" t="s">
        <v>4763</v>
      </c>
      <c r="L141" s="14">
        <v>46247</v>
      </c>
      <c r="M141" s="15">
        <v>5</v>
      </c>
      <c r="N141" t="str">
        <f t="shared" si="12"/>
        <v>10007757_2910</v>
      </c>
      <c r="O141" s="6">
        <f>_xlfn.XLOOKUP(N141,Allocation!H:H,Allocation!B:B,0)</f>
        <v>0</v>
      </c>
    </row>
    <row r="142" spans="1:16">
      <c r="A142" t="str">
        <f>_xlfn.XLOOKUP(C:C,'Price List'!C:C,'Price List'!A:A)</f>
        <v>JAMES TYSON</v>
      </c>
      <c r="B142" s="2" t="s">
        <v>2377</v>
      </c>
      <c r="C142" s="9">
        <v>10049305</v>
      </c>
      <c r="D142" s="2" t="s">
        <v>414</v>
      </c>
      <c r="E142" s="9">
        <f>_xlfn.XLOOKUP(C:C,'Price List'!C:C,'Price List'!K:K)</f>
        <v>0</v>
      </c>
      <c r="F142" s="9">
        <f>_xlfn.XLOOKUP(C:C,'Price List'!C:C,'Price List'!E:E)</f>
        <v>12</v>
      </c>
      <c r="G142" s="9" t="str">
        <f>_xlfn.XLOOKUP(C:C,'Price List'!C:C,'Price List'!F:F)</f>
        <v>1 LT</v>
      </c>
      <c r="H142" s="6" t="s">
        <v>4</v>
      </c>
      <c r="I142" s="2" t="s">
        <v>4764</v>
      </c>
      <c r="J142" s="2" t="s">
        <v>4944</v>
      </c>
      <c r="K142" s="6" t="s">
        <v>4763</v>
      </c>
      <c r="L142" s="14">
        <v>46247</v>
      </c>
      <c r="M142" s="15">
        <v>81</v>
      </c>
      <c r="N142" t="str">
        <f t="shared" si="12"/>
        <v>10049305_2910</v>
      </c>
      <c r="O142" s="6">
        <f>_xlfn.XLOOKUP(N142,Allocation!H:H,Allocation!C:C,0)</f>
        <v>81</v>
      </c>
      <c r="P142" s="38">
        <f t="shared" ref="P142:P147" si="15">M142-O142</f>
        <v>0</v>
      </c>
    </row>
    <row r="143" spans="1:16">
      <c r="A143" t="str">
        <f>_xlfn.XLOOKUP(C:C,'Price List'!C:C,'Price List'!A:A)</f>
        <v>AMOL PRAKASH</v>
      </c>
      <c r="B143" s="2" t="s">
        <v>1685</v>
      </c>
      <c r="C143" s="9">
        <v>10031164</v>
      </c>
      <c r="D143" s="2" t="s">
        <v>573</v>
      </c>
      <c r="E143" s="9">
        <f>_xlfn.XLOOKUP(C:C,'Price List'!C:C,'Price List'!K:K)</f>
        <v>0</v>
      </c>
      <c r="F143" s="9">
        <f>_xlfn.XLOOKUP(C:C,'Price List'!C:C,'Price List'!E:E)</f>
        <v>6</v>
      </c>
      <c r="G143" s="9" t="str">
        <f>_xlfn.XLOOKUP(C:C,'Price List'!C:C,'Price List'!F:F)</f>
        <v>40 GR</v>
      </c>
      <c r="H143" s="6" t="s">
        <v>4</v>
      </c>
      <c r="I143" s="2" t="s">
        <v>4764</v>
      </c>
      <c r="J143" s="2" t="s">
        <v>4945</v>
      </c>
      <c r="K143" s="6" t="s">
        <v>4763</v>
      </c>
      <c r="L143" s="14">
        <v>46247</v>
      </c>
      <c r="M143" s="15">
        <v>6</v>
      </c>
      <c r="N143" t="str">
        <f t="shared" si="12"/>
        <v>10031164_2910</v>
      </c>
      <c r="O143" s="6">
        <f>_xlfn.XLOOKUP(N143,Allocation!H:H,Allocation!C:C,0)</f>
        <v>6</v>
      </c>
      <c r="P143" s="38">
        <f t="shared" si="15"/>
        <v>0</v>
      </c>
    </row>
    <row r="144" spans="1:16">
      <c r="A144" t="str">
        <f>_xlfn.XLOOKUP(C:C,'Price List'!C:C,'Price List'!A:A)</f>
        <v>JAMES TYSON</v>
      </c>
      <c r="B144" s="2" t="s">
        <v>2377</v>
      </c>
      <c r="C144" s="9">
        <v>10049305</v>
      </c>
      <c r="D144" s="2" t="s">
        <v>414</v>
      </c>
      <c r="E144" s="9">
        <f>_xlfn.XLOOKUP(C:C,'Price List'!C:C,'Price List'!K:K)</f>
        <v>0</v>
      </c>
      <c r="F144" s="9">
        <f>_xlfn.XLOOKUP(C:C,'Price List'!C:C,'Price List'!E:E)</f>
        <v>12</v>
      </c>
      <c r="G144" s="9" t="str">
        <f>_xlfn.XLOOKUP(C:C,'Price List'!C:C,'Price List'!F:F)</f>
        <v>1 LT</v>
      </c>
      <c r="H144" s="6" t="s">
        <v>6</v>
      </c>
      <c r="I144" s="2" t="s">
        <v>4877</v>
      </c>
      <c r="J144" s="2" t="s">
        <v>4944</v>
      </c>
      <c r="K144" s="6" t="s">
        <v>4763</v>
      </c>
      <c r="L144" s="14">
        <v>46247</v>
      </c>
      <c r="M144" s="15">
        <v>257</v>
      </c>
      <c r="N144" t="str">
        <f t="shared" si="12"/>
        <v>10049305_2910</v>
      </c>
      <c r="O144" s="6">
        <f>_xlfn.XLOOKUP(N144,Allocation!H:H,Allocation!E:E,0)</f>
        <v>0</v>
      </c>
      <c r="P144" s="38">
        <f t="shared" si="15"/>
        <v>257</v>
      </c>
    </row>
    <row r="145" spans="1:16">
      <c r="A145" t="str">
        <f>_xlfn.XLOOKUP(C:C,'Price List'!C:C,'Price List'!A:A)</f>
        <v>NATASHA KING PR</v>
      </c>
      <c r="B145" s="2" t="s">
        <v>835</v>
      </c>
      <c r="C145" s="9">
        <v>10010749</v>
      </c>
      <c r="D145" s="2" t="s">
        <v>226</v>
      </c>
      <c r="E145" s="9" t="s">
        <v>4795</v>
      </c>
      <c r="F145" s="9">
        <f>_xlfn.XLOOKUP(C:C,'Price List'!C:C,'Price List'!E:E)</f>
        <v>1</v>
      </c>
      <c r="G145" s="9" t="str">
        <f>_xlfn.XLOOKUP(C:C,'Price List'!C:C,'Price List'!F:F)</f>
        <v>4.5 KG</v>
      </c>
      <c r="H145" s="6" t="s">
        <v>6</v>
      </c>
      <c r="I145" s="2" t="s">
        <v>4877</v>
      </c>
      <c r="J145" s="2" t="s">
        <v>4946</v>
      </c>
      <c r="K145" s="6" t="s">
        <v>4763</v>
      </c>
      <c r="L145" s="14">
        <v>46247</v>
      </c>
      <c r="M145" s="15">
        <v>2</v>
      </c>
      <c r="N145" t="str">
        <f t="shared" si="12"/>
        <v>10010749_2910</v>
      </c>
      <c r="O145" s="6">
        <f>_xlfn.XLOOKUP(N145,Allocation!H:H,Allocation!E:E,0)</f>
        <v>0</v>
      </c>
      <c r="P145" s="38">
        <f t="shared" si="15"/>
        <v>2</v>
      </c>
    </row>
    <row r="146" spans="1:16">
      <c r="A146" t="str">
        <f>_xlfn.XLOOKUP(C:C,'Price List'!C:C,'Price List'!A:A)</f>
        <v>AMOL PRAKASH</v>
      </c>
      <c r="B146" s="2" t="s">
        <v>664</v>
      </c>
      <c r="C146" s="9">
        <v>10003062</v>
      </c>
      <c r="D146" s="2" t="s">
        <v>4947</v>
      </c>
      <c r="E146" s="9">
        <f>_xlfn.XLOOKUP(C:C,'Price List'!C:C,'Price List'!K:K)</f>
        <v>0</v>
      </c>
      <c r="F146" s="9">
        <f>_xlfn.XLOOKUP(C:C,'Price List'!C:C,'Price List'!E:E)</f>
        <v>8</v>
      </c>
      <c r="G146" s="9" t="str">
        <f>_xlfn.XLOOKUP(C:C,'Price List'!C:C,'Price List'!F:F)</f>
        <v>3X200 ML</v>
      </c>
      <c r="H146" s="6" t="s">
        <v>6</v>
      </c>
      <c r="I146" s="2" t="s">
        <v>4877</v>
      </c>
      <c r="J146" s="2" t="s">
        <v>4948</v>
      </c>
      <c r="K146" s="6" t="s">
        <v>4763</v>
      </c>
      <c r="L146" s="14">
        <v>46247</v>
      </c>
      <c r="M146" s="15">
        <v>2</v>
      </c>
      <c r="N146" t="str">
        <f t="shared" si="12"/>
        <v>10003062_2910</v>
      </c>
      <c r="O146" s="6">
        <f>_xlfn.XLOOKUP(N146,Allocation!H:H,Allocation!E:E,0)</f>
        <v>0</v>
      </c>
      <c r="P146" s="38">
        <f t="shared" si="15"/>
        <v>2</v>
      </c>
    </row>
    <row r="147" spans="1:16">
      <c r="A147" t="str">
        <f>_xlfn.XLOOKUP(C:C,'Price List'!C:C,'Price List'!A:A)</f>
        <v>AMOL PRAKASH</v>
      </c>
      <c r="B147" s="2" t="s">
        <v>664</v>
      </c>
      <c r="C147" s="9">
        <v>10003073</v>
      </c>
      <c r="D147" s="2" t="s">
        <v>4949</v>
      </c>
      <c r="E147" s="9">
        <f>_xlfn.XLOOKUP(C:C,'Price List'!C:C,'Price List'!K:K)</f>
        <v>0</v>
      </c>
      <c r="F147" s="9">
        <f>_xlfn.XLOOKUP(C:C,'Price List'!C:C,'Price List'!E:E)</f>
        <v>12</v>
      </c>
      <c r="G147" s="9" t="str">
        <f>_xlfn.XLOOKUP(C:C,'Price List'!C:C,'Price List'!F:F)</f>
        <v>946 ML</v>
      </c>
      <c r="H147" s="6" t="s">
        <v>6</v>
      </c>
      <c r="I147" s="2" t="s">
        <v>4877</v>
      </c>
      <c r="J147" s="2" t="s">
        <v>4950</v>
      </c>
      <c r="K147" s="6" t="s">
        <v>4763</v>
      </c>
      <c r="L147" s="14">
        <v>46247</v>
      </c>
      <c r="M147" s="15">
        <v>4</v>
      </c>
      <c r="N147" t="str">
        <f t="shared" si="12"/>
        <v>10003073_2910</v>
      </c>
      <c r="O147" s="6">
        <f>_xlfn.XLOOKUP(N147,Allocation!H:H,Allocation!E:E,0)</f>
        <v>0</v>
      </c>
      <c r="P147" s="38">
        <f t="shared" si="15"/>
        <v>4</v>
      </c>
    </row>
    <row r="148" spans="1:16">
      <c r="A148" t="str">
        <f>_xlfn.XLOOKUP(C:C,'Price List'!C:C,'Price List'!A:A)</f>
        <v>SERENA LEE PR</v>
      </c>
      <c r="B148" s="2" t="s">
        <v>1320</v>
      </c>
      <c r="C148" s="9">
        <v>10019682</v>
      </c>
      <c r="D148" s="2" t="s">
        <v>4951</v>
      </c>
      <c r="E148" s="9" t="s">
        <v>4795</v>
      </c>
      <c r="F148" s="9">
        <f>_xlfn.XLOOKUP(C:C,'Price List'!C:C,'Price List'!E:E)</f>
        <v>1</v>
      </c>
      <c r="G148" s="9" t="str">
        <f>_xlfn.XLOOKUP(C:C,'Price List'!C:C,'Price List'!F:F)</f>
        <v>4 KG</v>
      </c>
      <c r="H148" s="6" t="s">
        <v>3</v>
      </c>
      <c r="I148" s="2" t="s">
        <v>4864</v>
      </c>
      <c r="J148" s="2" t="s">
        <v>4952</v>
      </c>
      <c r="K148" s="6" t="s">
        <v>4763</v>
      </c>
      <c r="L148" s="14">
        <v>46248</v>
      </c>
      <c r="M148" s="15">
        <v>2</v>
      </c>
      <c r="N148" t="str">
        <f t="shared" si="12"/>
        <v>10019682_2910</v>
      </c>
      <c r="O148" s="6">
        <f>_xlfn.XLOOKUP(N148,Allocation!H:H,Allocation!B:B,0)</f>
        <v>0</v>
      </c>
    </row>
    <row r="149" spans="1:16">
      <c r="A149" t="str">
        <f>_xlfn.XLOOKUP(C:C,'Price List'!C:C,'Price List'!A:A)</f>
        <v>SERENA LEE PR</v>
      </c>
      <c r="B149" s="2" t="s">
        <v>1320</v>
      </c>
      <c r="C149" s="9">
        <v>10019703</v>
      </c>
      <c r="D149" s="2" t="s">
        <v>318</v>
      </c>
      <c r="E149" s="9" t="s">
        <v>4795</v>
      </c>
      <c r="F149" s="9">
        <f>_xlfn.XLOOKUP(C:C,'Price List'!C:C,'Price List'!E:E)</f>
        <v>1</v>
      </c>
      <c r="G149" s="9" t="str">
        <f>_xlfn.XLOOKUP(C:C,'Price List'!C:C,'Price List'!F:F)</f>
        <v>4.5 KG</v>
      </c>
      <c r="H149" s="6" t="s">
        <v>3</v>
      </c>
      <c r="I149" s="2" t="s">
        <v>4864</v>
      </c>
      <c r="J149" s="2" t="s">
        <v>4953</v>
      </c>
      <c r="K149" s="6" t="s">
        <v>4763</v>
      </c>
      <c r="L149" s="14">
        <v>46248</v>
      </c>
      <c r="M149" s="15">
        <v>15</v>
      </c>
      <c r="N149" t="str">
        <f t="shared" si="12"/>
        <v>10019703_2910</v>
      </c>
      <c r="O149" s="6">
        <f>_xlfn.XLOOKUP(N149,Allocation!H:H,Allocation!B:B,0)</f>
        <v>0</v>
      </c>
    </row>
    <row r="150" spans="1:16">
      <c r="A150" t="str">
        <f>_xlfn.XLOOKUP(C:C,'Price List'!C:C,'Price List'!A:A)</f>
        <v>SERENA LEE PR</v>
      </c>
      <c r="B150" s="2" t="s">
        <v>1320</v>
      </c>
      <c r="C150" s="9">
        <v>10019757</v>
      </c>
      <c r="D150" s="2" t="s">
        <v>4954</v>
      </c>
      <c r="E150" s="9" t="s">
        <v>4795</v>
      </c>
      <c r="F150" s="9">
        <f>_xlfn.XLOOKUP(C:C,'Price List'!C:C,'Price List'!E:E)</f>
        <v>2</v>
      </c>
      <c r="G150" s="9" t="str">
        <f>_xlfn.XLOOKUP(C:C,'Price List'!C:C,'Price List'!F:F)</f>
        <v>4.5 KG</v>
      </c>
      <c r="H150" s="6" t="s">
        <v>6</v>
      </c>
      <c r="I150" s="2" t="s">
        <v>4877</v>
      </c>
      <c r="J150" s="2" t="s">
        <v>4955</v>
      </c>
      <c r="K150" s="6" t="s">
        <v>4763</v>
      </c>
      <c r="L150" s="14">
        <v>46248</v>
      </c>
      <c r="M150" s="15">
        <v>11</v>
      </c>
      <c r="N150" t="str">
        <f t="shared" si="12"/>
        <v>10019757_2910</v>
      </c>
      <c r="O150" s="6">
        <f>_xlfn.XLOOKUP(N150,Allocation!H:H,Allocation!E:E,0)</f>
        <v>0</v>
      </c>
      <c r="P150" s="38">
        <f>M150-O150</f>
        <v>11</v>
      </c>
    </row>
    <row r="151" spans="1:16">
      <c r="A151" t="str">
        <f>_xlfn.XLOOKUP(C:C,'Price List'!C:C,'Price List'!A:A)</f>
        <v>SERENA LEE PR</v>
      </c>
      <c r="B151" s="2" t="s">
        <v>1320</v>
      </c>
      <c r="C151" s="9">
        <v>10100363</v>
      </c>
      <c r="D151" s="2" t="s">
        <v>4057</v>
      </c>
      <c r="E151" s="9">
        <f>_xlfn.XLOOKUP(C:C,'Price List'!C:C,'Price List'!K:K)</f>
        <v>0</v>
      </c>
      <c r="F151" s="9">
        <f>_xlfn.XLOOKUP(C:C,'Price List'!C:C,'Price List'!E:E)</f>
        <v>12</v>
      </c>
      <c r="G151" s="9" t="str">
        <f>_xlfn.XLOOKUP(C:C,'Price List'!C:C,'Price List'!F:F)</f>
        <v>200 GR</v>
      </c>
      <c r="H151" s="6" t="s">
        <v>3</v>
      </c>
      <c r="I151" s="2" t="s">
        <v>4864</v>
      </c>
      <c r="J151" s="2" t="s">
        <v>4956</v>
      </c>
      <c r="K151" s="6" t="s">
        <v>4763</v>
      </c>
      <c r="L151" s="14">
        <v>46249</v>
      </c>
      <c r="M151" s="15">
        <v>5</v>
      </c>
      <c r="N151" t="str">
        <f t="shared" si="12"/>
        <v>10100363_2910</v>
      </c>
      <c r="O151" s="6">
        <f>_xlfn.XLOOKUP(N151,Allocation!H:H,Allocation!B:B,0)</f>
        <v>0</v>
      </c>
    </row>
    <row r="152" spans="1:16">
      <c r="A152" t="str">
        <f>_xlfn.XLOOKUP(C:C,'Price List'!C:C,'Price List'!A:A)</f>
        <v>TRACEY LAWRENCE</v>
      </c>
      <c r="B152" s="2" t="s">
        <v>3214</v>
      </c>
      <c r="C152" s="9">
        <v>10067042</v>
      </c>
      <c r="D152" s="2" t="s">
        <v>368</v>
      </c>
      <c r="E152" s="9">
        <f>_xlfn.XLOOKUP(C:C,'Price List'!C:C,'Price List'!K:K)</f>
        <v>0</v>
      </c>
      <c r="F152" s="9">
        <f>_xlfn.XLOOKUP(C:C,'Price List'!C:C,'Price List'!E:E)</f>
        <v>12</v>
      </c>
      <c r="G152" s="9" t="str">
        <f>_xlfn.XLOOKUP(C:C,'Price List'!C:C,'Price List'!F:F)</f>
        <v>156 GR</v>
      </c>
      <c r="H152" s="6" t="s">
        <v>3</v>
      </c>
      <c r="I152" s="2" t="s">
        <v>4864</v>
      </c>
      <c r="J152" s="2" t="s">
        <v>4957</v>
      </c>
      <c r="K152" s="6" t="s">
        <v>4763</v>
      </c>
      <c r="L152" s="14">
        <v>46249</v>
      </c>
      <c r="M152" s="15">
        <v>1</v>
      </c>
      <c r="N152" t="str">
        <f t="shared" si="12"/>
        <v>10067042_2910</v>
      </c>
      <c r="O152" s="6">
        <f>_xlfn.XLOOKUP(N152,Allocation!H:H,Allocation!B:B,0)</f>
        <v>0</v>
      </c>
    </row>
    <row r="153" spans="1:16">
      <c r="A153" t="str">
        <f>_xlfn.XLOOKUP(C:C,'Price List'!C:C,'Price List'!A:A)</f>
        <v>Michael Gambino PR</v>
      </c>
      <c r="B153" s="2" t="s">
        <v>2264</v>
      </c>
      <c r="C153" s="9">
        <v>10045485</v>
      </c>
      <c r="D153" s="2" t="s">
        <v>540</v>
      </c>
      <c r="E153" s="9">
        <f>_xlfn.XLOOKUP(C:C,'Price List'!C:C,'Price List'!K:K)</f>
        <v>0</v>
      </c>
      <c r="F153" s="9">
        <f>_xlfn.XLOOKUP(C:C,'Price List'!C:C,'Price List'!E:E)</f>
        <v>8</v>
      </c>
      <c r="G153" s="9" t="str">
        <f>_xlfn.XLOOKUP(C:C,'Price List'!C:C,'Price List'!F:F)</f>
        <v>198 GR</v>
      </c>
      <c r="H153" s="6" t="s">
        <v>3</v>
      </c>
      <c r="I153" s="2" t="s">
        <v>4864</v>
      </c>
      <c r="J153" s="2" t="s">
        <v>4958</v>
      </c>
      <c r="K153" s="6" t="s">
        <v>4763</v>
      </c>
      <c r="L153" s="14">
        <v>46249</v>
      </c>
      <c r="M153" s="15">
        <v>4</v>
      </c>
      <c r="N153" t="str">
        <f t="shared" si="12"/>
        <v>10045485_2910</v>
      </c>
      <c r="O153" s="6">
        <f>_xlfn.XLOOKUP(N153,Allocation!H:H,Allocation!B:B,0)</f>
        <v>0</v>
      </c>
    </row>
    <row r="154" spans="1:16">
      <c r="A154" t="str">
        <f>_xlfn.XLOOKUP(C:C,'Price List'!C:C,'Price List'!A:A)</f>
        <v>AMOL PRAKASH</v>
      </c>
      <c r="B154" s="2" t="s">
        <v>664</v>
      </c>
      <c r="C154" s="9">
        <v>10003061</v>
      </c>
      <c r="D154" s="2" t="s">
        <v>261</v>
      </c>
      <c r="E154" s="9">
        <f>_xlfn.XLOOKUP(C:C,'Price List'!C:C,'Price List'!K:K)</f>
        <v>0</v>
      </c>
      <c r="F154" s="9">
        <f>_xlfn.XLOOKUP(C:C,'Price List'!C:C,'Price List'!E:E)</f>
        <v>8</v>
      </c>
      <c r="G154" s="9" t="str">
        <f>_xlfn.XLOOKUP(C:C,'Price List'!C:C,'Price List'!F:F)</f>
        <v>3X200 ML</v>
      </c>
      <c r="H154" s="6" t="s">
        <v>4</v>
      </c>
      <c r="I154" s="2" t="s">
        <v>4764</v>
      </c>
      <c r="J154" s="2" t="s">
        <v>4959</v>
      </c>
      <c r="K154" s="6" t="s">
        <v>4763</v>
      </c>
      <c r="L154" s="14">
        <v>46249</v>
      </c>
      <c r="M154" s="15">
        <v>33</v>
      </c>
      <c r="N154" t="str">
        <f t="shared" si="12"/>
        <v>10003061_2910</v>
      </c>
      <c r="O154" s="6">
        <f>_xlfn.XLOOKUP(N154,Allocation!H:H,Allocation!C:C,0)</f>
        <v>0</v>
      </c>
      <c r="P154" s="38">
        <f>M154-O154</f>
        <v>33</v>
      </c>
    </row>
    <row r="155" spans="1:16">
      <c r="A155" t="str">
        <f>_xlfn.XLOOKUP(C:C,'Price List'!C:C,'Price List'!A:A)</f>
        <v>NISA DELEON</v>
      </c>
      <c r="B155" s="2" t="s">
        <v>2385</v>
      </c>
      <c r="C155" s="9">
        <v>10050609</v>
      </c>
      <c r="D155" s="2" t="s">
        <v>267</v>
      </c>
      <c r="E155" s="9">
        <f>_xlfn.XLOOKUP(C:C,'Price List'!C:C,'Price List'!K:K)</f>
        <v>0</v>
      </c>
      <c r="F155" s="9">
        <f>_xlfn.XLOOKUP(C:C,'Price List'!C:C,'Price List'!E:E)</f>
        <v>12</v>
      </c>
      <c r="G155" s="9" t="str">
        <f>_xlfn.XLOOKUP(C:C,'Price List'!C:C,'Price List'!F:F)</f>
        <v>68 GR</v>
      </c>
      <c r="H155" s="6" t="s">
        <v>6</v>
      </c>
      <c r="I155" s="2" t="s">
        <v>4877</v>
      </c>
      <c r="J155" s="2" t="s">
        <v>4960</v>
      </c>
      <c r="K155" s="6" t="s">
        <v>4763</v>
      </c>
      <c r="L155" s="14">
        <v>46249</v>
      </c>
      <c r="M155" s="15">
        <v>99</v>
      </c>
      <c r="N155" t="str">
        <f t="shared" si="12"/>
        <v>10050609_2910</v>
      </c>
      <c r="O155" s="6">
        <f>_xlfn.XLOOKUP(N155,Allocation!H:H,Allocation!E:E,0)</f>
        <v>99</v>
      </c>
      <c r="P155" s="38">
        <f t="shared" ref="P155:P163" si="16">M155-O155</f>
        <v>0</v>
      </c>
    </row>
    <row r="156" spans="1:16">
      <c r="A156" t="str">
        <f>_xlfn.XLOOKUP(C:C,'Price List'!C:C,'Price List'!A:A)</f>
        <v>AMOL PRAKASH</v>
      </c>
      <c r="B156" s="2" t="s">
        <v>664</v>
      </c>
      <c r="C156" s="9">
        <v>10003061</v>
      </c>
      <c r="D156" s="2" t="s">
        <v>261</v>
      </c>
      <c r="E156" s="9">
        <f>_xlfn.XLOOKUP(C:C,'Price List'!C:C,'Price List'!K:K)</f>
        <v>0</v>
      </c>
      <c r="F156" s="9">
        <f>_xlfn.XLOOKUP(C:C,'Price List'!C:C,'Price List'!E:E)</f>
        <v>8</v>
      </c>
      <c r="G156" s="9" t="str">
        <f>_xlfn.XLOOKUP(C:C,'Price List'!C:C,'Price List'!F:F)</f>
        <v>3X200 ML</v>
      </c>
      <c r="H156" s="6" t="s">
        <v>6</v>
      </c>
      <c r="I156" s="2" t="s">
        <v>4877</v>
      </c>
      <c r="J156" s="2" t="s">
        <v>4959</v>
      </c>
      <c r="K156" s="6" t="s">
        <v>4763</v>
      </c>
      <c r="L156" s="14">
        <v>46249</v>
      </c>
      <c r="M156" s="15">
        <v>15</v>
      </c>
      <c r="N156" t="str">
        <f t="shared" si="12"/>
        <v>10003061_2910</v>
      </c>
      <c r="O156" s="6">
        <f>_xlfn.XLOOKUP(N156,Allocation!H:H,Allocation!E:E,0)</f>
        <v>0</v>
      </c>
      <c r="P156" s="38">
        <f t="shared" si="16"/>
        <v>15</v>
      </c>
    </row>
    <row r="157" spans="1:16">
      <c r="A157" t="str">
        <f>_xlfn.XLOOKUP(C:C,'Price List'!C:C,'Price List'!A:A)</f>
        <v>Michael Gambino PR</v>
      </c>
      <c r="B157" s="2" t="s">
        <v>2264</v>
      </c>
      <c r="C157" s="9">
        <v>10045483</v>
      </c>
      <c r="D157" s="2" t="s">
        <v>383</v>
      </c>
      <c r="E157" s="9">
        <f>_xlfn.XLOOKUP(C:C,'Price List'!C:C,'Price List'!K:K)</f>
        <v>0</v>
      </c>
      <c r="F157" s="9">
        <f>_xlfn.XLOOKUP(C:C,'Price List'!C:C,'Price List'!E:E)</f>
        <v>8</v>
      </c>
      <c r="G157" s="9" t="str">
        <f>_xlfn.XLOOKUP(C:C,'Price List'!C:C,'Price List'!F:F)</f>
        <v>198 GR</v>
      </c>
      <c r="H157" s="6" t="s">
        <v>6</v>
      </c>
      <c r="I157" s="2" t="s">
        <v>4877</v>
      </c>
      <c r="J157" s="2" t="s">
        <v>4961</v>
      </c>
      <c r="K157" s="6" t="s">
        <v>4763</v>
      </c>
      <c r="L157" s="14">
        <v>46249</v>
      </c>
      <c r="M157" s="15">
        <v>17</v>
      </c>
      <c r="N157" t="str">
        <f t="shared" si="12"/>
        <v>10045483_2910</v>
      </c>
      <c r="O157" s="6">
        <f>_xlfn.XLOOKUP(N157,Allocation!H:H,Allocation!E:E,0)</f>
        <v>0</v>
      </c>
      <c r="P157" s="38">
        <f t="shared" si="16"/>
        <v>17</v>
      </c>
    </row>
    <row r="158" spans="1:16">
      <c r="A158" t="str">
        <f>_xlfn.XLOOKUP(C:C,'Price List'!C:C,'Price List'!A:A)</f>
        <v>TRACEY LAWRENCE</v>
      </c>
      <c r="B158" s="2" t="s">
        <v>1501</v>
      </c>
      <c r="C158" s="9">
        <v>10029943</v>
      </c>
      <c r="D158" s="2" t="s">
        <v>524</v>
      </c>
      <c r="E158" s="9">
        <f>_xlfn.XLOOKUP(C:C,'Price List'!C:C,'Price List'!K:K)</f>
        <v>0</v>
      </c>
      <c r="F158" s="9">
        <f>_xlfn.XLOOKUP(C:C,'Price List'!C:C,'Price List'!E:E)</f>
        <v>12</v>
      </c>
      <c r="G158" s="9" t="str">
        <f>_xlfn.XLOOKUP(C:C,'Price List'!C:C,'Price List'!F:F)</f>
        <v>240 GR</v>
      </c>
      <c r="H158" s="6" t="s">
        <v>6</v>
      </c>
      <c r="I158" s="2" t="s">
        <v>4877</v>
      </c>
      <c r="J158" s="2" t="s">
        <v>4962</v>
      </c>
      <c r="K158" s="6" t="s">
        <v>4763</v>
      </c>
      <c r="L158" s="14">
        <v>46249</v>
      </c>
      <c r="M158" s="15">
        <v>36</v>
      </c>
      <c r="N158" t="str">
        <f t="shared" si="12"/>
        <v>10029943_2910</v>
      </c>
      <c r="O158" s="6">
        <f>_xlfn.XLOOKUP(N158,Allocation!H:H,Allocation!E:E,0)</f>
        <v>0</v>
      </c>
      <c r="P158" s="38">
        <f t="shared" si="16"/>
        <v>36</v>
      </c>
    </row>
    <row r="159" spans="1:16">
      <c r="A159" t="str">
        <f>_xlfn.XLOOKUP(C:C,'Price List'!C:C,'Price List'!A:A)</f>
        <v>TRACEY LAWRENCE</v>
      </c>
      <c r="B159" s="2" t="s">
        <v>1501</v>
      </c>
      <c r="C159" s="9">
        <v>10029943</v>
      </c>
      <c r="D159" s="2" t="s">
        <v>524</v>
      </c>
      <c r="E159" s="9">
        <f>_xlfn.XLOOKUP(C:C,'Price List'!C:C,'Price List'!K:K)</f>
        <v>0</v>
      </c>
      <c r="F159" s="9">
        <f>_xlfn.XLOOKUP(C:C,'Price List'!C:C,'Price List'!E:E)</f>
        <v>12</v>
      </c>
      <c r="G159" s="9" t="str">
        <f>_xlfn.XLOOKUP(C:C,'Price List'!C:C,'Price List'!F:F)</f>
        <v>240 GR</v>
      </c>
      <c r="H159" s="6" t="s">
        <v>6</v>
      </c>
      <c r="I159" s="2" t="s">
        <v>4877</v>
      </c>
      <c r="J159" s="2" t="s">
        <v>4963</v>
      </c>
      <c r="K159" s="6" t="s">
        <v>4763</v>
      </c>
      <c r="L159" s="14">
        <v>46249</v>
      </c>
      <c r="M159" s="15">
        <v>79</v>
      </c>
      <c r="N159" t="str">
        <f t="shared" si="12"/>
        <v>10029943_2910</v>
      </c>
      <c r="O159" s="6">
        <f>_xlfn.XLOOKUP(N159,Allocation!H:H,Allocation!E:E,0)</f>
        <v>0</v>
      </c>
      <c r="P159" s="38">
        <f t="shared" si="16"/>
        <v>79</v>
      </c>
    </row>
    <row r="160" spans="1:16">
      <c r="A160" t="str">
        <f>_xlfn.XLOOKUP(C:C,'Price List'!C:C,'Price List'!A:A)</f>
        <v>TRACEY LAWRENCE</v>
      </c>
      <c r="B160" s="2" t="s">
        <v>1501</v>
      </c>
      <c r="C160" s="9">
        <v>10029943</v>
      </c>
      <c r="D160" s="2" t="s">
        <v>524</v>
      </c>
      <c r="E160" s="9">
        <f>_xlfn.XLOOKUP(C:C,'Price List'!C:C,'Price List'!K:K)</f>
        <v>0</v>
      </c>
      <c r="F160" s="9">
        <f>_xlfn.XLOOKUP(C:C,'Price List'!C:C,'Price List'!E:E)</f>
        <v>12</v>
      </c>
      <c r="G160" s="9" t="str">
        <f>_xlfn.XLOOKUP(C:C,'Price List'!C:C,'Price List'!F:F)</f>
        <v>240 GR</v>
      </c>
      <c r="H160" s="6" t="s">
        <v>6</v>
      </c>
      <c r="I160" s="2" t="s">
        <v>4877</v>
      </c>
      <c r="J160" s="2" t="s">
        <v>4964</v>
      </c>
      <c r="K160" s="6" t="s">
        <v>4763</v>
      </c>
      <c r="L160" s="14">
        <v>46249</v>
      </c>
      <c r="M160" s="15">
        <v>89</v>
      </c>
      <c r="N160" t="str">
        <f t="shared" si="12"/>
        <v>10029943_2910</v>
      </c>
      <c r="O160" s="6">
        <f>_xlfn.XLOOKUP(N160,Allocation!H:H,Allocation!E:E,0)</f>
        <v>0</v>
      </c>
      <c r="P160" s="38">
        <f t="shared" si="16"/>
        <v>89</v>
      </c>
    </row>
    <row r="161" spans="1:16">
      <c r="A161" t="str">
        <f>_xlfn.XLOOKUP(C:C,'Price List'!C:C,'Price List'!A:A)</f>
        <v>TRACEY LAWRENCE</v>
      </c>
      <c r="B161" s="2" t="s">
        <v>1501</v>
      </c>
      <c r="C161" s="9">
        <v>10029944</v>
      </c>
      <c r="D161" s="2" t="s">
        <v>507</v>
      </c>
      <c r="E161" s="9">
        <f>_xlfn.XLOOKUP(C:C,'Price List'!C:C,'Price List'!K:K)</f>
        <v>0</v>
      </c>
      <c r="F161" s="9">
        <f>_xlfn.XLOOKUP(C:C,'Price List'!C:C,'Price List'!E:E)</f>
        <v>12</v>
      </c>
      <c r="G161" s="9" t="str">
        <f>_xlfn.XLOOKUP(C:C,'Price List'!C:C,'Price List'!F:F)</f>
        <v>240 GR</v>
      </c>
      <c r="H161" s="6" t="s">
        <v>6</v>
      </c>
      <c r="I161" s="2" t="s">
        <v>4877</v>
      </c>
      <c r="J161" s="2" t="s">
        <v>4965</v>
      </c>
      <c r="K161" s="6" t="s">
        <v>4763</v>
      </c>
      <c r="L161" s="14">
        <v>46249</v>
      </c>
      <c r="M161" s="15">
        <v>47</v>
      </c>
      <c r="N161" t="str">
        <f t="shared" si="12"/>
        <v>10029944_2910</v>
      </c>
      <c r="O161" s="6">
        <f>_xlfn.XLOOKUP(N161,Allocation!H:H,Allocation!E:E,0)</f>
        <v>0</v>
      </c>
      <c r="P161" s="38">
        <f t="shared" si="16"/>
        <v>47</v>
      </c>
    </row>
    <row r="162" spans="1:16">
      <c r="A162" t="str">
        <f>_xlfn.XLOOKUP(C:C,'Price List'!C:C,'Price List'!A:A)</f>
        <v>TRACEY LAWRENCE</v>
      </c>
      <c r="B162" s="2" t="s">
        <v>1501</v>
      </c>
      <c r="C162" s="9">
        <v>10029944</v>
      </c>
      <c r="D162" s="2" t="s">
        <v>507</v>
      </c>
      <c r="E162" s="9">
        <f>_xlfn.XLOOKUP(C:C,'Price List'!C:C,'Price List'!K:K)</f>
        <v>0</v>
      </c>
      <c r="F162" s="9">
        <f>_xlfn.XLOOKUP(C:C,'Price List'!C:C,'Price List'!E:E)</f>
        <v>12</v>
      </c>
      <c r="G162" s="9" t="str">
        <f>_xlfn.XLOOKUP(C:C,'Price List'!C:C,'Price List'!F:F)</f>
        <v>240 GR</v>
      </c>
      <c r="H162" s="6" t="s">
        <v>6</v>
      </c>
      <c r="I162" s="2" t="s">
        <v>4877</v>
      </c>
      <c r="J162" s="2" t="s">
        <v>4962</v>
      </c>
      <c r="K162" s="6" t="s">
        <v>4763</v>
      </c>
      <c r="L162" s="14">
        <v>46249</v>
      </c>
      <c r="M162" s="15">
        <v>28</v>
      </c>
      <c r="N162" t="str">
        <f t="shared" si="12"/>
        <v>10029944_2910</v>
      </c>
      <c r="O162" s="6">
        <f>_xlfn.XLOOKUP(N162,Allocation!H:H,Allocation!E:E,0)</f>
        <v>0</v>
      </c>
      <c r="P162" s="38">
        <f t="shared" si="16"/>
        <v>28</v>
      </c>
    </row>
    <row r="163" spans="1:16">
      <c r="A163" t="str">
        <f>_xlfn.XLOOKUP(C:C,'Price List'!C:C,'Price List'!A:A)</f>
        <v>TRACEY LAWRENCE</v>
      </c>
      <c r="B163" s="2" t="s">
        <v>1261</v>
      </c>
      <c r="C163" s="9">
        <v>10018678</v>
      </c>
      <c r="D163" s="2" t="s">
        <v>4966</v>
      </c>
      <c r="E163" s="9">
        <f>_xlfn.XLOOKUP(C:C,'Price List'!C:C,'Price List'!K:K)</f>
        <v>0</v>
      </c>
      <c r="F163" s="9">
        <f>_xlfn.XLOOKUP(C:C,'Price List'!C:C,'Price List'!E:E)</f>
        <v>12</v>
      </c>
      <c r="G163" s="9" t="str">
        <f>_xlfn.XLOOKUP(C:C,'Price List'!C:C,'Price List'!F:F)</f>
        <v>340 GR</v>
      </c>
      <c r="H163" s="6" t="s">
        <v>6</v>
      </c>
      <c r="I163" s="2" t="s">
        <v>4877</v>
      </c>
      <c r="J163" s="2" t="s">
        <v>4967</v>
      </c>
      <c r="K163" s="6" t="s">
        <v>4763</v>
      </c>
      <c r="L163" s="14">
        <v>46249</v>
      </c>
      <c r="M163" s="15">
        <v>59</v>
      </c>
      <c r="N163" t="str">
        <f t="shared" si="12"/>
        <v>10018678_2910</v>
      </c>
      <c r="O163" s="6">
        <f>_xlfn.XLOOKUP(N163,Allocation!H:H,Allocation!E:E,0)</f>
        <v>0</v>
      </c>
      <c r="P163" s="38">
        <f t="shared" si="16"/>
        <v>59</v>
      </c>
    </row>
    <row r="164" spans="1:16">
      <c r="A164" t="str">
        <f>_xlfn.XLOOKUP(C:C,'Price List'!C:C,'Price List'!A:A)</f>
        <v>SERENA LEE PR</v>
      </c>
      <c r="B164" s="2" t="s">
        <v>1320</v>
      </c>
      <c r="C164" s="9">
        <v>10019707</v>
      </c>
      <c r="D164" s="2" t="s">
        <v>319</v>
      </c>
      <c r="E164" s="9" t="s">
        <v>4795</v>
      </c>
      <c r="F164" s="9">
        <f>_xlfn.XLOOKUP(C:C,'Price List'!C:C,'Price List'!E:E)</f>
        <v>1</v>
      </c>
      <c r="G164" s="9" t="str">
        <f>_xlfn.XLOOKUP(C:C,'Price List'!C:C,'Price List'!F:F)</f>
        <v>2.5 KG</v>
      </c>
      <c r="H164" s="6" t="s">
        <v>3</v>
      </c>
      <c r="I164" s="2" t="s">
        <v>4864</v>
      </c>
      <c r="J164" s="2" t="s">
        <v>4968</v>
      </c>
      <c r="K164" s="6" t="s">
        <v>4763</v>
      </c>
      <c r="L164" s="14">
        <v>46250</v>
      </c>
      <c r="M164" s="15">
        <v>5</v>
      </c>
      <c r="N164" t="str">
        <f t="shared" si="12"/>
        <v>10019707_2910</v>
      </c>
      <c r="O164" s="6">
        <f>_xlfn.XLOOKUP(N164,Allocation!H:H,Allocation!B:B,0)</f>
        <v>0</v>
      </c>
    </row>
    <row r="165" spans="1:16">
      <c r="A165" t="str">
        <f>_xlfn.XLOOKUP(C:C,'Price List'!C:C,'Price List'!A:A)</f>
        <v>SERENA LEE PR</v>
      </c>
      <c r="B165" s="2" t="s">
        <v>1320</v>
      </c>
      <c r="C165" s="9">
        <v>10019707</v>
      </c>
      <c r="D165" s="2" t="s">
        <v>319</v>
      </c>
      <c r="E165" s="9" t="s">
        <v>4795</v>
      </c>
      <c r="F165" s="9">
        <f>_xlfn.XLOOKUP(C:C,'Price List'!C:C,'Price List'!E:E)</f>
        <v>1</v>
      </c>
      <c r="G165" s="9" t="str">
        <f>_xlfn.XLOOKUP(C:C,'Price List'!C:C,'Price List'!F:F)</f>
        <v>2.5 KG</v>
      </c>
      <c r="H165" s="6" t="s">
        <v>3</v>
      </c>
      <c r="I165" s="2" t="s">
        <v>4864</v>
      </c>
      <c r="J165" s="2" t="s">
        <v>4969</v>
      </c>
      <c r="K165" s="6" t="s">
        <v>4763</v>
      </c>
      <c r="L165" s="14">
        <v>46250</v>
      </c>
      <c r="M165" s="15">
        <v>1</v>
      </c>
      <c r="N165" t="str">
        <f t="shared" si="12"/>
        <v>10019707_2910</v>
      </c>
      <c r="O165" s="6">
        <f>_xlfn.XLOOKUP(N165,Allocation!H:H,Allocation!B:B,0)</f>
        <v>0</v>
      </c>
    </row>
    <row r="166" spans="1:16">
      <c r="A166" t="str">
        <f>_xlfn.XLOOKUP(C:C,'Price List'!C:C,'Price List'!A:A)</f>
        <v>ANABELA NEVES PR</v>
      </c>
      <c r="B166" s="2" t="s">
        <v>3743</v>
      </c>
      <c r="C166" s="9">
        <v>10100031</v>
      </c>
      <c r="D166" s="2" t="s">
        <v>304</v>
      </c>
      <c r="E166" s="9">
        <f>_xlfn.XLOOKUP(C:C,'Price List'!C:C,'Price List'!K:K)</f>
        <v>0</v>
      </c>
      <c r="F166" s="9">
        <f>_xlfn.XLOOKUP(C:C,'Price List'!C:C,'Price List'!E:E)</f>
        <v>8</v>
      </c>
      <c r="G166" s="9" t="str">
        <f>_xlfn.XLOOKUP(C:C,'Price List'!C:C,'Price List'!F:F)</f>
        <v>125 GR</v>
      </c>
      <c r="H166" s="6" t="s">
        <v>3</v>
      </c>
      <c r="I166" s="2" t="s">
        <v>4864</v>
      </c>
      <c r="J166" s="2" t="s">
        <v>4970</v>
      </c>
      <c r="K166" s="6" t="s">
        <v>4763</v>
      </c>
      <c r="L166" s="14">
        <v>46250</v>
      </c>
      <c r="M166" s="15">
        <v>1</v>
      </c>
      <c r="N166" t="str">
        <f t="shared" si="12"/>
        <v>10100031_2910</v>
      </c>
      <c r="O166" s="6">
        <f>_xlfn.XLOOKUP(N166,Allocation!H:H,Allocation!B:B,0)</f>
        <v>0</v>
      </c>
    </row>
    <row r="167" spans="1:16">
      <c r="A167" t="str">
        <f>_xlfn.XLOOKUP(C:C,'Price List'!C:C,'Price List'!A:A)</f>
        <v>AMOL PRAKASH</v>
      </c>
      <c r="B167" s="2" t="s">
        <v>2362</v>
      </c>
      <c r="C167" s="9">
        <v>10058342</v>
      </c>
      <c r="D167" s="2" t="s">
        <v>428</v>
      </c>
      <c r="E167" s="9">
        <f>_xlfn.XLOOKUP(C:C,'Price List'!C:C,'Price List'!K:K)</f>
        <v>0</v>
      </c>
      <c r="F167" s="9">
        <f>_xlfn.XLOOKUP(C:C,'Price List'!C:C,'Price List'!E:E)</f>
        <v>6</v>
      </c>
      <c r="G167" s="9" t="str">
        <f>_xlfn.XLOOKUP(C:C,'Price List'!C:C,'Price List'!F:F)</f>
        <v>40 GR</v>
      </c>
      <c r="H167" s="6" t="s">
        <v>4</v>
      </c>
      <c r="I167" s="2" t="s">
        <v>4764</v>
      </c>
      <c r="J167" s="2" t="s">
        <v>4971</v>
      </c>
      <c r="K167" s="6" t="s">
        <v>4763</v>
      </c>
      <c r="L167" s="14">
        <v>46250</v>
      </c>
      <c r="M167" s="15">
        <v>33</v>
      </c>
      <c r="N167" t="str">
        <f t="shared" si="12"/>
        <v>10058342_2910</v>
      </c>
      <c r="O167" s="6">
        <f>_xlfn.XLOOKUP(N167,Allocation!H:H,Allocation!C:C,0)</f>
        <v>0</v>
      </c>
      <c r="P167" s="38">
        <f>M167-O167</f>
        <v>33</v>
      </c>
    </row>
    <row r="168" spans="1:16">
      <c r="A168" t="str">
        <f>_xlfn.XLOOKUP(C:C,'Price List'!C:C,'Price List'!A:A)</f>
        <v>ANABELA NEVES PR</v>
      </c>
      <c r="B168" s="2" t="s">
        <v>3005</v>
      </c>
      <c r="C168" s="9">
        <v>10061060</v>
      </c>
      <c r="D168" s="2" t="s">
        <v>456</v>
      </c>
      <c r="E168" s="9">
        <f>_xlfn.XLOOKUP(C:C,'Price List'!C:C,'Price List'!K:K)</f>
        <v>0</v>
      </c>
      <c r="F168" s="9">
        <f>_xlfn.XLOOKUP(C:C,'Price List'!C:C,'Price List'!E:E)</f>
        <v>20</v>
      </c>
      <c r="G168" s="9" t="str">
        <f>_xlfn.XLOOKUP(C:C,'Price List'!C:C,'Price List'!F:F)</f>
        <v>35 GR</v>
      </c>
      <c r="H168" s="6" t="s">
        <v>3</v>
      </c>
      <c r="I168" s="2" t="s">
        <v>4864</v>
      </c>
      <c r="J168" s="2" t="s">
        <v>4972</v>
      </c>
      <c r="K168" s="6" t="s">
        <v>4763</v>
      </c>
      <c r="L168" s="14">
        <v>46251</v>
      </c>
      <c r="M168" s="15">
        <v>10</v>
      </c>
      <c r="N168" t="str">
        <f t="shared" si="12"/>
        <v>10061060_2910</v>
      </c>
      <c r="O168" s="6">
        <f>_xlfn.XLOOKUP(N168,Allocation!H:H,Allocation!B:B,0)</f>
        <v>0</v>
      </c>
    </row>
    <row r="169" spans="1:16">
      <c r="A169" t="str">
        <f>_xlfn.XLOOKUP(C:C,'Price List'!C:C,'Price List'!A:A)</f>
        <v>ANABELA NEVES PR</v>
      </c>
      <c r="B169" s="2" t="s">
        <v>3005</v>
      </c>
      <c r="C169" s="9">
        <v>10061060</v>
      </c>
      <c r="D169" s="2" t="s">
        <v>456</v>
      </c>
      <c r="E169" s="9">
        <f>_xlfn.XLOOKUP(C:C,'Price List'!C:C,'Price List'!K:K)</f>
        <v>0</v>
      </c>
      <c r="F169" s="9">
        <f>_xlfn.XLOOKUP(C:C,'Price List'!C:C,'Price List'!E:E)</f>
        <v>20</v>
      </c>
      <c r="G169" s="9" t="str">
        <f>_xlfn.XLOOKUP(C:C,'Price List'!C:C,'Price List'!F:F)</f>
        <v>35 GR</v>
      </c>
      <c r="H169" s="6" t="s">
        <v>6</v>
      </c>
      <c r="I169" s="2" t="s">
        <v>4877</v>
      </c>
      <c r="J169" s="2" t="s">
        <v>4972</v>
      </c>
      <c r="K169" s="6" t="s">
        <v>4763</v>
      </c>
      <c r="L169" s="14">
        <v>46251</v>
      </c>
      <c r="M169" s="15">
        <v>1</v>
      </c>
      <c r="N169" t="str">
        <f t="shared" si="12"/>
        <v>10061060_2910</v>
      </c>
      <c r="O169" s="6">
        <f>_xlfn.XLOOKUP(N169,Allocation!H:H,Allocation!E:E,0)</f>
        <v>0</v>
      </c>
      <c r="P169" s="38">
        <f t="shared" ref="P169:P170" si="17">M169-O169</f>
        <v>1</v>
      </c>
    </row>
    <row r="170" spans="1:16">
      <c r="A170" t="str">
        <f>_xlfn.XLOOKUP(C:C,'Price List'!C:C,'Price List'!A:A)</f>
        <v>JASON MULDOON PT</v>
      </c>
      <c r="B170" s="2" t="s">
        <v>2671</v>
      </c>
      <c r="C170" s="9">
        <v>10054147</v>
      </c>
      <c r="D170" s="2" t="s">
        <v>537</v>
      </c>
      <c r="E170" s="9">
        <f>_xlfn.XLOOKUP(C:C,'Price List'!C:C,'Price List'!K:K)</f>
        <v>0</v>
      </c>
      <c r="F170" s="9">
        <f>_xlfn.XLOOKUP(C:C,'Price List'!C:C,'Price List'!E:E)</f>
        <v>12</v>
      </c>
      <c r="G170" s="9" t="str">
        <f>_xlfn.XLOOKUP(C:C,'Price List'!C:C,'Price List'!F:F)</f>
        <v>55 GR</v>
      </c>
      <c r="H170" s="6" t="s">
        <v>6</v>
      </c>
      <c r="I170" s="2" t="s">
        <v>4877</v>
      </c>
      <c r="J170" s="2" t="s">
        <v>4973</v>
      </c>
      <c r="K170" s="6" t="s">
        <v>4763</v>
      </c>
      <c r="L170" s="14">
        <v>46252</v>
      </c>
      <c r="M170" s="15">
        <v>55</v>
      </c>
      <c r="N170" t="str">
        <f t="shared" si="12"/>
        <v>10054147_2910</v>
      </c>
      <c r="O170" s="6">
        <f>_xlfn.XLOOKUP(N170,Allocation!H:H,Allocation!E:E,0)</f>
        <v>0</v>
      </c>
      <c r="P170" s="38">
        <f t="shared" si="17"/>
        <v>55</v>
      </c>
    </row>
    <row r="171" spans="1:16">
      <c r="A171" t="str">
        <f>_xlfn.XLOOKUP(C:C,'Price List'!C:C,'Price List'!A:A)</f>
        <v>AMOL PRAKASH</v>
      </c>
      <c r="B171" s="2" t="s">
        <v>2397</v>
      </c>
      <c r="C171" s="9">
        <v>10050271</v>
      </c>
      <c r="D171" s="2" t="s">
        <v>4974</v>
      </c>
      <c r="E171" s="9">
        <f>_xlfn.XLOOKUP(C:C,'Price List'!C:C,'Price List'!K:K)</f>
        <v>0</v>
      </c>
      <c r="F171" s="9">
        <f>_xlfn.XLOOKUP(C:C,'Price List'!C:C,'Price List'!E:E)</f>
        <v>12</v>
      </c>
      <c r="G171" s="9" t="str">
        <f>_xlfn.XLOOKUP(C:C,'Price List'!C:C,'Price List'!F:F)</f>
        <v>500 GR</v>
      </c>
      <c r="H171" s="6" t="s">
        <v>3</v>
      </c>
      <c r="I171" s="2" t="s">
        <v>4864</v>
      </c>
      <c r="J171" s="2" t="s">
        <v>4975</v>
      </c>
      <c r="K171" s="6" t="s">
        <v>4763</v>
      </c>
      <c r="L171" s="14">
        <v>46253</v>
      </c>
      <c r="M171" s="15">
        <v>1</v>
      </c>
      <c r="N171" t="str">
        <f t="shared" si="12"/>
        <v>10050271_2910</v>
      </c>
      <c r="O171" s="6">
        <f>_xlfn.XLOOKUP(N171,Allocation!H:H,Allocation!B:B,0)</f>
        <v>0</v>
      </c>
    </row>
    <row r="172" spans="1:16">
      <c r="A172" t="str">
        <f>_xlfn.XLOOKUP(C:C,'Price List'!C:C,'Price List'!A:A)</f>
        <v>JASON MULDOON PT</v>
      </c>
      <c r="B172" s="2" t="s">
        <v>2110</v>
      </c>
      <c r="C172" s="9">
        <v>10040459</v>
      </c>
      <c r="D172" s="2" t="s">
        <v>2111</v>
      </c>
      <c r="E172" s="9">
        <f>_xlfn.XLOOKUP(C:C,'Price List'!C:C,'Price List'!K:K)</f>
        <v>0</v>
      </c>
      <c r="F172" s="9">
        <f>_xlfn.XLOOKUP(C:C,'Price List'!C:C,'Price List'!E:E)</f>
        <v>12</v>
      </c>
      <c r="G172" s="9" t="str">
        <f>_xlfn.XLOOKUP(C:C,'Price List'!C:C,'Price List'!F:F)</f>
        <v>568 GR</v>
      </c>
      <c r="H172" s="6" t="s">
        <v>3</v>
      </c>
      <c r="I172" s="2" t="s">
        <v>4864</v>
      </c>
      <c r="J172" s="2" t="s">
        <v>4976</v>
      </c>
      <c r="K172" s="6" t="s">
        <v>4763</v>
      </c>
      <c r="L172" s="14">
        <v>46253</v>
      </c>
      <c r="M172" s="15">
        <v>1</v>
      </c>
      <c r="N172" t="str">
        <f t="shared" si="12"/>
        <v>10040459_2910</v>
      </c>
      <c r="O172" s="6">
        <f>_xlfn.XLOOKUP(N172,Allocation!H:H,Allocation!B:B,0)</f>
        <v>0</v>
      </c>
    </row>
    <row r="173" spans="1:16">
      <c r="A173" t="str">
        <f>_xlfn.XLOOKUP(C:C,'Price List'!C:C,'Price List'!A:A)</f>
        <v>ASIF AHMAD GB</v>
      </c>
      <c r="B173" s="2" t="s">
        <v>1300</v>
      </c>
      <c r="C173" s="9">
        <v>10019133</v>
      </c>
      <c r="D173" s="2" t="s">
        <v>4977</v>
      </c>
      <c r="E173" s="9">
        <f>_xlfn.XLOOKUP(C:C,'Price List'!C:C,'Price List'!K:K)</f>
        <v>0</v>
      </c>
      <c r="F173" s="9">
        <f>_xlfn.XLOOKUP(C:C,'Price List'!C:C,'Price List'!E:E)</f>
        <v>24</v>
      </c>
      <c r="G173" s="9" t="str">
        <f>_xlfn.XLOOKUP(C:C,'Price List'!C:C,'Price List'!F:F)</f>
        <v>330 ML</v>
      </c>
      <c r="H173" s="6" t="s">
        <v>4</v>
      </c>
      <c r="I173" s="2" t="s">
        <v>4764</v>
      </c>
      <c r="J173" s="2" t="s">
        <v>4978</v>
      </c>
      <c r="K173" s="6" t="s">
        <v>4763</v>
      </c>
      <c r="L173" s="14">
        <v>46253</v>
      </c>
      <c r="M173" s="15">
        <v>403</v>
      </c>
      <c r="N173" t="str">
        <f t="shared" si="12"/>
        <v>10019133_2910</v>
      </c>
      <c r="O173" s="6">
        <f>_xlfn.XLOOKUP(N173,Allocation!H:H,Allocation!C:C,0)</f>
        <v>0</v>
      </c>
      <c r="P173" s="38">
        <f>M173-O173</f>
        <v>403</v>
      </c>
    </row>
    <row r="174" spans="1:16">
      <c r="A174" t="str">
        <f>_xlfn.XLOOKUP(C:C,'Price List'!C:C,'Price List'!A:A)</f>
        <v>ASIF AHMAD GB</v>
      </c>
      <c r="B174" s="2" t="s">
        <v>1300</v>
      </c>
      <c r="C174" s="9">
        <v>10019133</v>
      </c>
      <c r="D174" s="2" t="s">
        <v>4977</v>
      </c>
      <c r="E174" s="9">
        <f>_xlfn.XLOOKUP(C:C,'Price List'!C:C,'Price List'!K:K)</f>
        <v>0</v>
      </c>
      <c r="F174" s="9">
        <f>_xlfn.XLOOKUP(C:C,'Price List'!C:C,'Price List'!E:E)</f>
        <v>24</v>
      </c>
      <c r="G174" s="9" t="str">
        <f>_xlfn.XLOOKUP(C:C,'Price List'!C:C,'Price List'!F:F)</f>
        <v>330 ML</v>
      </c>
      <c r="H174" s="6" t="s">
        <v>6</v>
      </c>
      <c r="I174" s="2" t="s">
        <v>4877</v>
      </c>
      <c r="J174" s="2" t="s">
        <v>4978</v>
      </c>
      <c r="K174" s="6" t="s">
        <v>4763</v>
      </c>
      <c r="L174" s="14">
        <v>46253</v>
      </c>
      <c r="M174" s="15">
        <v>453</v>
      </c>
      <c r="N174" t="str">
        <f t="shared" si="12"/>
        <v>10019133_2910</v>
      </c>
      <c r="O174" s="6">
        <f>_xlfn.XLOOKUP(N174,Allocation!H:H,Allocation!E:E,0)</f>
        <v>0</v>
      </c>
      <c r="P174" s="38">
        <f>M174-O174</f>
        <v>453</v>
      </c>
    </row>
    <row r="175" spans="1:16">
      <c r="A175" t="str">
        <f>_xlfn.XLOOKUP(C:C,'Price List'!C:C,'Price List'!A:A)</f>
        <v>AMOL PRAKASH</v>
      </c>
      <c r="B175" s="2" t="s">
        <v>2569</v>
      </c>
      <c r="C175" s="9">
        <v>10051345</v>
      </c>
      <c r="D175" s="2" t="s">
        <v>4979</v>
      </c>
      <c r="E175" s="9">
        <f>_xlfn.XLOOKUP(C:C,'Price List'!C:C,'Price List'!K:K)</f>
        <v>0</v>
      </c>
      <c r="F175" s="9">
        <f>_xlfn.XLOOKUP(C:C,'Price List'!C:C,'Price List'!E:E)</f>
        <v>6</v>
      </c>
      <c r="G175" s="9" t="str">
        <f>_xlfn.XLOOKUP(C:C,'Price List'!C:C,'Price List'!F:F)</f>
        <v>372 GR</v>
      </c>
      <c r="H175" s="6" t="s">
        <v>3</v>
      </c>
      <c r="I175" s="2" t="s">
        <v>4864</v>
      </c>
      <c r="J175" s="2" t="s">
        <v>4980</v>
      </c>
      <c r="K175" s="6" t="s">
        <v>4763</v>
      </c>
      <c r="L175" s="14">
        <v>46254</v>
      </c>
      <c r="M175" s="15">
        <v>1</v>
      </c>
      <c r="N175" t="str">
        <f t="shared" si="12"/>
        <v>10051345_2910</v>
      </c>
      <c r="O175" s="6">
        <f>_xlfn.XLOOKUP(N175,Allocation!H:H,Allocation!B:B,0)</f>
        <v>0</v>
      </c>
    </row>
    <row r="176" spans="1:16">
      <c r="A176" t="str">
        <f>_xlfn.XLOOKUP(C:C,'Price List'!C:C,'Price List'!A:A)</f>
        <v>MICHELLE JEWELL NT</v>
      </c>
      <c r="B176" s="2" t="s">
        <v>743</v>
      </c>
      <c r="C176" s="9">
        <v>10061854</v>
      </c>
      <c r="D176" s="2" t="s">
        <v>4981</v>
      </c>
      <c r="E176" s="9">
        <f>_xlfn.XLOOKUP(C:C,'Price List'!C:C,'Price List'!K:K)</f>
        <v>0</v>
      </c>
      <c r="F176" s="9">
        <f>_xlfn.XLOOKUP(C:C,'Price List'!C:C,'Price List'!E:E)</f>
        <v>4</v>
      </c>
      <c r="G176" s="9" t="str">
        <f>_xlfn.XLOOKUP(C:C,'Price List'!C:C,'Price List'!F:F)</f>
        <v>440 GR</v>
      </c>
      <c r="H176" s="6" t="s">
        <v>6</v>
      </c>
      <c r="I176" s="2" t="s">
        <v>4877</v>
      </c>
      <c r="J176" s="2" t="s">
        <v>4982</v>
      </c>
      <c r="K176" s="6" t="s">
        <v>4763</v>
      </c>
      <c r="L176" s="14">
        <v>46256</v>
      </c>
      <c r="M176" s="15">
        <v>111</v>
      </c>
      <c r="N176" t="str">
        <f t="shared" si="12"/>
        <v>10061854_2910</v>
      </c>
      <c r="O176" s="6">
        <f>_xlfn.XLOOKUP(N176,Allocation!H:H,Allocation!E:E,0)</f>
        <v>0</v>
      </c>
      <c r="P176" s="38">
        <f t="shared" ref="P176:P181" si="18">M176-O176</f>
        <v>111</v>
      </c>
    </row>
    <row r="177" spans="1:16">
      <c r="A177" t="str">
        <f>_xlfn.XLOOKUP(C:C,'Price List'!C:C,'Price List'!A:A)</f>
        <v>ANABELA NEVES PR</v>
      </c>
      <c r="B177" s="2" t="s">
        <v>977</v>
      </c>
      <c r="C177" s="9">
        <v>10013039</v>
      </c>
      <c r="D177" s="2" t="s">
        <v>278</v>
      </c>
      <c r="E177" s="9" t="s">
        <v>4795</v>
      </c>
      <c r="F177" s="9">
        <f>_xlfn.XLOOKUP(C:C,'Price List'!C:C,'Price List'!E:E)</f>
        <v>2</v>
      </c>
      <c r="G177" s="9" t="str">
        <f>_xlfn.XLOOKUP(C:C,'Price List'!C:C,'Price List'!F:F)</f>
        <v>2 KG</v>
      </c>
      <c r="H177" s="6" t="s">
        <v>6</v>
      </c>
      <c r="I177" s="2" t="s">
        <v>4877</v>
      </c>
      <c r="J177" s="2" t="s">
        <v>4983</v>
      </c>
      <c r="K177" s="6" t="s">
        <v>4763</v>
      </c>
      <c r="L177" s="14">
        <v>46256</v>
      </c>
      <c r="M177" s="15">
        <v>20</v>
      </c>
      <c r="N177" t="str">
        <f t="shared" si="12"/>
        <v>10013039_2910</v>
      </c>
      <c r="O177" s="6">
        <f>_xlfn.XLOOKUP(N177,Allocation!H:H,Allocation!E:E,0)</f>
        <v>2</v>
      </c>
      <c r="P177" s="38">
        <f t="shared" si="18"/>
        <v>18</v>
      </c>
    </row>
    <row r="178" spans="1:16">
      <c r="A178" t="str">
        <f>_xlfn.XLOOKUP(C:C,'Price List'!C:C,'Price List'!A:A)</f>
        <v>MICHELLE JEWELL NT</v>
      </c>
      <c r="B178" s="2" t="s">
        <v>1914</v>
      </c>
      <c r="C178" s="9">
        <v>10038139</v>
      </c>
      <c r="D178" s="2" t="s">
        <v>264</v>
      </c>
      <c r="E178" s="9">
        <f>_xlfn.XLOOKUP(C:C,'Price List'!C:C,'Price List'!K:K)</f>
        <v>0</v>
      </c>
      <c r="F178" s="9">
        <f>_xlfn.XLOOKUP(C:C,'Price List'!C:C,'Price List'!E:E)</f>
        <v>4</v>
      </c>
      <c r="G178" s="9" t="str">
        <f>_xlfn.XLOOKUP(C:C,'Price List'!C:C,'Price List'!F:F)</f>
        <v>300 GR</v>
      </c>
      <c r="H178" s="6" t="s">
        <v>6</v>
      </c>
      <c r="I178" s="2" t="s">
        <v>4877</v>
      </c>
      <c r="J178" s="2" t="s">
        <v>4984</v>
      </c>
      <c r="K178" s="6" t="s">
        <v>4763</v>
      </c>
      <c r="L178" s="14">
        <v>46256</v>
      </c>
      <c r="M178" s="15">
        <v>36</v>
      </c>
      <c r="N178" t="str">
        <f t="shared" si="12"/>
        <v>10038139_2910</v>
      </c>
      <c r="O178" s="6">
        <f>_xlfn.XLOOKUP(N178,Allocation!H:H,Allocation!E:E,0)</f>
        <v>0</v>
      </c>
      <c r="P178" s="38">
        <f t="shared" si="18"/>
        <v>36</v>
      </c>
    </row>
    <row r="179" spans="1:16">
      <c r="A179" t="str">
        <f>_xlfn.XLOOKUP(C:C,'Price List'!C:C,'Price List'!A:A)</f>
        <v>TRACEY LAWRENCE</v>
      </c>
      <c r="B179" s="2" t="s">
        <v>1261</v>
      </c>
      <c r="C179" s="9">
        <v>10018618</v>
      </c>
      <c r="D179" s="2" t="s">
        <v>4985</v>
      </c>
      <c r="E179" s="9">
        <f>_xlfn.XLOOKUP(C:C,'Price List'!C:C,'Price List'!K:K)</f>
        <v>0</v>
      </c>
      <c r="F179" s="9">
        <f>_xlfn.XLOOKUP(C:C,'Price List'!C:C,'Price List'!E:E)</f>
        <v>12</v>
      </c>
      <c r="G179" s="9" t="str">
        <f>_xlfn.XLOOKUP(C:C,'Price List'!C:C,'Price List'!F:F)</f>
        <v>240 GR</v>
      </c>
      <c r="H179" s="6" t="s">
        <v>6</v>
      </c>
      <c r="I179" s="2" t="s">
        <v>4877</v>
      </c>
      <c r="J179" s="2" t="s">
        <v>4986</v>
      </c>
      <c r="K179" s="6" t="s">
        <v>4763</v>
      </c>
      <c r="L179" s="14">
        <v>46256</v>
      </c>
      <c r="M179" s="15">
        <v>55</v>
      </c>
      <c r="N179" t="str">
        <f t="shared" si="12"/>
        <v>10018618_2910</v>
      </c>
      <c r="O179" s="6">
        <f>_xlfn.XLOOKUP(N179,Allocation!H:H,Allocation!E:E,0)</f>
        <v>0</v>
      </c>
      <c r="P179" s="38">
        <f t="shared" si="18"/>
        <v>55</v>
      </c>
    </row>
    <row r="180" spans="1:16">
      <c r="A180" t="str">
        <f>_xlfn.XLOOKUP(C:C,'Price List'!C:C,'Price List'!A:A)</f>
        <v>TRACEY LAWRENCE</v>
      </c>
      <c r="B180" s="2" t="s">
        <v>1261</v>
      </c>
      <c r="C180" s="9">
        <v>10018660</v>
      </c>
      <c r="D180" s="2" t="s">
        <v>4987</v>
      </c>
      <c r="E180" s="9">
        <f>_xlfn.XLOOKUP(C:C,'Price List'!C:C,'Price List'!K:K)</f>
        <v>0</v>
      </c>
      <c r="F180" s="9">
        <f>_xlfn.XLOOKUP(C:C,'Price List'!C:C,'Price List'!E:E)</f>
        <v>15</v>
      </c>
      <c r="G180" s="9" t="str">
        <f>_xlfn.XLOOKUP(C:C,'Price List'!C:C,'Price List'!F:F)</f>
        <v>240 GR</v>
      </c>
      <c r="H180" s="6" t="s">
        <v>6</v>
      </c>
      <c r="I180" s="2" t="s">
        <v>4877</v>
      </c>
      <c r="J180" s="2" t="s">
        <v>4988</v>
      </c>
      <c r="K180" s="6" t="s">
        <v>4763</v>
      </c>
      <c r="L180" s="14">
        <v>46256</v>
      </c>
      <c r="M180" s="15">
        <v>244</v>
      </c>
      <c r="N180" t="str">
        <f t="shared" si="12"/>
        <v>10018660_2910</v>
      </c>
      <c r="O180" s="6">
        <f>_xlfn.XLOOKUP(N180,Allocation!H:H,Allocation!E:E,0)</f>
        <v>0</v>
      </c>
      <c r="P180" s="38">
        <f t="shared" si="18"/>
        <v>244</v>
      </c>
    </row>
    <row r="181" spans="1:16">
      <c r="A181" t="str">
        <f>_xlfn.XLOOKUP(C:C,'Price List'!C:C,'Price List'!A:A)</f>
        <v>TRACEY LAWRENCE</v>
      </c>
      <c r="B181" s="2" t="s">
        <v>1261</v>
      </c>
      <c r="C181" s="9">
        <v>10018677</v>
      </c>
      <c r="D181" s="2" t="s">
        <v>4989</v>
      </c>
      <c r="E181" s="9">
        <f>_xlfn.XLOOKUP(C:C,'Price List'!C:C,'Price List'!K:K)</f>
        <v>0</v>
      </c>
      <c r="F181" s="9">
        <f>_xlfn.XLOOKUP(C:C,'Price List'!C:C,'Price List'!E:E)</f>
        <v>12</v>
      </c>
      <c r="G181" s="9" t="str">
        <f>_xlfn.XLOOKUP(C:C,'Price List'!C:C,'Price List'!F:F)</f>
        <v>340 GR</v>
      </c>
      <c r="H181" s="6" t="s">
        <v>6</v>
      </c>
      <c r="I181" s="2" t="s">
        <v>4877</v>
      </c>
      <c r="J181" s="2" t="s">
        <v>4990</v>
      </c>
      <c r="K181" s="6" t="s">
        <v>4763</v>
      </c>
      <c r="L181" s="14">
        <v>46256</v>
      </c>
      <c r="M181" s="15">
        <v>38</v>
      </c>
      <c r="N181" t="str">
        <f t="shared" si="12"/>
        <v>10018677_2910</v>
      </c>
      <c r="O181" s="6">
        <f>_xlfn.XLOOKUP(N181,Allocation!H:H,Allocation!E:E,0)</f>
        <v>0</v>
      </c>
      <c r="P181" s="38">
        <f t="shared" si="18"/>
        <v>38</v>
      </c>
    </row>
    <row r="182" spans="1:16">
      <c r="A182" t="str">
        <f>_xlfn.XLOOKUP(C:C,'Price List'!C:C,'Price List'!A:A)</f>
        <v>ANABELA NEVES PR</v>
      </c>
      <c r="B182" s="2" t="s">
        <v>907</v>
      </c>
      <c r="C182" s="9">
        <v>10011126</v>
      </c>
      <c r="D182" s="2" t="s">
        <v>4991</v>
      </c>
      <c r="E182" s="9">
        <f>_xlfn.XLOOKUP(C:C,'Price List'!C:C,'Price List'!K:K)</f>
        <v>0</v>
      </c>
      <c r="F182" s="9">
        <f>_xlfn.XLOOKUP(C:C,'Price List'!C:C,'Price List'!E:E)</f>
        <v>12</v>
      </c>
      <c r="G182" s="9" t="str">
        <f>_xlfn.XLOOKUP(C:C,'Price List'!C:C,'Price List'!F:F)</f>
        <v>110 GR</v>
      </c>
      <c r="H182" s="6" t="s">
        <v>3</v>
      </c>
      <c r="I182" s="2" t="s">
        <v>4864</v>
      </c>
      <c r="J182" s="2" t="s">
        <v>4992</v>
      </c>
      <c r="K182" s="6" t="s">
        <v>4763</v>
      </c>
      <c r="L182" s="14">
        <v>46257</v>
      </c>
      <c r="M182" s="15">
        <v>1</v>
      </c>
      <c r="N182" t="str">
        <f t="shared" si="12"/>
        <v>10011126_2910</v>
      </c>
      <c r="O182" s="6">
        <f>_xlfn.XLOOKUP(N182,Allocation!H:H,Allocation!B:B,0)</f>
        <v>0</v>
      </c>
    </row>
    <row r="183" spans="1:16">
      <c r="A183" t="str">
        <f>_xlfn.XLOOKUP(C:C,'Price List'!C:C,'Price List'!A:A)</f>
        <v>ASIF AHMAD GB</v>
      </c>
      <c r="B183" s="2" t="s">
        <v>1161</v>
      </c>
      <c r="C183" s="9">
        <v>10016401</v>
      </c>
      <c r="D183" s="2" t="s">
        <v>269</v>
      </c>
      <c r="E183" s="9">
        <f>_xlfn.XLOOKUP(C:C,'Price List'!C:C,'Price List'!K:K)</f>
        <v>0</v>
      </c>
      <c r="F183" s="9">
        <f>_xlfn.XLOOKUP(C:C,'Price List'!C:C,'Price List'!E:E)</f>
        <v>12</v>
      </c>
      <c r="G183" s="9" t="str">
        <f>_xlfn.XLOOKUP(C:C,'Price List'!C:C,'Price List'!F:F)</f>
        <v>946 ML</v>
      </c>
      <c r="H183" s="6" t="s">
        <v>4</v>
      </c>
      <c r="I183" s="2" t="s">
        <v>4764</v>
      </c>
      <c r="J183" s="2" t="s">
        <v>4993</v>
      </c>
      <c r="K183" s="6" t="s">
        <v>4763</v>
      </c>
      <c r="L183" s="14">
        <v>46257</v>
      </c>
      <c r="M183" s="15">
        <v>58</v>
      </c>
      <c r="N183" t="str">
        <f t="shared" si="12"/>
        <v>10016401_2910</v>
      </c>
      <c r="O183" s="6">
        <f>_xlfn.XLOOKUP(N183,Allocation!H:H,Allocation!C:C,0)</f>
        <v>0</v>
      </c>
      <c r="P183" s="38">
        <f>M183-O183</f>
        <v>58</v>
      </c>
    </row>
    <row r="184" spans="1:16">
      <c r="A184" t="str">
        <f>_xlfn.XLOOKUP(C:C,'Price List'!C:C,'Price List'!A:A)</f>
        <v>ASIF AHMAD GB</v>
      </c>
      <c r="B184" s="2" t="s">
        <v>1161</v>
      </c>
      <c r="C184" s="9">
        <v>10016401</v>
      </c>
      <c r="D184" s="2" t="s">
        <v>269</v>
      </c>
      <c r="E184" s="9">
        <f>_xlfn.XLOOKUP(C:C,'Price List'!C:C,'Price List'!K:K)</f>
        <v>0</v>
      </c>
      <c r="F184" s="9">
        <f>_xlfn.XLOOKUP(C:C,'Price List'!C:C,'Price List'!E:E)</f>
        <v>12</v>
      </c>
      <c r="G184" s="9" t="str">
        <f>_xlfn.XLOOKUP(C:C,'Price List'!C:C,'Price List'!F:F)</f>
        <v>946 ML</v>
      </c>
      <c r="H184" s="6" t="s">
        <v>6</v>
      </c>
      <c r="I184" s="2" t="s">
        <v>4877</v>
      </c>
      <c r="J184" s="2" t="s">
        <v>4993</v>
      </c>
      <c r="K184" s="6" t="s">
        <v>4763</v>
      </c>
      <c r="L184" s="14">
        <v>46257</v>
      </c>
      <c r="M184" s="15">
        <v>65</v>
      </c>
      <c r="N184" t="str">
        <f t="shared" si="12"/>
        <v>10016401_2910</v>
      </c>
      <c r="O184" s="6">
        <f>_xlfn.XLOOKUP(N184,Allocation!H:H,Allocation!E:E,0)</f>
        <v>0</v>
      </c>
      <c r="P184" s="38">
        <f>M184-O184</f>
        <v>65</v>
      </c>
    </row>
    <row r="185" spans="1:16">
      <c r="A185" t="str">
        <f>_xlfn.XLOOKUP(C:C,'Price List'!C:C,'Price List'!A:A)</f>
        <v>NANCY QUISPE PT</v>
      </c>
      <c r="B185" s="2" t="s">
        <v>1048</v>
      </c>
      <c r="C185" s="9">
        <v>10013786</v>
      </c>
      <c r="D185" s="2" t="s">
        <v>4994</v>
      </c>
      <c r="E185" s="9">
        <f>_xlfn.XLOOKUP(C:C,'Price List'!C:C,'Price List'!K:K)</f>
        <v>0</v>
      </c>
      <c r="F185" s="9">
        <f>_xlfn.XLOOKUP(C:C,'Price List'!C:C,'Price List'!E:E)</f>
        <v>12</v>
      </c>
      <c r="G185" s="9" t="str">
        <f>_xlfn.XLOOKUP(C:C,'Price List'!C:C,'Price List'!F:F)</f>
        <v>520 ML</v>
      </c>
      <c r="H185" s="6" t="s">
        <v>4</v>
      </c>
      <c r="I185" s="2" t="s">
        <v>4764</v>
      </c>
      <c r="J185" s="2" t="s">
        <v>4995</v>
      </c>
      <c r="K185" s="6" t="s">
        <v>4763</v>
      </c>
      <c r="L185" s="14">
        <v>46258</v>
      </c>
      <c r="M185" s="15">
        <v>42</v>
      </c>
      <c r="N185" t="str">
        <f t="shared" si="12"/>
        <v>10013786_2910</v>
      </c>
      <c r="O185" s="6">
        <f>_xlfn.XLOOKUP(N185,Allocation!H:H,Allocation!C:C,0)</f>
        <v>0</v>
      </c>
      <c r="P185" s="38">
        <f>M185-O185</f>
        <v>42</v>
      </c>
    </row>
    <row r="186" spans="1:16">
      <c r="A186" t="str">
        <f>_xlfn.XLOOKUP(C:C,'Price List'!C:C,'Price List'!A:A)</f>
        <v>ANABELA NEVES PR</v>
      </c>
      <c r="B186" s="2" t="s">
        <v>977</v>
      </c>
      <c r="C186" s="9">
        <v>10016081</v>
      </c>
      <c r="D186" s="2" t="s">
        <v>210</v>
      </c>
      <c r="E186" s="9" t="s">
        <v>4795</v>
      </c>
      <c r="F186" s="9">
        <f>_xlfn.XLOOKUP(C:C,'Price List'!C:C,'Price List'!E:E)</f>
        <v>2</v>
      </c>
      <c r="G186" s="9" t="str">
        <f>_xlfn.XLOOKUP(C:C,'Price List'!C:C,'Price List'!F:F)</f>
        <v>2 KG</v>
      </c>
      <c r="H186" s="6" t="s">
        <v>6</v>
      </c>
      <c r="I186" s="2" t="s">
        <v>4877</v>
      </c>
      <c r="J186" s="2" t="s">
        <v>4996</v>
      </c>
      <c r="K186" s="6" t="s">
        <v>4763</v>
      </c>
      <c r="L186" s="14">
        <v>46258</v>
      </c>
      <c r="M186" s="15">
        <v>13</v>
      </c>
      <c r="N186" t="str">
        <f t="shared" si="12"/>
        <v>10016081_2910</v>
      </c>
      <c r="O186" s="6">
        <f>_xlfn.XLOOKUP(N186,Allocation!H:H,Allocation!E:E,0)</f>
        <v>0</v>
      </c>
      <c r="P186" s="38">
        <f>M186-O186</f>
        <v>13</v>
      </c>
    </row>
    <row r="187" spans="1:16">
      <c r="A187" t="str">
        <f>_xlfn.XLOOKUP(C:C,'Price List'!C:C,'Price List'!A:A)</f>
        <v>ANABELA NEVES PR</v>
      </c>
      <c r="B187" s="2" t="s">
        <v>2988</v>
      </c>
      <c r="C187" s="9">
        <v>10061099</v>
      </c>
      <c r="D187" s="2" t="s">
        <v>411</v>
      </c>
      <c r="E187" s="9">
        <f>_xlfn.XLOOKUP(C:C,'Price List'!C:C,'Price List'!K:K)</f>
        <v>0</v>
      </c>
      <c r="F187" s="9">
        <f>_xlfn.XLOOKUP(C:C,'Price List'!C:C,'Price List'!E:E)</f>
        <v>9</v>
      </c>
      <c r="G187" s="9" t="str">
        <f>_xlfn.XLOOKUP(C:C,'Price List'!C:C,'Price List'!F:F)</f>
        <v>150 GR</v>
      </c>
      <c r="H187" s="6" t="s">
        <v>3</v>
      </c>
      <c r="I187" s="2" t="s">
        <v>4864</v>
      </c>
      <c r="J187" s="2" t="s">
        <v>4997</v>
      </c>
      <c r="K187" s="6" t="s">
        <v>4763</v>
      </c>
      <c r="L187" s="14">
        <v>46259</v>
      </c>
      <c r="M187" s="15">
        <v>1</v>
      </c>
      <c r="N187" t="str">
        <f t="shared" si="12"/>
        <v>10061099_2910</v>
      </c>
      <c r="O187" s="6">
        <f>_xlfn.XLOOKUP(N187,Allocation!H:H,Allocation!B:B,0)</f>
        <v>0</v>
      </c>
    </row>
    <row r="188" spans="1:16">
      <c r="A188" t="str">
        <f>_xlfn.XLOOKUP(C:C,'Price List'!C:C,'Price List'!A:A)</f>
        <v>Michael Gambino PR</v>
      </c>
      <c r="B188" s="2" t="s">
        <v>1791</v>
      </c>
      <c r="C188" s="9">
        <v>10033021</v>
      </c>
      <c r="D188" s="2" t="s">
        <v>324</v>
      </c>
      <c r="E188" s="9">
        <f>_xlfn.XLOOKUP(C:C,'Price List'!C:C,'Price List'!K:K)</f>
        <v>0</v>
      </c>
      <c r="F188" s="9">
        <f>_xlfn.XLOOKUP(C:C,'Price List'!C:C,'Price List'!E:E)</f>
        <v>8</v>
      </c>
      <c r="G188" s="9" t="str">
        <f>_xlfn.XLOOKUP(C:C,'Price List'!C:C,'Price List'!F:F)</f>
        <v>200 GR</v>
      </c>
      <c r="H188" s="6" t="s">
        <v>3</v>
      </c>
      <c r="I188" s="2" t="s">
        <v>4864</v>
      </c>
      <c r="J188" s="2" t="s">
        <v>4998</v>
      </c>
      <c r="K188" s="6" t="s">
        <v>4763</v>
      </c>
      <c r="L188" s="14">
        <v>46259</v>
      </c>
      <c r="M188" s="15">
        <v>15</v>
      </c>
      <c r="N188" t="str">
        <f t="shared" si="12"/>
        <v>10033021_2910</v>
      </c>
      <c r="O188" s="6">
        <f>_xlfn.XLOOKUP(N188,Allocation!H:H,Allocation!B:B,0)</f>
        <v>0</v>
      </c>
    </row>
    <row r="189" spans="1:16">
      <c r="A189" t="str">
        <f>_xlfn.XLOOKUP(C:C,'Price List'!C:C,'Price List'!A:A)</f>
        <v>MICHELLE JEWELL NT</v>
      </c>
      <c r="B189" s="2" t="s">
        <v>1914</v>
      </c>
      <c r="C189" s="9">
        <v>10038126</v>
      </c>
      <c r="D189" s="2" t="s">
        <v>409</v>
      </c>
      <c r="E189" s="9">
        <f>_xlfn.XLOOKUP(C:C,'Price List'!C:C,'Price List'!K:K)</f>
        <v>0</v>
      </c>
      <c r="F189" s="9">
        <f>_xlfn.XLOOKUP(C:C,'Price List'!C:C,'Price List'!E:E)</f>
        <v>5</v>
      </c>
      <c r="G189" s="9" t="str">
        <f>_xlfn.XLOOKUP(C:C,'Price List'!C:C,'Price List'!F:F)</f>
        <v>250 GR</v>
      </c>
      <c r="H189" s="6" t="s">
        <v>4</v>
      </c>
      <c r="I189" s="2" t="s">
        <v>4764</v>
      </c>
      <c r="J189" s="2" t="s">
        <v>4999</v>
      </c>
      <c r="K189" s="6" t="s">
        <v>4763</v>
      </c>
      <c r="L189" s="14">
        <v>46259</v>
      </c>
      <c r="M189" s="15">
        <v>11</v>
      </c>
      <c r="N189" t="str">
        <f t="shared" si="12"/>
        <v>10038126_2910</v>
      </c>
      <c r="O189" s="6">
        <f>_xlfn.XLOOKUP(N189,Allocation!H:H,Allocation!C:C,0)</f>
        <v>0</v>
      </c>
      <c r="P189" s="38">
        <f>M189-O189</f>
        <v>11</v>
      </c>
    </row>
    <row r="190" spans="1:16">
      <c r="A190" t="str">
        <f>_xlfn.XLOOKUP(C:C,'Price List'!C:C,'Price List'!A:A)</f>
        <v>ANNA MARIA D'ANGELA</v>
      </c>
      <c r="B190" s="2" t="s">
        <v>4256</v>
      </c>
      <c r="C190" s="9">
        <v>10100555</v>
      </c>
      <c r="D190" s="2" t="s">
        <v>4267</v>
      </c>
      <c r="E190" s="9">
        <f>_xlfn.XLOOKUP(C:C,'Price List'!C:C,'Price List'!K:K)</f>
        <v>0</v>
      </c>
      <c r="F190" s="9">
        <f>_xlfn.XLOOKUP(C:C,'Price List'!C:C,'Price List'!E:E)</f>
        <v>12</v>
      </c>
      <c r="G190" s="9" t="str">
        <f>_xlfn.XLOOKUP(C:C,'Price List'!C:C,'Price List'!F:F)</f>
        <v>156 GR</v>
      </c>
      <c r="H190" s="6" t="s">
        <v>6</v>
      </c>
      <c r="I190" s="2" t="s">
        <v>4877</v>
      </c>
      <c r="J190" s="2" t="s">
        <v>5000</v>
      </c>
      <c r="K190" s="6" t="s">
        <v>4763</v>
      </c>
      <c r="L190" s="14">
        <v>46259</v>
      </c>
      <c r="M190" s="15">
        <v>29</v>
      </c>
      <c r="N190" t="str">
        <f t="shared" si="12"/>
        <v>10100555_2910</v>
      </c>
      <c r="O190" s="6">
        <f>_xlfn.XLOOKUP(N190,Allocation!H:H,Allocation!E:E,0)</f>
        <v>0</v>
      </c>
      <c r="P190" s="38">
        <f t="shared" ref="P190:P192" si="19">M190-O190</f>
        <v>29</v>
      </c>
    </row>
    <row r="191" spans="1:16">
      <c r="A191" t="str">
        <f>_xlfn.XLOOKUP(C:C,'Price List'!C:C,'Price List'!A:A)</f>
        <v>Michael Gambino PR</v>
      </c>
      <c r="B191" s="2" t="s">
        <v>1791</v>
      </c>
      <c r="C191" s="9">
        <v>10033021</v>
      </c>
      <c r="D191" s="2" t="s">
        <v>324</v>
      </c>
      <c r="E191" s="9">
        <f>_xlfn.XLOOKUP(C:C,'Price List'!C:C,'Price List'!K:K)</f>
        <v>0</v>
      </c>
      <c r="F191" s="9">
        <f>_xlfn.XLOOKUP(C:C,'Price List'!C:C,'Price List'!E:E)</f>
        <v>8</v>
      </c>
      <c r="G191" s="9" t="str">
        <f>_xlfn.XLOOKUP(C:C,'Price List'!C:C,'Price List'!F:F)</f>
        <v>200 GR</v>
      </c>
      <c r="H191" s="6" t="s">
        <v>6</v>
      </c>
      <c r="I191" s="2" t="s">
        <v>4877</v>
      </c>
      <c r="J191" s="2" t="s">
        <v>4998</v>
      </c>
      <c r="K191" s="6" t="s">
        <v>4763</v>
      </c>
      <c r="L191" s="14">
        <v>46259</v>
      </c>
      <c r="M191" s="15">
        <v>75</v>
      </c>
      <c r="N191" t="str">
        <f t="shared" si="12"/>
        <v>10033021_2910</v>
      </c>
      <c r="O191" s="6">
        <f>_xlfn.XLOOKUP(N191,Allocation!H:H,Allocation!E:E,0)</f>
        <v>0</v>
      </c>
      <c r="P191" s="38">
        <f t="shared" si="19"/>
        <v>75</v>
      </c>
    </row>
    <row r="192" spans="1:16">
      <c r="A192" t="str">
        <f>_xlfn.XLOOKUP(C:C,'Price List'!C:C,'Price List'!A:A)</f>
        <v>MICHELLE JEWELL NT</v>
      </c>
      <c r="B192" s="2" t="s">
        <v>1914</v>
      </c>
      <c r="C192" s="9">
        <v>10038126</v>
      </c>
      <c r="D192" s="2" t="s">
        <v>409</v>
      </c>
      <c r="E192" s="9">
        <f>_xlfn.XLOOKUP(C:C,'Price List'!C:C,'Price List'!K:K)</f>
        <v>0</v>
      </c>
      <c r="F192" s="9">
        <f>_xlfn.XLOOKUP(C:C,'Price List'!C:C,'Price List'!E:E)</f>
        <v>5</v>
      </c>
      <c r="G192" s="9" t="str">
        <f>_xlfn.XLOOKUP(C:C,'Price List'!C:C,'Price List'!F:F)</f>
        <v>250 GR</v>
      </c>
      <c r="H192" s="6" t="s">
        <v>6</v>
      </c>
      <c r="I192" s="2" t="s">
        <v>4877</v>
      </c>
      <c r="J192" s="2" t="s">
        <v>4999</v>
      </c>
      <c r="K192" s="6" t="s">
        <v>4763</v>
      </c>
      <c r="L192" s="14">
        <v>46259</v>
      </c>
      <c r="M192" s="15">
        <v>23</v>
      </c>
      <c r="N192" t="str">
        <f t="shared" si="12"/>
        <v>10038126_2910</v>
      </c>
      <c r="O192" s="6">
        <f>_xlfn.XLOOKUP(N192,Allocation!H:H,Allocation!E:E,0)</f>
        <v>0</v>
      </c>
      <c r="P192" s="38">
        <f t="shared" si="19"/>
        <v>23</v>
      </c>
    </row>
    <row r="193" spans="1:16">
      <c r="A193" t="str">
        <f>_xlfn.XLOOKUP(C:C,'Price List'!C:C,'Price List'!A:A)</f>
        <v>ANABELA NEVES PR</v>
      </c>
      <c r="B193" s="2" t="s">
        <v>1823</v>
      </c>
      <c r="C193" s="9">
        <v>10033175</v>
      </c>
      <c r="D193" s="2" t="s">
        <v>359</v>
      </c>
      <c r="E193" s="9">
        <f>_xlfn.XLOOKUP(C:C,'Price List'!C:C,'Price List'!K:K)</f>
        <v>0</v>
      </c>
      <c r="F193" s="9">
        <f>_xlfn.XLOOKUP(C:C,'Price List'!C:C,'Price List'!E:E)</f>
        <v>12</v>
      </c>
      <c r="G193" s="9" t="str">
        <f>_xlfn.XLOOKUP(C:C,'Price List'!C:C,'Price List'!F:F)</f>
        <v>540 GR</v>
      </c>
      <c r="H193" s="6" t="s">
        <v>3</v>
      </c>
      <c r="I193" s="2" t="s">
        <v>4864</v>
      </c>
      <c r="J193" s="2" t="s">
        <v>5001</v>
      </c>
      <c r="K193" s="6" t="s">
        <v>4763</v>
      </c>
      <c r="L193" s="14">
        <v>46260</v>
      </c>
      <c r="M193" s="15">
        <v>2</v>
      </c>
      <c r="N193" t="str">
        <f t="shared" si="12"/>
        <v>10033175_2910</v>
      </c>
      <c r="O193" s="6">
        <f>_xlfn.XLOOKUP(N193,Allocation!H:H,Allocation!B:B,0)</f>
        <v>0</v>
      </c>
    </row>
    <row r="194" spans="1:16">
      <c r="A194" t="str">
        <f>_xlfn.XLOOKUP(C:C,'Price List'!C:C,'Price List'!A:A)</f>
        <v>ANABELA NEVES PR</v>
      </c>
      <c r="B194" s="2" t="s">
        <v>977</v>
      </c>
      <c r="C194" s="9">
        <v>10013144</v>
      </c>
      <c r="D194" s="2" t="s">
        <v>586</v>
      </c>
      <c r="E194" s="9" t="s">
        <v>4795</v>
      </c>
      <c r="F194" s="9">
        <f>_xlfn.XLOOKUP(C:C,'Price List'!C:C,'Price List'!E:E)</f>
        <v>2</v>
      </c>
      <c r="G194" s="9" t="str">
        <f>_xlfn.XLOOKUP(C:C,'Price List'!C:C,'Price List'!F:F)</f>
        <v>1.15 KG</v>
      </c>
      <c r="H194" s="6" t="s">
        <v>3</v>
      </c>
      <c r="I194" s="2" t="s">
        <v>4864</v>
      </c>
      <c r="J194" s="2" t="s">
        <v>5002</v>
      </c>
      <c r="K194" s="6" t="s">
        <v>4763</v>
      </c>
      <c r="L194" s="14">
        <v>46260</v>
      </c>
      <c r="M194" s="15">
        <v>3.7989999999999999</v>
      </c>
      <c r="N194" t="str">
        <f t="shared" ref="N194:N257" si="20">C194 &amp; "_" &amp; 2910</f>
        <v>10013144_2910</v>
      </c>
      <c r="O194" s="6">
        <f>_xlfn.XLOOKUP(N194,Allocation!H:H,Allocation!B:B,0)</f>
        <v>0</v>
      </c>
    </row>
    <row r="195" spans="1:16">
      <c r="A195" t="str">
        <f>_xlfn.XLOOKUP(C:C,'Price List'!C:C,'Price List'!A:A)</f>
        <v>Michael Gambino PR</v>
      </c>
      <c r="B195" s="2" t="s">
        <v>1791</v>
      </c>
      <c r="C195" s="9">
        <v>10033021</v>
      </c>
      <c r="D195" s="2" t="s">
        <v>324</v>
      </c>
      <c r="E195" s="9">
        <f>_xlfn.XLOOKUP(C:C,'Price List'!C:C,'Price List'!K:K)</f>
        <v>0</v>
      </c>
      <c r="F195" s="9">
        <f>_xlfn.XLOOKUP(C:C,'Price List'!C:C,'Price List'!E:E)</f>
        <v>8</v>
      </c>
      <c r="G195" s="9" t="str">
        <f>_xlfn.XLOOKUP(C:C,'Price List'!C:C,'Price List'!F:F)</f>
        <v>200 GR</v>
      </c>
      <c r="H195" s="6" t="s">
        <v>3</v>
      </c>
      <c r="I195" s="2" t="s">
        <v>4864</v>
      </c>
      <c r="J195" s="2" t="s">
        <v>5003</v>
      </c>
      <c r="K195" s="6" t="s">
        <v>4763</v>
      </c>
      <c r="L195" s="14">
        <v>46260</v>
      </c>
      <c r="M195" s="15">
        <v>31</v>
      </c>
      <c r="N195" t="str">
        <f t="shared" si="20"/>
        <v>10033021_2910</v>
      </c>
      <c r="O195" s="6">
        <f>_xlfn.XLOOKUP(N195,Allocation!H:H,Allocation!B:B,0)</f>
        <v>0</v>
      </c>
    </row>
    <row r="196" spans="1:16">
      <c r="A196" t="str">
        <f>_xlfn.XLOOKUP(C:C,'Price List'!C:C,'Price List'!A:A)</f>
        <v>JASON MULDOON PR</v>
      </c>
      <c r="B196" s="2" t="s">
        <v>1551</v>
      </c>
      <c r="C196" s="9">
        <v>10024014</v>
      </c>
      <c r="D196" s="2" t="s">
        <v>5004</v>
      </c>
      <c r="E196" s="9">
        <f>_xlfn.XLOOKUP(C:C,'Price List'!C:C,'Price List'!K:K)</f>
        <v>0</v>
      </c>
      <c r="F196" s="9">
        <f>_xlfn.XLOOKUP(C:C,'Price List'!C:C,'Price List'!E:E)</f>
        <v>8</v>
      </c>
      <c r="G196" s="9" t="str">
        <f>_xlfn.XLOOKUP(C:C,'Price List'!C:C,'Price List'!F:F)</f>
        <v>200 GR</v>
      </c>
      <c r="H196" s="6" t="s">
        <v>3</v>
      </c>
      <c r="I196" s="2" t="s">
        <v>4864</v>
      </c>
      <c r="J196" s="2" t="s">
        <v>5005</v>
      </c>
      <c r="K196" s="6" t="s">
        <v>4763</v>
      </c>
      <c r="L196" s="14">
        <v>46260</v>
      </c>
      <c r="M196" s="15">
        <v>1</v>
      </c>
      <c r="N196" t="str">
        <f t="shared" si="20"/>
        <v>10024014_2910</v>
      </c>
      <c r="O196" s="6">
        <f>_xlfn.XLOOKUP(N196,Allocation!H:H,Allocation!B:B,0)</f>
        <v>0</v>
      </c>
    </row>
    <row r="197" spans="1:16">
      <c r="A197" t="str">
        <f>_xlfn.XLOOKUP(C:C,'Price List'!C:C,'Price List'!A:A)</f>
        <v>WARREN PARK</v>
      </c>
      <c r="B197" s="2" t="s">
        <v>1488</v>
      </c>
      <c r="C197" s="9">
        <v>10020853</v>
      </c>
      <c r="D197" s="2" t="s">
        <v>5006</v>
      </c>
      <c r="E197" s="9">
        <f>_xlfn.XLOOKUP(C:C,'Price List'!C:C,'Price List'!K:K)</f>
        <v>0</v>
      </c>
      <c r="F197" s="9">
        <f>_xlfn.XLOOKUP(C:C,'Price List'!C:C,'Price List'!E:E)</f>
        <v>20</v>
      </c>
      <c r="G197" s="9" t="str">
        <f>_xlfn.XLOOKUP(C:C,'Price List'!C:C,'Price List'!F:F)</f>
        <v>45 GR</v>
      </c>
      <c r="H197" s="6" t="s">
        <v>3</v>
      </c>
      <c r="I197" s="2" t="s">
        <v>4864</v>
      </c>
      <c r="J197" s="2" t="s">
        <v>5007</v>
      </c>
      <c r="K197" s="6" t="s">
        <v>4763</v>
      </c>
      <c r="L197" s="14">
        <v>46261</v>
      </c>
      <c r="M197" s="15">
        <v>5</v>
      </c>
      <c r="N197" t="str">
        <f t="shared" si="20"/>
        <v>10020853_2910</v>
      </c>
      <c r="O197" s="6">
        <f>_xlfn.XLOOKUP(N197,Allocation!H:H,Allocation!B:B,0)</f>
        <v>0</v>
      </c>
    </row>
    <row r="198" spans="1:16">
      <c r="A198" t="str">
        <f>_xlfn.XLOOKUP(C:C,'Price List'!C:C,'Price List'!A:A)</f>
        <v>AMOL PRAKASH</v>
      </c>
      <c r="B198" s="2" t="s">
        <v>2569</v>
      </c>
      <c r="C198" s="9">
        <v>10051343</v>
      </c>
      <c r="D198" s="2" t="s">
        <v>5008</v>
      </c>
      <c r="E198" s="9">
        <f>_xlfn.XLOOKUP(C:C,'Price List'!C:C,'Price List'!K:K)</f>
        <v>0</v>
      </c>
      <c r="F198" s="9">
        <f>_xlfn.XLOOKUP(C:C,'Price List'!C:C,'Price List'!E:E)</f>
        <v>6</v>
      </c>
      <c r="G198" s="9" t="str">
        <f>_xlfn.XLOOKUP(C:C,'Price List'!C:C,'Price List'!F:F)</f>
        <v>370 GR</v>
      </c>
      <c r="H198" s="6" t="s">
        <v>3</v>
      </c>
      <c r="I198" s="2" t="s">
        <v>4864</v>
      </c>
      <c r="J198" s="2" t="s">
        <v>5009</v>
      </c>
      <c r="K198" s="6" t="s">
        <v>4763</v>
      </c>
      <c r="L198" s="14">
        <v>46261</v>
      </c>
      <c r="M198" s="15">
        <v>2</v>
      </c>
      <c r="N198" t="str">
        <f t="shared" si="20"/>
        <v>10051343_2910</v>
      </c>
      <c r="O198" s="6">
        <f>_xlfn.XLOOKUP(N198,Allocation!H:H,Allocation!B:B,0)</f>
        <v>0</v>
      </c>
    </row>
    <row r="199" spans="1:16">
      <c r="A199" t="str">
        <f>_xlfn.XLOOKUP(C:C,'Price List'!C:C,'Price List'!A:A)</f>
        <v>ANNA MARIA D'ANGELA</v>
      </c>
      <c r="B199" s="2" t="s">
        <v>1965</v>
      </c>
      <c r="C199" s="9">
        <v>10040122</v>
      </c>
      <c r="D199" s="2" t="s">
        <v>214</v>
      </c>
      <c r="E199" s="9">
        <f>_xlfn.XLOOKUP(C:C,'Price List'!C:C,'Price List'!K:K)</f>
        <v>0</v>
      </c>
      <c r="F199" s="9">
        <f>_xlfn.XLOOKUP(C:C,'Price List'!C:C,'Price List'!E:E)</f>
        <v>15</v>
      </c>
      <c r="G199" s="9" t="str">
        <f>_xlfn.XLOOKUP(C:C,'Price List'!C:C,'Price List'!F:F)</f>
        <v>300 GR</v>
      </c>
      <c r="H199" s="6" t="s">
        <v>3</v>
      </c>
      <c r="I199" s="2" t="s">
        <v>4864</v>
      </c>
      <c r="J199" s="2" t="s">
        <v>5010</v>
      </c>
      <c r="K199" s="6" t="s">
        <v>4763</v>
      </c>
      <c r="L199" s="14">
        <v>46262</v>
      </c>
      <c r="M199" s="15">
        <v>13</v>
      </c>
      <c r="N199" t="str">
        <f t="shared" si="20"/>
        <v>10040122_2910</v>
      </c>
      <c r="O199" s="6">
        <f>_xlfn.XLOOKUP(N199,Allocation!H:H,Allocation!B:B,0)</f>
        <v>0</v>
      </c>
    </row>
    <row r="200" spans="1:16">
      <c r="A200" t="str">
        <f>_xlfn.XLOOKUP(C:C,'Price List'!C:C,'Price List'!A:A)</f>
        <v>AMOL PRAKASH</v>
      </c>
      <c r="B200" s="2" t="s">
        <v>2569</v>
      </c>
      <c r="C200" s="9">
        <v>10051344</v>
      </c>
      <c r="D200" s="2" t="s">
        <v>5011</v>
      </c>
      <c r="E200" s="9">
        <f>_xlfn.XLOOKUP(C:C,'Price List'!C:C,'Price List'!K:K)</f>
        <v>0</v>
      </c>
      <c r="F200" s="9">
        <f>_xlfn.XLOOKUP(C:C,'Price List'!C:C,'Price List'!E:E)</f>
        <v>6</v>
      </c>
      <c r="G200" s="9" t="str">
        <f>_xlfn.XLOOKUP(C:C,'Price List'!C:C,'Price List'!F:F)</f>
        <v>370 GR</v>
      </c>
      <c r="H200" s="6" t="s">
        <v>3</v>
      </c>
      <c r="I200" s="2" t="s">
        <v>4864</v>
      </c>
      <c r="J200" s="2" t="s">
        <v>5012</v>
      </c>
      <c r="K200" s="6" t="s">
        <v>4763</v>
      </c>
      <c r="L200" s="14">
        <v>46262</v>
      </c>
      <c r="M200" s="15">
        <v>17</v>
      </c>
      <c r="N200" t="str">
        <f t="shared" si="20"/>
        <v>10051344_2910</v>
      </c>
      <c r="O200" s="6">
        <f>_xlfn.XLOOKUP(N200,Allocation!H:H,Allocation!B:B,0)</f>
        <v>0</v>
      </c>
    </row>
    <row r="201" spans="1:16">
      <c r="A201" t="str">
        <f>_xlfn.XLOOKUP(C:C,'Price List'!C:C,'Price List'!A:A)</f>
        <v>SAMANTHA RODRIGUES GB</v>
      </c>
      <c r="B201" s="2" t="s">
        <v>2761</v>
      </c>
      <c r="C201" s="9">
        <v>10059168</v>
      </c>
      <c r="D201" s="2" t="s">
        <v>5013</v>
      </c>
      <c r="E201" s="9">
        <f>_xlfn.XLOOKUP(C:C,'Price List'!C:C,'Price List'!K:K)</f>
        <v>0</v>
      </c>
      <c r="F201" s="9">
        <f>_xlfn.XLOOKUP(C:C,'Price List'!C:C,'Price List'!E:E)</f>
        <v>4</v>
      </c>
      <c r="G201" s="9" t="str">
        <f>_xlfn.XLOOKUP(C:C,'Price List'!C:C,'Price List'!F:F)</f>
        <v>1.18 LT</v>
      </c>
      <c r="H201" s="6" t="s">
        <v>6</v>
      </c>
      <c r="I201" s="2" t="s">
        <v>4877</v>
      </c>
      <c r="J201" s="2" t="s">
        <v>5014</v>
      </c>
      <c r="K201" s="6" t="s">
        <v>4763</v>
      </c>
      <c r="L201" s="14">
        <v>46262</v>
      </c>
      <c r="M201" s="15">
        <v>147</v>
      </c>
      <c r="N201" t="str">
        <f t="shared" si="20"/>
        <v>10059168_2910</v>
      </c>
      <c r="O201" s="6">
        <f>_xlfn.XLOOKUP(N201,Allocation!H:H,Allocation!E:E,0)</f>
        <v>0</v>
      </c>
      <c r="P201" s="38">
        <f t="shared" ref="P201:P203" si="21">M201-O201</f>
        <v>147</v>
      </c>
    </row>
    <row r="202" spans="1:16">
      <c r="A202" t="str">
        <f>_xlfn.XLOOKUP(C:C,'Price List'!C:C,'Price List'!A:A)</f>
        <v>NANCY QUISPE PT</v>
      </c>
      <c r="B202" s="2" t="s">
        <v>2401</v>
      </c>
      <c r="C202" s="9">
        <v>10050293</v>
      </c>
      <c r="D202" s="2" t="s">
        <v>5015</v>
      </c>
      <c r="E202" s="9">
        <f>_xlfn.XLOOKUP(C:C,'Price List'!C:C,'Price List'!K:K)</f>
        <v>0</v>
      </c>
      <c r="F202" s="9">
        <f>_xlfn.XLOOKUP(C:C,'Price List'!C:C,'Price List'!E:E)</f>
        <v>6</v>
      </c>
      <c r="G202" s="9" t="str">
        <f>_xlfn.XLOOKUP(C:C,'Price List'!C:C,'Price List'!F:F)</f>
        <v>395 ML</v>
      </c>
      <c r="H202" s="6" t="s">
        <v>6</v>
      </c>
      <c r="I202" s="2" t="s">
        <v>4877</v>
      </c>
      <c r="J202" s="2" t="s">
        <v>5016</v>
      </c>
      <c r="K202" s="6" t="s">
        <v>4763</v>
      </c>
      <c r="L202" s="14">
        <v>46262</v>
      </c>
      <c r="M202" s="15">
        <v>87</v>
      </c>
      <c r="N202" t="str">
        <f t="shared" si="20"/>
        <v>10050293_2910</v>
      </c>
      <c r="O202" s="6">
        <f>_xlfn.XLOOKUP(N202,Allocation!H:H,Allocation!E:E,0)</f>
        <v>0</v>
      </c>
      <c r="P202" s="38">
        <f t="shared" si="21"/>
        <v>87</v>
      </c>
    </row>
    <row r="203" spans="1:16">
      <c r="A203" t="str">
        <f>_xlfn.XLOOKUP(C:C,'Price List'!C:C,'Price List'!A:A)</f>
        <v>MICHELLE JEWELL NT</v>
      </c>
      <c r="B203" s="2" t="s">
        <v>1679</v>
      </c>
      <c r="C203" s="9">
        <v>10031627</v>
      </c>
      <c r="D203" s="2" t="s">
        <v>5017</v>
      </c>
      <c r="E203" s="9">
        <f>_xlfn.XLOOKUP(C:C,'Price List'!C:C,'Price List'!K:K)</f>
        <v>0</v>
      </c>
      <c r="F203" s="9">
        <f>_xlfn.XLOOKUP(C:C,'Price List'!C:C,'Price List'!E:E)</f>
        <v>8</v>
      </c>
      <c r="G203" s="9" t="str">
        <f>_xlfn.XLOOKUP(C:C,'Price List'!C:C,'Price List'!F:F)</f>
        <v>267 GR</v>
      </c>
      <c r="H203" s="6" t="s">
        <v>6</v>
      </c>
      <c r="I203" s="2" t="s">
        <v>4877</v>
      </c>
      <c r="J203" s="2" t="s">
        <v>5018</v>
      </c>
      <c r="K203" s="6" t="s">
        <v>4763</v>
      </c>
      <c r="L203" s="14">
        <v>46262</v>
      </c>
      <c r="M203" s="15">
        <v>120</v>
      </c>
      <c r="N203" t="str">
        <f t="shared" si="20"/>
        <v>10031627_2910</v>
      </c>
      <c r="O203" s="6">
        <f>_xlfn.XLOOKUP(N203,Allocation!H:H,Allocation!E:E,0)</f>
        <v>0</v>
      </c>
      <c r="P203" s="38">
        <f t="shared" si="21"/>
        <v>120</v>
      </c>
    </row>
    <row r="204" spans="1:16">
      <c r="A204" t="str">
        <f>_xlfn.XLOOKUP(C:C,'Price List'!C:C,'Price List'!A:A)</f>
        <v>ANABELA NEVES PR</v>
      </c>
      <c r="B204" s="2" t="s">
        <v>2991</v>
      </c>
      <c r="C204" s="9">
        <v>10061008</v>
      </c>
      <c r="D204" s="2" t="s">
        <v>353</v>
      </c>
      <c r="E204" s="9">
        <f>_xlfn.XLOOKUP(C:C,'Price List'!C:C,'Price List'!K:K)</f>
        <v>0</v>
      </c>
      <c r="F204" s="9">
        <f>_xlfn.XLOOKUP(C:C,'Price List'!C:C,'Price List'!E:E)</f>
        <v>6</v>
      </c>
      <c r="G204" s="9" t="str">
        <f>_xlfn.XLOOKUP(C:C,'Price List'!C:C,'Price List'!F:F)</f>
        <v>150 GR</v>
      </c>
      <c r="H204" s="6" t="s">
        <v>3</v>
      </c>
      <c r="I204" s="2" t="s">
        <v>4864</v>
      </c>
      <c r="J204" s="2" t="s">
        <v>5019</v>
      </c>
      <c r="K204" s="6" t="s">
        <v>4763</v>
      </c>
      <c r="L204" s="14">
        <v>46263</v>
      </c>
      <c r="M204" s="15">
        <v>16</v>
      </c>
      <c r="N204" t="str">
        <f t="shared" si="20"/>
        <v>10061008_2910</v>
      </c>
      <c r="O204" s="6">
        <f>_xlfn.XLOOKUP(N204,Allocation!H:H,Allocation!B:B,0)</f>
        <v>0</v>
      </c>
    </row>
    <row r="205" spans="1:16">
      <c r="A205" t="str">
        <f>_xlfn.XLOOKUP(C:C,'Price List'!C:C,'Price List'!A:A)</f>
        <v>TRACEY LAWRENCE</v>
      </c>
      <c r="B205" s="2" t="s">
        <v>3214</v>
      </c>
      <c r="C205" s="9">
        <v>10067039</v>
      </c>
      <c r="D205" s="2" t="s">
        <v>5020</v>
      </c>
      <c r="E205" s="9">
        <f>_xlfn.XLOOKUP(C:C,'Price List'!C:C,'Price List'!K:K)</f>
        <v>0</v>
      </c>
      <c r="F205" s="9">
        <f>_xlfn.XLOOKUP(C:C,'Price List'!C:C,'Price List'!E:E)</f>
        <v>12</v>
      </c>
      <c r="G205" s="9" t="str">
        <f>_xlfn.XLOOKUP(C:C,'Price List'!C:C,'Price List'!F:F)</f>
        <v>156 GR</v>
      </c>
      <c r="H205" s="6" t="s">
        <v>3</v>
      </c>
      <c r="I205" s="2" t="s">
        <v>4864</v>
      </c>
      <c r="J205" s="2" t="s">
        <v>5021</v>
      </c>
      <c r="K205" s="6" t="s">
        <v>4763</v>
      </c>
      <c r="L205" s="14">
        <v>46263</v>
      </c>
      <c r="M205" s="15">
        <v>9</v>
      </c>
      <c r="N205" t="str">
        <f t="shared" si="20"/>
        <v>10067039_2910</v>
      </c>
      <c r="O205" s="6">
        <f>_xlfn.XLOOKUP(N205,Allocation!H:H,Allocation!B:B,0)</f>
        <v>0</v>
      </c>
    </row>
    <row r="206" spans="1:16">
      <c r="A206" t="str">
        <f>_xlfn.XLOOKUP(C:C,'Price List'!C:C,'Price List'!A:A)</f>
        <v>ASIF AHMAD GB</v>
      </c>
      <c r="B206" s="2" t="s">
        <v>1161</v>
      </c>
      <c r="C206" s="9">
        <v>10017020</v>
      </c>
      <c r="D206" s="2" t="s">
        <v>5022</v>
      </c>
      <c r="E206" s="9">
        <f>_xlfn.XLOOKUP(C:C,'Price List'!C:C,'Price List'!K:K)</f>
        <v>0</v>
      </c>
      <c r="F206" s="9">
        <f>_xlfn.XLOOKUP(C:C,'Price List'!C:C,'Price List'!E:E)</f>
        <v>8</v>
      </c>
      <c r="G206" s="9" t="str">
        <f>_xlfn.XLOOKUP(C:C,'Price List'!C:C,'Price List'!F:F)</f>
        <v>1.89 LT</v>
      </c>
      <c r="H206" s="6" t="s">
        <v>6</v>
      </c>
      <c r="I206" s="2" t="s">
        <v>4877</v>
      </c>
      <c r="J206" s="2" t="s">
        <v>5023</v>
      </c>
      <c r="K206" s="6" t="s">
        <v>4763</v>
      </c>
      <c r="L206" s="14">
        <v>46263</v>
      </c>
      <c r="M206" s="15">
        <v>19</v>
      </c>
      <c r="N206" t="str">
        <f t="shared" si="20"/>
        <v>10017020_2910</v>
      </c>
      <c r="O206" s="6">
        <f>_xlfn.XLOOKUP(N206,Allocation!H:H,Allocation!E:E,0)</f>
        <v>0</v>
      </c>
      <c r="P206" s="38">
        <f t="shared" ref="P206:P207" si="22">M206-O206</f>
        <v>19</v>
      </c>
    </row>
    <row r="207" spans="1:16">
      <c r="A207" t="str">
        <f>_xlfn.XLOOKUP(C:C,'Price List'!C:C,'Price List'!A:A)</f>
        <v>TRACEY LAWRENCE</v>
      </c>
      <c r="B207" s="2" t="s">
        <v>1261</v>
      </c>
      <c r="C207" s="9">
        <v>10018646</v>
      </c>
      <c r="D207" s="2" t="s">
        <v>369</v>
      </c>
      <c r="E207" s="9">
        <f>_xlfn.XLOOKUP(C:C,'Price List'!C:C,'Price List'!K:K)</f>
        <v>0</v>
      </c>
      <c r="F207" s="9">
        <f>_xlfn.XLOOKUP(C:C,'Price List'!C:C,'Price List'!E:E)</f>
        <v>12</v>
      </c>
      <c r="G207" s="9" t="str">
        <f>_xlfn.XLOOKUP(C:C,'Price List'!C:C,'Price List'!F:F)</f>
        <v>240 GR</v>
      </c>
      <c r="H207" s="6" t="s">
        <v>6</v>
      </c>
      <c r="I207" s="2" t="s">
        <v>4877</v>
      </c>
      <c r="J207" s="2" t="s">
        <v>5024</v>
      </c>
      <c r="K207" s="6" t="s">
        <v>4763</v>
      </c>
      <c r="L207" s="14">
        <v>46263</v>
      </c>
      <c r="M207" s="15">
        <v>5</v>
      </c>
      <c r="N207" t="str">
        <f t="shared" si="20"/>
        <v>10018646_2910</v>
      </c>
      <c r="O207" s="6">
        <f>_xlfn.XLOOKUP(N207,Allocation!H:H,Allocation!E:E,0)</f>
        <v>0</v>
      </c>
      <c r="P207" s="38">
        <f t="shared" si="22"/>
        <v>5</v>
      </c>
    </row>
    <row r="208" spans="1:16">
      <c r="A208" t="str">
        <f>_xlfn.XLOOKUP(C:C,'Price List'!C:C,'Price List'!A:A)</f>
        <v>ANABELA NEVES PR</v>
      </c>
      <c r="B208" s="2" t="s">
        <v>2991</v>
      </c>
      <c r="C208" s="9">
        <v>10061013</v>
      </c>
      <c r="D208" s="2" t="s">
        <v>370</v>
      </c>
      <c r="E208" s="9">
        <f>_xlfn.XLOOKUP(C:C,'Price List'!C:C,'Price List'!K:K)</f>
        <v>0</v>
      </c>
      <c r="F208" s="9">
        <f>_xlfn.XLOOKUP(C:C,'Price List'!C:C,'Price List'!E:E)</f>
        <v>6</v>
      </c>
      <c r="G208" s="9" t="str">
        <f>_xlfn.XLOOKUP(C:C,'Price List'!C:C,'Price List'!F:F)</f>
        <v>150 GR</v>
      </c>
      <c r="H208" s="6" t="s">
        <v>3</v>
      </c>
      <c r="I208" s="2" t="s">
        <v>4864</v>
      </c>
      <c r="J208" s="2" t="s">
        <v>5025</v>
      </c>
      <c r="K208" s="6" t="s">
        <v>4763</v>
      </c>
      <c r="L208" s="14">
        <v>46264</v>
      </c>
      <c r="M208" s="15">
        <v>9</v>
      </c>
      <c r="N208" t="str">
        <f t="shared" si="20"/>
        <v>10061013_2910</v>
      </c>
      <c r="O208" s="6">
        <f>_xlfn.XLOOKUP(N208,Allocation!H:H,Allocation!B:B,0)</f>
        <v>0</v>
      </c>
    </row>
    <row r="209" spans="1:16">
      <c r="A209" t="str">
        <f>_xlfn.XLOOKUP(C:C,'Price List'!C:C,'Price List'!A:A)</f>
        <v>ANABELA NEVES PR</v>
      </c>
      <c r="B209" s="2" t="s">
        <v>1130</v>
      </c>
      <c r="C209" s="9">
        <v>10018053</v>
      </c>
      <c r="D209" s="2" t="s">
        <v>195</v>
      </c>
      <c r="E209" s="9" t="s">
        <v>4795</v>
      </c>
      <c r="F209" s="9">
        <f>_xlfn.XLOOKUP(C:C,'Price List'!C:C,'Price List'!E:E)</f>
        <v>2</v>
      </c>
      <c r="G209" s="9" t="str">
        <f>_xlfn.XLOOKUP(C:C,'Price List'!C:C,'Price List'!F:F)</f>
        <v>2X2.5 KG</v>
      </c>
      <c r="H209" s="6" t="s">
        <v>3</v>
      </c>
      <c r="I209" s="2" t="s">
        <v>4864</v>
      </c>
      <c r="J209" s="2" t="s">
        <v>5026</v>
      </c>
      <c r="K209" s="6" t="s">
        <v>4763</v>
      </c>
      <c r="L209" s="14">
        <v>46264</v>
      </c>
      <c r="M209" s="15">
        <v>2</v>
      </c>
      <c r="N209" t="str">
        <f t="shared" si="20"/>
        <v>10018053_2910</v>
      </c>
      <c r="O209" s="6">
        <f>_xlfn.XLOOKUP(N209,Allocation!H:H,Allocation!B:B,0)</f>
        <v>0</v>
      </c>
    </row>
    <row r="210" spans="1:16">
      <c r="A210" t="str">
        <f>_xlfn.XLOOKUP(C:C,'Price List'!C:C,'Price List'!A:A)</f>
        <v>ANABELA NEVES PR</v>
      </c>
      <c r="B210" s="2" t="s">
        <v>977</v>
      </c>
      <c r="C210" s="9">
        <v>10016081</v>
      </c>
      <c r="D210" s="2" t="s">
        <v>210</v>
      </c>
      <c r="E210" s="9" t="s">
        <v>4795</v>
      </c>
      <c r="F210" s="9">
        <f>_xlfn.XLOOKUP(C:C,'Price List'!C:C,'Price List'!E:E)</f>
        <v>2</v>
      </c>
      <c r="G210" s="9" t="str">
        <f>_xlfn.XLOOKUP(C:C,'Price List'!C:C,'Price List'!F:F)</f>
        <v>2 KG</v>
      </c>
      <c r="H210" s="6" t="s">
        <v>3</v>
      </c>
      <c r="I210" s="2" t="s">
        <v>4864</v>
      </c>
      <c r="J210" s="2" t="s">
        <v>5027</v>
      </c>
      <c r="K210" s="6" t="s">
        <v>4763</v>
      </c>
      <c r="L210" s="14">
        <v>46265</v>
      </c>
      <c r="M210" s="15">
        <v>28</v>
      </c>
      <c r="N210" t="str">
        <f t="shared" si="20"/>
        <v>10016081_2910</v>
      </c>
      <c r="O210" s="6">
        <f>_xlfn.XLOOKUP(N210,Allocation!H:H,Allocation!B:B,0)</f>
        <v>0</v>
      </c>
    </row>
    <row r="211" spans="1:16">
      <c r="A211" t="str">
        <f>_xlfn.XLOOKUP(C:C,'Price List'!C:C,'Price List'!A:A)</f>
        <v>ANABELA NEVES PR</v>
      </c>
      <c r="B211" s="2" t="s">
        <v>1288</v>
      </c>
      <c r="C211" s="9">
        <v>10019105</v>
      </c>
      <c r="D211" s="2" t="s">
        <v>5028</v>
      </c>
      <c r="E211" s="9">
        <f>_xlfn.XLOOKUP(C:C,'Price List'!C:C,'Price List'!K:K)</f>
        <v>0</v>
      </c>
      <c r="F211" s="9">
        <f>_xlfn.XLOOKUP(C:C,'Price List'!C:C,'Price List'!E:E)</f>
        <v>12</v>
      </c>
      <c r="G211" s="9" t="str">
        <f>_xlfn.XLOOKUP(C:C,'Price List'!C:C,'Price List'!F:F)</f>
        <v>170 GR</v>
      </c>
      <c r="H211" s="6" t="s">
        <v>3</v>
      </c>
      <c r="I211" s="2" t="s">
        <v>4864</v>
      </c>
      <c r="J211" s="2" t="s">
        <v>5029</v>
      </c>
      <c r="K211" s="6" t="s">
        <v>4763</v>
      </c>
      <c r="L211" s="14">
        <v>46265</v>
      </c>
      <c r="M211" s="15">
        <v>86</v>
      </c>
      <c r="N211" t="str">
        <f t="shared" si="20"/>
        <v>10019105_2910</v>
      </c>
      <c r="O211" s="6">
        <f>_xlfn.XLOOKUP(N211,Allocation!H:H,Allocation!B:B,0)</f>
        <v>0</v>
      </c>
    </row>
    <row r="212" spans="1:16">
      <c r="A212" t="str">
        <f>_xlfn.XLOOKUP(C:C,'Price List'!C:C,'Price List'!A:A)</f>
        <v>Asif Ahmad PR</v>
      </c>
      <c r="B212" s="2" t="s">
        <v>3947</v>
      </c>
      <c r="C212" s="9">
        <v>10100283</v>
      </c>
      <c r="D212" s="2" t="s">
        <v>5030</v>
      </c>
      <c r="E212" s="9">
        <f>_xlfn.XLOOKUP(C:C,'Price List'!C:C,'Price List'!K:K)</f>
        <v>0</v>
      </c>
      <c r="F212" s="9">
        <f>_xlfn.XLOOKUP(C:C,'Price List'!C:C,'Price List'!E:E)</f>
        <v>14</v>
      </c>
      <c r="G212" s="9" t="str">
        <f>_xlfn.XLOOKUP(C:C,'Price List'!C:C,'Price List'!F:F)</f>
        <v>815 GR</v>
      </c>
      <c r="H212" s="6" t="s">
        <v>3</v>
      </c>
      <c r="I212" s="2" t="s">
        <v>4864</v>
      </c>
      <c r="J212" s="2" t="s">
        <v>5031</v>
      </c>
      <c r="K212" s="6" t="s">
        <v>4763</v>
      </c>
      <c r="L212" s="14">
        <v>46265</v>
      </c>
      <c r="M212" s="15">
        <v>144</v>
      </c>
      <c r="N212" t="str">
        <f t="shared" si="20"/>
        <v>10100283_2910</v>
      </c>
      <c r="O212" s="6">
        <f>_xlfn.XLOOKUP(N212,Allocation!H:H,Allocation!B:B,0)</f>
        <v>0</v>
      </c>
    </row>
    <row r="213" spans="1:16">
      <c r="A213" t="str">
        <f>_xlfn.XLOOKUP(C:C,'Price List'!C:C,'Price List'!A:A)</f>
        <v>NANCY QUISPE PT</v>
      </c>
      <c r="B213" s="2" t="s">
        <v>1207</v>
      </c>
      <c r="C213" s="9">
        <v>10017617</v>
      </c>
      <c r="D213" s="2" t="s">
        <v>574</v>
      </c>
      <c r="E213" s="9">
        <f>_xlfn.XLOOKUP(C:C,'Price List'!C:C,'Price List'!K:K)</f>
        <v>0</v>
      </c>
      <c r="F213" s="9">
        <f>_xlfn.XLOOKUP(C:C,'Price List'!C:C,'Price List'!E:E)</f>
        <v>5</v>
      </c>
      <c r="G213" s="9" t="str">
        <f>_xlfn.XLOOKUP(C:C,'Price List'!C:C,'Price List'!F:F)</f>
        <v>285 ML</v>
      </c>
      <c r="H213" s="6" t="s">
        <v>3</v>
      </c>
      <c r="I213" s="2" t="s">
        <v>4864</v>
      </c>
      <c r="J213" s="2" t="s">
        <v>5032</v>
      </c>
      <c r="K213" s="6" t="s">
        <v>4763</v>
      </c>
      <c r="L213" s="14">
        <v>46265</v>
      </c>
      <c r="M213" s="15">
        <v>30</v>
      </c>
      <c r="N213" t="str">
        <f t="shared" si="20"/>
        <v>10017617_2910</v>
      </c>
      <c r="O213" s="6">
        <f>_xlfn.XLOOKUP(N213,Allocation!H:H,Allocation!B:B,0)</f>
        <v>0</v>
      </c>
    </row>
    <row r="214" spans="1:16">
      <c r="A214" t="str">
        <f>_xlfn.XLOOKUP(C:C,'Price List'!C:C,'Price List'!A:A)</f>
        <v>NANCY QUISPE PT</v>
      </c>
      <c r="B214" s="2" t="s">
        <v>1207</v>
      </c>
      <c r="C214" s="9">
        <v>10017617</v>
      </c>
      <c r="D214" s="2" t="s">
        <v>574</v>
      </c>
      <c r="E214" s="9">
        <f>_xlfn.XLOOKUP(C:C,'Price List'!C:C,'Price List'!K:K)</f>
        <v>0</v>
      </c>
      <c r="F214" s="9">
        <f>_xlfn.XLOOKUP(C:C,'Price List'!C:C,'Price List'!E:E)</f>
        <v>5</v>
      </c>
      <c r="G214" s="9" t="str">
        <f>_xlfn.XLOOKUP(C:C,'Price List'!C:C,'Price List'!F:F)</f>
        <v>285 ML</v>
      </c>
      <c r="H214" s="6" t="s">
        <v>4</v>
      </c>
      <c r="I214" s="2" t="s">
        <v>4764</v>
      </c>
      <c r="J214" s="2" t="s">
        <v>5032</v>
      </c>
      <c r="K214" s="6" t="s">
        <v>4763</v>
      </c>
      <c r="L214" s="14">
        <v>46265</v>
      </c>
      <c r="M214" s="15">
        <v>38</v>
      </c>
      <c r="N214" t="str">
        <f t="shared" si="20"/>
        <v>10017617_2910</v>
      </c>
      <c r="O214" s="6">
        <f>_xlfn.XLOOKUP(N214,Allocation!H:H,Allocation!C:C,0)</f>
        <v>38</v>
      </c>
      <c r="P214" s="38">
        <f>M214-O214</f>
        <v>0</v>
      </c>
    </row>
    <row r="215" spans="1:16">
      <c r="A215" t="str">
        <f>_xlfn.XLOOKUP(C:C,'Price List'!C:C,'Price List'!A:A)</f>
        <v>ANABELA NEVES PR</v>
      </c>
      <c r="B215" s="2" t="s">
        <v>1288</v>
      </c>
      <c r="C215" s="9">
        <v>10019095</v>
      </c>
      <c r="D215" s="2" t="s">
        <v>5033</v>
      </c>
      <c r="E215" s="9">
        <f>_xlfn.XLOOKUP(C:C,'Price List'!C:C,'Price List'!K:K)</f>
        <v>0</v>
      </c>
      <c r="F215" s="9">
        <f>_xlfn.XLOOKUP(C:C,'Price List'!C:C,'Price List'!E:E)</f>
        <v>12</v>
      </c>
      <c r="G215" s="9" t="str">
        <f>_xlfn.XLOOKUP(C:C,'Price List'!C:C,'Price List'!F:F)</f>
        <v>170 GR</v>
      </c>
      <c r="H215" s="6" t="s">
        <v>6</v>
      </c>
      <c r="I215" s="2" t="s">
        <v>4877</v>
      </c>
      <c r="J215" s="2" t="s">
        <v>5034</v>
      </c>
      <c r="K215" s="6" t="s">
        <v>4763</v>
      </c>
      <c r="L215" s="14">
        <v>46265</v>
      </c>
      <c r="M215" s="15">
        <v>26</v>
      </c>
      <c r="N215" t="str">
        <f t="shared" si="20"/>
        <v>10019095_2910</v>
      </c>
      <c r="O215" s="6">
        <f>_xlfn.XLOOKUP(N215,Allocation!H:H,Allocation!E:E,0)</f>
        <v>0</v>
      </c>
      <c r="P215" s="38">
        <f t="shared" ref="P215:P218" si="23">M215-O215</f>
        <v>26</v>
      </c>
    </row>
    <row r="216" spans="1:16">
      <c r="A216" t="str">
        <f>_xlfn.XLOOKUP(C:C,'Price List'!C:C,'Price List'!A:A)</f>
        <v>AMOL PRAKASH</v>
      </c>
      <c r="B216" s="2" t="s">
        <v>3173</v>
      </c>
      <c r="C216" s="9">
        <v>10100179</v>
      </c>
      <c r="D216" s="2" t="s">
        <v>3860</v>
      </c>
      <c r="E216" s="9">
        <f>_xlfn.XLOOKUP(C:C,'Price List'!C:C,'Price List'!K:K)</f>
        <v>0</v>
      </c>
      <c r="F216" s="9">
        <f>_xlfn.XLOOKUP(C:C,'Price List'!C:C,'Price List'!E:E)</f>
        <v>12</v>
      </c>
      <c r="G216" s="9" t="str">
        <f>_xlfn.XLOOKUP(C:C,'Price List'!C:C,'Price List'!F:F)</f>
        <v>198 GR</v>
      </c>
      <c r="H216" s="6" t="s">
        <v>6</v>
      </c>
      <c r="I216" s="2" t="s">
        <v>4877</v>
      </c>
      <c r="J216" s="2" t="s">
        <v>5035</v>
      </c>
      <c r="K216" s="6" t="s">
        <v>4763</v>
      </c>
      <c r="L216" s="14">
        <v>46265</v>
      </c>
      <c r="M216" s="15">
        <v>9</v>
      </c>
      <c r="N216" t="str">
        <f t="shared" si="20"/>
        <v>10100179_2910</v>
      </c>
      <c r="O216" s="6">
        <f>_xlfn.XLOOKUP(N216,Allocation!H:H,Allocation!E:E,0)</f>
        <v>0</v>
      </c>
      <c r="P216" s="38">
        <f t="shared" si="23"/>
        <v>9</v>
      </c>
    </row>
    <row r="217" spans="1:16">
      <c r="A217" t="str">
        <f>_xlfn.XLOOKUP(C:C,'Price List'!C:C,'Price List'!A:A)</f>
        <v>MICHELLE JEWELL NT</v>
      </c>
      <c r="B217" s="2" t="s">
        <v>1914</v>
      </c>
      <c r="C217" s="9">
        <v>10038153</v>
      </c>
      <c r="D217" s="2" t="s">
        <v>460</v>
      </c>
      <c r="E217" s="9">
        <f>_xlfn.XLOOKUP(C:C,'Price List'!C:C,'Price List'!K:K)</f>
        <v>0</v>
      </c>
      <c r="F217" s="9">
        <f>_xlfn.XLOOKUP(C:C,'Price List'!C:C,'Price List'!E:E)</f>
        <v>4</v>
      </c>
      <c r="G217" s="9" t="str">
        <f>_xlfn.XLOOKUP(C:C,'Price List'!C:C,'Price List'!F:F)</f>
        <v>225 GR</v>
      </c>
      <c r="H217" s="6" t="s">
        <v>6</v>
      </c>
      <c r="I217" s="2" t="s">
        <v>4877</v>
      </c>
      <c r="J217" s="2" t="s">
        <v>5036</v>
      </c>
      <c r="K217" s="6" t="s">
        <v>4763</v>
      </c>
      <c r="L217" s="14">
        <v>46265</v>
      </c>
      <c r="M217" s="15">
        <v>5</v>
      </c>
      <c r="N217" t="str">
        <f t="shared" si="20"/>
        <v>10038153_2910</v>
      </c>
      <c r="O217" s="6">
        <f>_xlfn.XLOOKUP(N217,Allocation!H:H,Allocation!E:E,0)</f>
        <v>0</v>
      </c>
      <c r="P217" s="38">
        <f t="shared" si="23"/>
        <v>5</v>
      </c>
    </row>
    <row r="218" spans="1:16">
      <c r="A218" t="str">
        <f>_xlfn.XLOOKUP(C:C,'Price List'!C:C,'Price List'!A:A)</f>
        <v>NANCY QUISPE PT</v>
      </c>
      <c r="B218" s="2" t="s">
        <v>1207</v>
      </c>
      <c r="C218" s="9">
        <v>10017611</v>
      </c>
      <c r="D218" s="2" t="s">
        <v>474</v>
      </c>
      <c r="E218" s="9">
        <f>_xlfn.XLOOKUP(C:C,'Price List'!C:C,'Price List'!K:K)</f>
        <v>0</v>
      </c>
      <c r="F218" s="9">
        <f>_xlfn.XLOOKUP(C:C,'Price List'!C:C,'Price List'!E:E)</f>
        <v>5</v>
      </c>
      <c r="G218" s="9" t="str">
        <f>_xlfn.XLOOKUP(C:C,'Price List'!C:C,'Price List'!F:F)</f>
        <v>285 ML</v>
      </c>
      <c r="H218" s="6" t="s">
        <v>6</v>
      </c>
      <c r="I218" s="2" t="s">
        <v>4877</v>
      </c>
      <c r="J218" s="2" t="s">
        <v>5037</v>
      </c>
      <c r="K218" s="6" t="s">
        <v>4763</v>
      </c>
      <c r="L218" s="14">
        <v>46265</v>
      </c>
      <c r="M218" s="15">
        <v>21</v>
      </c>
      <c r="N218" t="str">
        <f t="shared" si="20"/>
        <v>10017611_2910</v>
      </c>
      <c r="O218" s="6">
        <f>_xlfn.XLOOKUP(N218,Allocation!H:H,Allocation!E:E,0)</f>
        <v>0</v>
      </c>
      <c r="P218" s="38">
        <f t="shared" si="23"/>
        <v>21</v>
      </c>
    </row>
    <row r="219" spans="1:16">
      <c r="A219" t="str">
        <f>_xlfn.XLOOKUP(C:C,'Price List'!C:C,'Price List'!A:A)</f>
        <v>Michael Gambino PR</v>
      </c>
      <c r="B219" s="2" t="s">
        <v>2597</v>
      </c>
      <c r="C219" s="9">
        <v>10052077</v>
      </c>
      <c r="D219" s="2" t="s">
        <v>5038</v>
      </c>
      <c r="E219" s="9">
        <f>_xlfn.XLOOKUP(C:C,'Price List'!C:C,'Price List'!K:K)</f>
        <v>0</v>
      </c>
      <c r="F219" s="9">
        <f>_xlfn.XLOOKUP(C:C,'Price List'!C:C,'Price List'!E:E)</f>
        <v>10</v>
      </c>
      <c r="G219" s="9" t="str">
        <f>_xlfn.XLOOKUP(C:C,'Price List'!C:C,'Price List'!F:F)</f>
        <v>180 GR</v>
      </c>
      <c r="H219" s="6" t="s">
        <v>3</v>
      </c>
      <c r="I219" s="2" t="s">
        <v>4864</v>
      </c>
      <c r="J219" s="2" t="s">
        <v>5039</v>
      </c>
      <c r="K219" s="6" t="s">
        <v>4763</v>
      </c>
      <c r="L219" s="14">
        <v>46266</v>
      </c>
      <c r="M219" s="15">
        <v>21</v>
      </c>
      <c r="N219" t="str">
        <f t="shared" si="20"/>
        <v>10052077_2910</v>
      </c>
      <c r="O219" s="6">
        <f>_xlfn.XLOOKUP(N219,Allocation!H:H,Allocation!B:B,0)</f>
        <v>0</v>
      </c>
    </row>
    <row r="220" spans="1:16">
      <c r="A220" t="str">
        <f>_xlfn.XLOOKUP(C:C,'Price List'!C:C,'Price List'!A:A)</f>
        <v>ANABELA NEVES PR</v>
      </c>
      <c r="B220" s="2" t="s">
        <v>2609</v>
      </c>
      <c r="C220" s="9">
        <v>10052114</v>
      </c>
      <c r="D220" s="2" t="s">
        <v>184</v>
      </c>
      <c r="E220" s="9">
        <f>_xlfn.XLOOKUP(C:C,'Price List'!C:C,'Price List'!K:K)</f>
        <v>0</v>
      </c>
      <c r="F220" s="9">
        <f>_xlfn.XLOOKUP(C:C,'Price List'!C:C,'Price List'!E:E)</f>
        <v>12</v>
      </c>
      <c r="G220" s="9" t="str">
        <f>_xlfn.XLOOKUP(C:C,'Price List'!C:C,'Price List'!F:F)</f>
        <v>170 GR</v>
      </c>
      <c r="H220" s="6" t="s">
        <v>3</v>
      </c>
      <c r="I220" s="2" t="s">
        <v>4864</v>
      </c>
      <c r="J220" s="2" t="s">
        <v>5040</v>
      </c>
      <c r="K220" s="6" t="s">
        <v>4763</v>
      </c>
      <c r="L220" s="14">
        <v>46266</v>
      </c>
      <c r="M220" s="15">
        <v>8</v>
      </c>
      <c r="N220" t="str">
        <f t="shared" si="20"/>
        <v>10052114_2910</v>
      </c>
      <c r="O220" s="6">
        <f>_xlfn.XLOOKUP(N220,Allocation!H:H,Allocation!B:B,0)</f>
        <v>0</v>
      </c>
    </row>
    <row r="221" spans="1:16">
      <c r="A221" t="str">
        <f>_xlfn.XLOOKUP(C:C,'Price List'!C:C,'Price List'!A:A)</f>
        <v>ANABELA NEVES PR</v>
      </c>
      <c r="B221" s="2" t="s">
        <v>2609</v>
      </c>
      <c r="C221" s="9">
        <v>10052116</v>
      </c>
      <c r="D221" s="2" t="s">
        <v>5041</v>
      </c>
      <c r="E221" s="9">
        <f>_xlfn.XLOOKUP(C:C,'Price List'!C:C,'Price List'!K:K)</f>
        <v>0</v>
      </c>
      <c r="F221" s="9">
        <f>_xlfn.XLOOKUP(C:C,'Price List'!C:C,'Price List'!E:E)</f>
        <v>12</v>
      </c>
      <c r="G221" s="9" t="str">
        <f>_xlfn.XLOOKUP(C:C,'Price List'!C:C,'Price List'!F:F)</f>
        <v>170 GR</v>
      </c>
      <c r="H221" s="6" t="s">
        <v>3</v>
      </c>
      <c r="I221" s="2" t="s">
        <v>4864</v>
      </c>
      <c r="J221" s="2" t="s">
        <v>5042</v>
      </c>
      <c r="K221" s="6" t="s">
        <v>4763</v>
      </c>
      <c r="L221" s="14">
        <v>46266</v>
      </c>
      <c r="M221" s="15">
        <v>2</v>
      </c>
      <c r="N221" t="str">
        <f t="shared" si="20"/>
        <v>10052116_2910</v>
      </c>
      <c r="O221" s="6">
        <f>_xlfn.XLOOKUP(N221,Allocation!H:H,Allocation!B:B,0)</f>
        <v>0</v>
      </c>
    </row>
    <row r="222" spans="1:16">
      <c r="A222" t="str">
        <f>_xlfn.XLOOKUP(C:C,'Price List'!C:C,'Price List'!A:A)</f>
        <v>Michael Gambino PR</v>
      </c>
      <c r="B222" s="2" t="s">
        <v>2597</v>
      </c>
      <c r="C222" s="9">
        <v>10052077</v>
      </c>
      <c r="D222" s="2" t="s">
        <v>5038</v>
      </c>
      <c r="E222" s="9">
        <f>_xlfn.XLOOKUP(C:C,'Price List'!C:C,'Price List'!K:K)</f>
        <v>0</v>
      </c>
      <c r="F222" s="9">
        <f>_xlfn.XLOOKUP(C:C,'Price List'!C:C,'Price List'!E:E)</f>
        <v>10</v>
      </c>
      <c r="G222" s="9" t="str">
        <f>_xlfn.XLOOKUP(C:C,'Price List'!C:C,'Price List'!F:F)</f>
        <v>180 GR</v>
      </c>
      <c r="H222" s="6" t="s">
        <v>6</v>
      </c>
      <c r="I222" s="2" t="s">
        <v>4877</v>
      </c>
      <c r="J222" s="2" t="s">
        <v>5039</v>
      </c>
      <c r="K222" s="6" t="s">
        <v>4763</v>
      </c>
      <c r="L222" s="14">
        <v>46266</v>
      </c>
      <c r="M222" s="15">
        <v>3</v>
      </c>
      <c r="N222" t="str">
        <f t="shared" si="20"/>
        <v>10052077_2910</v>
      </c>
      <c r="O222" s="6">
        <f>_xlfn.XLOOKUP(N222,Allocation!H:H,Allocation!E:E,0)</f>
        <v>0</v>
      </c>
      <c r="P222" s="38">
        <f t="shared" ref="P222:P229" si="24">M222-O222</f>
        <v>3</v>
      </c>
    </row>
    <row r="223" spans="1:16">
      <c r="A223" t="str">
        <f>_xlfn.XLOOKUP(C:C,'Price List'!C:C,'Price List'!A:A)</f>
        <v>ANABELA NEVES PR</v>
      </c>
      <c r="B223" s="2" t="s">
        <v>2609</v>
      </c>
      <c r="C223" s="9">
        <v>10052110</v>
      </c>
      <c r="D223" s="2" t="s">
        <v>418</v>
      </c>
      <c r="E223" s="9">
        <f>_xlfn.XLOOKUP(C:C,'Price List'!C:C,'Price List'!K:K)</f>
        <v>0</v>
      </c>
      <c r="F223" s="9">
        <f>_xlfn.XLOOKUP(C:C,'Price List'!C:C,'Price List'!E:E)</f>
        <v>12</v>
      </c>
      <c r="G223" s="9" t="str">
        <f>_xlfn.XLOOKUP(C:C,'Price List'!C:C,'Price List'!F:F)</f>
        <v>170 GR</v>
      </c>
      <c r="H223" s="6" t="s">
        <v>6</v>
      </c>
      <c r="I223" s="2" t="s">
        <v>4877</v>
      </c>
      <c r="J223" s="2" t="s">
        <v>5043</v>
      </c>
      <c r="K223" s="6" t="s">
        <v>4763</v>
      </c>
      <c r="L223" s="14">
        <v>46266</v>
      </c>
      <c r="M223" s="15">
        <v>1</v>
      </c>
      <c r="N223" t="str">
        <f t="shared" si="20"/>
        <v>10052110_2910</v>
      </c>
      <c r="O223" s="6">
        <f>_xlfn.XLOOKUP(N223,Allocation!H:H,Allocation!E:E,0)</f>
        <v>0</v>
      </c>
      <c r="P223" s="38">
        <f t="shared" si="24"/>
        <v>1</v>
      </c>
    </row>
    <row r="224" spans="1:16">
      <c r="A224" t="str">
        <f>_xlfn.XLOOKUP(C:C,'Price List'!C:C,'Price List'!A:A)</f>
        <v>ANABELA NEVES PR</v>
      </c>
      <c r="B224" s="2" t="s">
        <v>2609</v>
      </c>
      <c r="C224" s="9">
        <v>10052114</v>
      </c>
      <c r="D224" s="2" t="s">
        <v>184</v>
      </c>
      <c r="E224" s="9">
        <f>_xlfn.XLOOKUP(C:C,'Price List'!C:C,'Price List'!K:K)</f>
        <v>0</v>
      </c>
      <c r="F224" s="9">
        <f>_xlfn.XLOOKUP(C:C,'Price List'!C:C,'Price List'!E:E)</f>
        <v>12</v>
      </c>
      <c r="G224" s="9" t="str">
        <f>_xlfn.XLOOKUP(C:C,'Price List'!C:C,'Price List'!F:F)</f>
        <v>170 GR</v>
      </c>
      <c r="H224" s="6" t="s">
        <v>6</v>
      </c>
      <c r="I224" s="2" t="s">
        <v>4877</v>
      </c>
      <c r="J224" s="2" t="s">
        <v>5040</v>
      </c>
      <c r="K224" s="6" t="s">
        <v>4763</v>
      </c>
      <c r="L224" s="14">
        <v>46266</v>
      </c>
      <c r="M224" s="15">
        <v>3</v>
      </c>
      <c r="N224" t="str">
        <f t="shared" si="20"/>
        <v>10052114_2910</v>
      </c>
      <c r="O224" s="6">
        <f>_xlfn.XLOOKUP(N224,Allocation!H:H,Allocation!E:E,0)</f>
        <v>0</v>
      </c>
      <c r="P224" s="38">
        <f t="shared" si="24"/>
        <v>3</v>
      </c>
    </row>
    <row r="225" spans="1:16">
      <c r="A225" t="str">
        <f>_xlfn.XLOOKUP(C:C,'Price List'!C:C,'Price List'!A:A)</f>
        <v>JAMES TYSON</v>
      </c>
      <c r="B225" s="2" t="s">
        <v>691</v>
      </c>
      <c r="C225" s="9">
        <v>10058821</v>
      </c>
      <c r="D225" s="2" t="s">
        <v>431</v>
      </c>
      <c r="E225" s="9">
        <f>_xlfn.XLOOKUP(C:C,'Price List'!C:C,'Price List'!K:K)</f>
        <v>0</v>
      </c>
      <c r="F225" s="9">
        <f>_xlfn.XLOOKUP(C:C,'Price List'!C:C,'Price List'!E:E)</f>
        <v>6</v>
      </c>
      <c r="G225" s="9" t="str">
        <f>_xlfn.XLOOKUP(C:C,'Price List'!C:C,'Price List'!F:F)</f>
        <v>156 GR</v>
      </c>
      <c r="H225" s="6" t="s">
        <v>6</v>
      </c>
      <c r="I225" s="2" t="s">
        <v>4877</v>
      </c>
      <c r="J225" s="2" t="s">
        <v>5044</v>
      </c>
      <c r="K225" s="6" t="s">
        <v>4763</v>
      </c>
      <c r="L225" s="14">
        <v>46267</v>
      </c>
      <c r="M225" s="15">
        <v>6</v>
      </c>
      <c r="N225" t="str">
        <f t="shared" si="20"/>
        <v>10058821_2910</v>
      </c>
      <c r="O225" s="6">
        <f>_xlfn.XLOOKUP(N225,Allocation!H:H,Allocation!E:E,0)</f>
        <v>0</v>
      </c>
      <c r="P225" s="38">
        <f t="shared" si="24"/>
        <v>6</v>
      </c>
    </row>
    <row r="226" spans="1:16">
      <c r="A226" t="str">
        <f>_xlfn.XLOOKUP(C:C,'Price List'!C:C,'Price List'!A:A)</f>
        <v>AMOL PRAKASH</v>
      </c>
      <c r="B226" s="2" t="s">
        <v>664</v>
      </c>
      <c r="C226" s="9">
        <v>10003076</v>
      </c>
      <c r="D226" s="2" t="s">
        <v>5045</v>
      </c>
      <c r="E226" s="9">
        <f>_xlfn.XLOOKUP(C:C,'Price List'!C:C,'Price List'!K:K)</f>
        <v>0</v>
      </c>
      <c r="F226" s="9">
        <f>_xlfn.XLOOKUP(C:C,'Price List'!C:C,'Price List'!E:E)</f>
        <v>8</v>
      </c>
      <c r="G226" s="9" t="str">
        <f>_xlfn.XLOOKUP(C:C,'Price List'!C:C,'Price List'!F:F)</f>
        <v>3X200 ML</v>
      </c>
      <c r="H226" s="6" t="s">
        <v>6</v>
      </c>
      <c r="I226" s="2" t="s">
        <v>4877</v>
      </c>
      <c r="J226" s="2" t="s">
        <v>5046</v>
      </c>
      <c r="K226" s="6" t="s">
        <v>4763</v>
      </c>
      <c r="L226" s="14">
        <v>46267</v>
      </c>
      <c r="M226" s="15">
        <v>16</v>
      </c>
      <c r="N226" t="str">
        <f t="shared" si="20"/>
        <v>10003076_2910</v>
      </c>
      <c r="O226" s="6">
        <f>_xlfn.XLOOKUP(N226,Allocation!H:H,Allocation!E:E,0)</f>
        <v>0</v>
      </c>
      <c r="P226" s="38">
        <f t="shared" si="24"/>
        <v>16</v>
      </c>
    </row>
    <row r="227" spans="1:16">
      <c r="A227" t="str">
        <f>_xlfn.XLOOKUP(C:C,'Price List'!C:C,'Price List'!A:A)</f>
        <v>MICHELLE JEWELL NT</v>
      </c>
      <c r="B227" s="2" t="s">
        <v>1914</v>
      </c>
      <c r="C227" s="9">
        <v>10100369</v>
      </c>
      <c r="D227" s="2" t="s">
        <v>4062</v>
      </c>
      <c r="E227" s="9">
        <f>_xlfn.XLOOKUP(C:C,'Price List'!C:C,'Price List'!K:K)</f>
        <v>0</v>
      </c>
      <c r="F227" s="9">
        <f>_xlfn.XLOOKUP(C:C,'Price List'!C:C,'Price List'!E:E)</f>
        <v>8</v>
      </c>
      <c r="G227" s="9" t="str">
        <f>_xlfn.XLOOKUP(C:C,'Price List'!C:C,'Price List'!F:F)</f>
        <v>400 GR</v>
      </c>
      <c r="H227" s="6" t="s">
        <v>6</v>
      </c>
      <c r="I227" s="2" t="s">
        <v>4877</v>
      </c>
      <c r="J227" s="2" t="s">
        <v>5047</v>
      </c>
      <c r="K227" s="6" t="s">
        <v>4763</v>
      </c>
      <c r="L227" s="14">
        <v>46268</v>
      </c>
      <c r="M227" s="15">
        <v>1</v>
      </c>
      <c r="N227" t="str">
        <f t="shared" si="20"/>
        <v>10100369_2910</v>
      </c>
      <c r="O227" s="6">
        <f>_xlfn.XLOOKUP(N227,Allocation!H:H,Allocation!E:E,0)</f>
        <v>0</v>
      </c>
      <c r="P227" s="38">
        <f t="shared" si="24"/>
        <v>1</v>
      </c>
    </row>
    <row r="228" spans="1:16">
      <c r="A228" t="str">
        <f>_xlfn.XLOOKUP(C:C,'Price List'!C:C,'Price List'!A:A)</f>
        <v>SAMANTHA RODRIGUES GB</v>
      </c>
      <c r="B228" s="2" t="s">
        <v>2741</v>
      </c>
      <c r="C228" s="9">
        <v>10057118</v>
      </c>
      <c r="D228" s="2" t="s">
        <v>5048</v>
      </c>
      <c r="E228" s="9">
        <f>_xlfn.XLOOKUP(C:C,'Price List'!C:C,'Price List'!K:K)</f>
        <v>0</v>
      </c>
      <c r="F228" s="9">
        <f>_xlfn.XLOOKUP(C:C,'Price List'!C:C,'Price List'!E:E)</f>
        <v>12</v>
      </c>
      <c r="G228" s="9" t="str">
        <f>_xlfn.XLOOKUP(C:C,'Price List'!C:C,'Price List'!F:F)</f>
        <v>283 GR</v>
      </c>
      <c r="H228" s="6" t="s">
        <v>6</v>
      </c>
      <c r="I228" s="2" t="s">
        <v>4877</v>
      </c>
      <c r="J228" s="2" t="s">
        <v>5049</v>
      </c>
      <c r="K228" s="6" t="s">
        <v>4763</v>
      </c>
      <c r="L228" s="14">
        <v>46269</v>
      </c>
      <c r="M228" s="15">
        <v>11</v>
      </c>
      <c r="N228" t="str">
        <f t="shared" si="20"/>
        <v>10057118_2910</v>
      </c>
      <c r="O228" s="6">
        <f>_xlfn.XLOOKUP(N228,Allocation!H:H,Allocation!E:E,0)</f>
        <v>0</v>
      </c>
      <c r="P228" s="38">
        <f t="shared" si="24"/>
        <v>11</v>
      </c>
    </row>
    <row r="229" spans="1:16">
      <c r="A229" t="str">
        <f>_xlfn.XLOOKUP(C:C,'Price List'!C:C,'Price List'!A:A)</f>
        <v>SAMANTHA RODRIGUES GB</v>
      </c>
      <c r="B229" s="2" t="s">
        <v>2741</v>
      </c>
      <c r="C229" s="9">
        <v>10066138</v>
      </c>
      <c r="D229" s="2" t="s">
        <v>3208</v>
      </c>
      <c r="E229" s="9">
        <f>_xlfn.XLOOKUP(C:C,'Price List'!C:C,'Price List'!K:K)</f>
        <v>0</v>
      </c>
      <c r="F229" s="9">
        <f>_xlfn.XLOOKUP(C:C,'Price List'!C:C,'Price List'!E:E)</f>
        <v>12</v>
      </c>
      <c r="G229" s="9" t="str">
        <f>_xlfn.XLOOKUP(C:C,'Price List'!C:C,'Price List'!F:F)</f>
        <v>295 ML</v>
      </c>
      <c r="H229" s="6" t="s">
        <v>6</v>
      </c>
      <c r="I229" s="2" t="s">
        <v>4877</v>
      </c>
      <c r="J229" s="2" t="s">
        <v>5049</v>
      </c>
      <c r="K229" s="6" t="s">
        <v>4763</v>
      </c>
      <c r="L229" s="14">
        <v>46269</v>
      </c>
      <c r="M229" s="15">
        <v>40</v>
      </c>
      <c r="N229" t="str">
        <f t="shared" si="20"/>
        <v>10066138_2910</v>
      </c>
      <c r="O229" s="6">
        <f>_xlfn.XLOOKUP(N229,Allocation!H:H,Allocation!E:E,0)</f>
        <v>0</v>
      </c>
      <c r="P229" s="38">
        <f t="shared" si="24"/>
        <v>40</v>
      </c>
    </row>
    <row r="230" spans="1:16">
      <c r="A230" t="str">
        <f>_xlfn.XLOOKUP(C:C,'Price List'!C:C,'Price List'!A:A)</f>
        <v>TRACEY LAWRENCE</v>
      </c>
      <c r="B230" s="2" t="s">
        <v>3214</v>
      </c>
      <c r="C230" s="9">
        <v>10067039</v>
      </c>
      <c r="D230" s="2" t="s">
        <v>5020</v>
      </c>
      <c r="E230" s="9">
        <f>_xlfn.XLOOKUP(C:C,'Price List'!C:C,'Price List'!K:K)</f>
        <v>0</v>
      </c>
      <c r="F230" s="9">
        <f>_xlfn.XLOOKUP(C:C,'Price List'!C:C,'Price List'!E:E)</f>
        <v>12</v>
      </c>
      <c r="G230" s="9" t="str">
        <f>_xlfn.XLOOKUP(C:C,'Price List'!C:C,'Price List'!F:F)</f>
        <v>156 GR</v>
      </c>
      <c r="H230" s="6" t="s">
        <v>3</v>
      </c>
      <c r="I230" s="2" t="s">
        <v>4864</v>
      </c>
      <c r="J230" s="2" t="s">
        <v>5050</v>
      </c>
      <c r="K230" s="6" t="s">
        <v>4763</v>
      </c>
      <c r="L230" s="14">
        <v>46270</v>
      </c>
      <c r="M230" s="15">
        <v>6</v>
      </c>
      <c r="N230" t="str">
        <f t="shared" si="20"/>
        <v>10067039_2910</v>
      </c>
      <c r="O230" s="6">
        <f>_xlfn.XLOOKUP(N230,Allocation!H:H,Allocation!B:B,0)</f>
        <v>0</v>
      </c>
    </row>
    <row r="231" spans="1:16">
      <c r="A231" t="str">
        <f>_xlfn.XLOOKUP(C:C,'Price List'!C:C,'Price List'!A:A)</f>
        <v>TRACEY LAWRENCE</v>
      </c>
      <c r="B231" s="2" t="s">
        <v>1261</v>
      </c>
      <c r="C231" s="9">
        <v>10018661</v>
      </c>
      <c r="D231" s="2" t="s">
        <v>405</v>
      </c>
      <c r="E231" s="9">
        <f>_xlfn.XLOOKUP(C:C,'Price List'!C:C,'Price List'!K:K)</f>
        <v>0</v>
      </c>
      <c r="F231" s="9">
        <f>_xlfn.XLOOKUP(C:C,'Price List'!C:C,'Price List'!E:E)</f>
        <v>12</v>
      </c>
      <c r="G231" s="9" t="str">
        <f>_xlfn.XLOOKUP(C:C,'Price List'!C:C,'Price List'!F:F)</f>
        <v>240 GR</v>
      </c>
      <c r="H231" s="6" t="s">
        <v>6</v>
      </c>
      <c r="I231" s="2" t="s">
        <v>4877</v>
      </c>
      <c r="J231" s="2" t="s">
        <v>5051</v>
      </c>
      <c r="K231" s="6" t="s">
        <v>4763</v>
      </c>
      <c r="L231" s="14">
        <v>46270</v>
      </c>
      <c r="M231" s="15">
        <v>3</v>
      </c>
      <c r="N231" t="str">
        <f t="shared" si="20"/>
        <v>10018661_2910</v>
      </c>
      <c r="O231" s="6">
        <f>_xlfn.XLOOKUP(N231,Allocation!H:H,Allocation!E:E,0)</f>
        <v>0</v>
      </c>
      <c r="P231" s="38">
        <f t="shared" ref="P231:P232" si="25">M231-O231</f>
        <v>3</v>
      </c>
    </row>
    <row r="232" spans="1:16">
      <c r="A232" t="str">
        <f>_xlfn.XLOOKUP(C:C,'Price List'!C:C,'Price List'!A:A)</f>
        <v>ANNA MARIA D'ANGELA</v>
      </c>
      <c r="B232" s="2" t="s">
        <v>852</v>
      </c>
      <c r="C232" s="9">
        <v>10100476</v>
      </c>
      <c r="D232" s="2" t="s">
        <v>4161</v>
      </c>
      <c r="E232" s="9">
        <f>_xlfn.XLOOKUP(C:C,'Price List'!C:C,'Price List'!K:K)</f>
        <v>0</v>
      </c>
      <c r="F232" s="9">
        <f>_xlfn.XLOOKUP(C:C,'Price List'!C:C,'Price List'!E:E)</f>
        <v>8</v>
      </c>
      <c r="G232" s="9" t="str">
        <f>_xlfn.XLOOKUP(C:C,'Price List'!C:C,'Price List'!F:F)</f>
        <v>225 GR</v>
      </c>
      <c r="H232" s="6" t="s">
        <v>6</v>
      </c>
      <c r="I232" s="2" t="s">
        <v>4877</v>
      </c>
      <c r="J232" s="2" t="s">
        <v>5052</v>
      </c>
      <c r="K232" s="6" t="s">
        <v>4763</v>
      </c>
      <c r="L232" s="14">
        <v>46272</v>
      </c>
      <c r="M232" s="15">
        <v>1</v>
      </c>
      <c r="N232" t="str">
        <f t="shared" si="20"/>
        <v>10100476_2910</v>
      </c>
      <c r="O232" s="6">
        <f>_xlfn.XLOOKUP(N232,Allocation!H:H,Allocation!E:E,0)</f>
        <v>0</v>
      </c>
      <c r="P232" s="38">
        <f t="shared" si="25"/>
        <v>1</v>
      </c>
    </row>
    <row r="233" spans="1:16">
      <c r="A233" t="str">
        <f>_xlfn.XLOOKUP(C:C,'Price List'!C:C,'Price List'!A:A)</f>
        <v>ASIF AHMAD GB</v>
      </c>
      <c r="B233" s="2" t="s">
        <v>1161</v>
      </c>
      <c r="C233" s="9">
        <v>10016403</v>
      </c>
      <c r="D233" s="2" t="s">
        <v>4869</v>
      </c>
      <c r="E233" s="9">
        <f>_xlfn.XLOOKUP(C:C,'Price List'!C:C,'Price List'!K:K)</f>
        <v>0</v>
      </c>
      <c r="F233" s="9">
        <f>_xlfn.XLOOKUP(C:C,'Price List'!C:C,'Price List'!E:E)</f>
        <v>12</v>
      </c>
      <c r="G233" s="9" t="str">
        <f>_xlfn.XLOOKUP(C:C,'Price List'!C:C,'Price List'!F:F)</f>
        <v>946 ML</v>
      </c>
      <c r="H233" s="6" t="s">
        <v>3</v>
      </c>
      <c r="I233" s="2" t="s">
        <v>4864</v>
      </c>
      <c r="J233" s="2" t="s">
        <v>5053</v>
      </c>
      <c r="K233" s="6" t="s">
        <v>4763</v>
      </c>
      <c r="L233" s="14">
        <v>46273</v>
      </c>
      <c r="M233" s="15">
        <v>280</v>
      </c>
      <c r="N233" t="str">
        <f t="shared" si="20"/>
        <v>10016403_2910</v>
      </c>
      <c r="O233" s="6">
        <f>_xlfn.XLOOKUP(N233,Allocation!H:H,Allocation!B:B,0)</f>
        <v>0</v>
      </c>
    </row>
    <row r="234" spans="1:16">
      <c r="A234" t="str">
        <f>_xlfn.XLOOKUP(C:C,'Price List'!C:C,'Price List'!A:A)</f>
        <v>AMOL PRAKASH</v>
      </c>
      <c r="B234" s="2" t="s">
        <v>664</v>
      </c>
      <c r="C234" s="9">
        <v>10003057</v>
      </c>
      <c r="D234" s="2" t="s">
        <v>5054</v>
      </c>
      <c r="E234" s="9">
        <f>_xlfn.XLOOKUP(C:C,'Price List'!C:C,'Price List'!K:K)</f>
        <v>0</v>
      </c>
      <c r="F234" s="9">
        <f>_xlfn.XLOOKUP(C:C,'Price List'!C:C,'Price List'!E:E)</f>
        <v>12</v>
      </c>
      <c r="G234" s="9" t="str">
        <f>_xlfn.XLOOKUP(C:C,'Price List'!C:C,'Price List'!F:F)</f>
        <v>946 ML</v>
      </c>
      <c r="H234" s="6" t="s">
        <v>3</v>
      </c>
      <c r="I234" s="2" t="s">
        <v>4864</v>
      </c>
      <c r="J234" s="2" t="s">
        <v>5055</v>
      </c>
      <c r="K234" s="6" t="s">
        <v>4763</v>
      </c>
      <c r="L234" s="14">
        <v>46273</v>
      </c>
      <c r="M234" s="15">
        <v>398</v>
      </c>
      <c r="N234" t="str">
        <f t="shared" si="20"/>
        <v>10003057_2910</v>
      </c>
      <c r="O234" s="6">
        <f>_xlfn.XLOOKUP(N234,Allocation!H:H,Allocation!B:B,0)</f>
        <v>0</v>
      </c>
    </row>
    <row r="235" spans="1:16">
      <c r="A235" t="str">
        <f>_xlfn.XLOOKUP(C:C,'Price List'!C:C,'Price List'!A:A)</f>
        <v>AMOL PRAKASH</v>
      </c>
      <c r="B235" s="2" t="s">
        <v>664</v>
      </c>
      <c r="C235" s="9">
        <v>10003058</v>
      </c>
      <c r="D235" s="2" t="s">
        <v>5056</v>
      </c>
      <c r="E235" s="9">
        <f>_xlfn.XLOOKUP(C:C,'Price List'!C:C,'Price List'!K:K)</f>
        <v>0</v>
      </c>
      <c r="F235" s="9">
        <f>_xlfn.XLOOKUP(C:C,'Price List'!C:C,'Price List'!E:E)</f>
        <v>12</v>
      </c>
      <c r="G235" s="9" t="str">
        <f>_xlfn.XLOOKUP(C:C,'Price List'!C:C,'Price List'!F:F)</f>
        <v>946 ML</v>
      </c>
      <c r="H235" s="6" t="s">
        <v>3</v>
      </c>
      <c r="I235" s="2" t="s">
        <v>4864</v>
      </c>
      <c r="J235" s="2" t="s">
        <v>5055</v>
      </c>
      <c r="K235" s="6" t="s">
        <v>4763</v>
      </c>
      <c r="L235" s="14">
        <v>46273</v>
      </c>
      <c r="M235" s="15">
        <v>58</v>
      </c>
      <c r="N235" t="str">
        <f t="shared" si="20"/>
        <v>10003058_2910</v>
      </c>
      <c r="O235" s="6">
        <f>_xlfn.XLOOKUP(N235,Allocation!H:H,Allocation!B:B,0)</f>
        <v>0</v>
      </c>
    </row>
    <row r="236" spans="1:16">
      <c r="A236" t="str">
        <f>_xlfn.XLOOKUP(C:C,'Price List'!C:C,'Price List'!A:A)</f>
        <v>NIKISHA MOHAMMED</v>
      </c>
      <c r="B236" s="2" t="s">
        <v>1864</v>
      </c>
      <c r="C236" s="9">
        <v>10040160</v>
      </c>
      <c r="D236" s="2" t="s">
        <v>5057</v>
      </c>
      <c r="E236" s="9">
        <f>_xlfn.XLOOKUP(C:C,'Price List'!C:C,'Price List'!K:K)</f>
        <v>0</v>
      </c>
      <c r="F236" s="9">
        <f>_xlfn.XLOOKUP(C:C,'Price List'!C:C,'Price List'!E:E)</f>
        <v>6</v>
      </c>
      <c r="G236" s="9" t="str">
        <f>_xlfn.XLOOKUP(C:C,'Price List'!C:C,'Price List'!F:F)</f>
        <v>220 ML</v>
      </c>
      <c r="H236" s="6" t="s">
        <v>6</v>
      </c>
      <c r="I236" s="2" t="s">
        <v>4877</v>
      </c>
      <c r="J236" s="2" t="s">
        <v>5058</v>
      </c>
      <c r="K236" s="6" t="s">
        <v>4763</v>
      </c>
      <c r="L236" s="14">
        <v>46273</v>
      </c>
      <c r="M236" s="15">
        <v>10</v>
      </c>
      <c r="N236" t="str">
        <f t="shared" si="20"/>
        <v>10040160_2910</v>
      </c>
      <c r="O236" s="6">
        <f>_xlfn.XLOOKUP(N236,Allocation!H:H,Allocation!E:E,0)</f>
        <v>0</v>
      </c>
      <c r="P236" s="38">
        <f t="shared" ref="P236:P241" si="26">M236-O236</f>
        <v>10</v>
      </c>
    </row>
    <row r="237" spans="1:16">
      <c r="A237" t="str">
        <f>_xlfn.XLOOKUP(C:C,'Price List'!C:C,'Price List'!A:A)</f>
        <v>AMOL PRAKASH</v>
      </c>
      <c r="B237" s="2" t="s">
        <v>664</v>
      </c>
      <c r="C237" s="9">
        <v>10003057</v>
      </c>
      <c r="D237" s="2" t="s">
        <v>5054</v>
      </c>
      <c r="E237" s="9">
        <f>_xlfn.XLOOKUP(C:C,'Price List'!C:C,'Price List'!K:K)</f>
        <v>0</v>
      </c>
      <c r="F237" s="9">
        <f>_xlfn.XLOOKUP(C:C,'Price List'!C:C,'Price List'!E:E)</f>
        <v>12</v>
      </c>
      <c r="G237" s="9" t="str">
        <f>_xlfn.XLOOKUP(C:C,'Price List'!C:C,'Price List'!F:F)</f>
        <v>946 ML</v>
      </c>
      <c r="H237" s="6" t="s">
        <v>6</v>
      </c>
      <c r="I237" s="2" t="s">
        <v>4877</v>
      </c>
      <c r="J237" s="2" t="s">
        <v>5055</v>
      </c>
      <c r="K237" s="6" t="s">
        <v>4763</v>
      </c>
      <c r="L237" s="14">
        <v>46273</v>
      </c>
      <c r="M237" s="15">
        <v>61</v>
      </c>
      <c r="N237" t="str">
        <f t="shared" si="20"/>
        <v>10003057_2910</v>
      </c>
      <c r="O237" s="6">
        <f>_xlfn.XLOOKUP(N237,Allocation!H:H,Allocation!E:E,0)</f>
        <v>0</v>
      </c>
      <c r="P237" s="38">
        <f t="shared" si="26"/>
        <v>61</v>
      </c>
    </row>
    <row r="238" spans="1:16">
      <c r="A238" t="str">
        <f>_xlfn.XLOOKUP(C:C,'Price List'!C:C,'Price List'!A:A)</f>
        <v>AMOL PRAKASH</v>
      </c>
      <c r="B238" s="2" t="s">
        <v>664</v>
      </c>
      <c r="C238" s="9">
        <v>10003058</v>
      </c>
      <c r="D238" s="2" t="s">
        <v>5056</v>
      </c>
      <c r="E238" s="9">
        <f>_xlfn.XLOOKUP(C:C,'Price List'!C:C,'Price List'!K:K)</f>
        <v>0</v>
      </c>
      <c r="F238" s="9">
        <f>_xlfn.XLOOKUP(C:C,'Price List'!C:C,'Price List'!E:E)</f>
        <v>12</v>
      </c>
      <c r="G238" s="9" t="str">
        <f>_xlfn.XLOOKUP(C:C,'Price List'!C:C,'Price List'!F:F)</f>
        <v>946 ML</v>
      </c>
      <c r="H238" s="6" t="s">
        <v>6</v>
      </c>
      <c r="I238" s="2" t="s">
        <v>4877</v>
      </c>
      <c r="J238" s="2" t="s">
        <v>5055</v>
      </c>
      <c r="K238" s="6" t="s">
        <v>4763</v>
      </c>
      <c r="L238" s="14">
        <v>46273</v>
      </c>
      <c r="M238" s="15">
        <v>4</v>
      </c>
      <c r="N238" t="str">
        <f t="shared" si="20"/>
        <v>10003058_2910</v>
      </c>
      <c r="O238" s="6">
        <f>_xlfn.XLOOKUP(N238,Allocation!H:H,Allocation!E:E,0)</f>
        <v>0</v>
      </c>
      <c r="P238" s="38">
        <f t="shared" si="26"/>
        <v>4</v>
      </c>
    </row>
    <row r="239" spans="1:16">
      <c r="A239" t="str">
        <f>_xlfn.XLOOKUP(C:C,'Price List'!C:C,'Price List'!A:A)</f>
        <v>ANNA MARIA D'ANGELA</v>
      </c>
      <c r="B239" s="2" t="s">
        <v>852</v>
      </c>
      <c r="C239" s="9">
        <v>10100478</v>
      </c>
      <c r="D239" s="2" t="s">
        <v>4163</v>
      </c>
      <c r="E239" s="9">
        <f>_xlfn.XLOOKUP(C:C,'Price List'!C:C,'Price List'!K:K)</f>
        <v>0</v>
      </c>
      <c r="F239" s="9">
        <f>_xlfn.XLOOKUP(C:C,'Price List'!C:C,'Price List'!E:E)</f>
        <v>12</v>
      </c>
      <c r="G239" s="9" t="str">
        <f>_xlfn.XLOOKUP(C:C,'Price List'!C:C,'Price List'!F:F)</f>
        <v>170 GR</v>
      </c>
      <c r="H239" s="6" t="s">
        <v>6</v>
      </c>
      <c r="I239" s="2" t="s">
        <v>4877</v>
      </c>
      <c r="J239" s="2" t="s">
        <v>5059</v>
      </c>
      <c r="K239" s="6" t="s">
        <v>4763</v>
      </c>
      <c r="L239" s="14">
        <v>46274</v>
      </c>
      <c r="M239" s="15">
        <v>1</v>
      </c>
      <c r="N239" t="str">
        <f t="shared" si="20"/>
        <v>10100478_2910</v>
      </c>
      <c r="O239" s="6">
        <f>_xlfn.XLOOKUP(N239,Allocation!H:H,Allocation!E:E,0)</f>
        <v>0</v>
      </c>
      <c r="P239" s="38">
        <f t="shared" si="26"/>
        <v>1</v>
      </c>
    </row>
    <row r="240" spans="1:16">
      <c r="A240" t="str">
        <f>_xlfn.XLOOKUP(C:C,'Price List'!C:C,'Price List'!A:A)</f>
        <v>ANNA MARIA D'ANGELA</v>
      </c>
      <c r="B240" s="2" t="s">
        <v>4213</v>
      </c>
      <c r="C240" s="9">
        <v>10100526</v>
      </c>
      <c r="D240" s="2" t="s">
        <v>4233</v>
      </c>
      <c r="E240" s="9">
        <f>_xlfn.XLOOKUP(C:C,'Price List'!C:C,'Price List'!K:K)</f>
        <v>0</v>
      </c>
      <c r="F240" s="9">
        <f>_xlfn.XLOOKUP(C:C,'Price List'!C:C,'Price List'!E:E)</f>
        <v>8</v>
      </c>
      <c r="G240" s="9" t="str">
        <f>_xlfn.XLOOKUP(C:C,'Price List'!C:C,'Price List'!F:F)</f>
        <v>255 GR</v>
      </c>
      <c r="H240" s="6" t="s">
        <v>4873</v>
      </c>
      <c r="I240" s="2" t="s">
        <v>4874</v>
      </c>
      <c r="J240" s="2" t="s">
        <v>5060</v>
      </c>
      <c r="K240" s="6" t="s">
        <v>4763</v>
      </c>
      <c r="L240" s="14">
        <v>46274</v>
      </c>
      <c r="M240" s="15">
        <v>17</v>
      </c>
      <c r="N240" t="str">
        <f t="shared" si="20"/>
        <v>10100526_2910</v>
      </c>
      <c r="O240" s="6">
        <f>_xlfn.XLOOKUP(N240,Allocation!H:H,Allocation!E:E,0)</f>
        <v>0</v>
      </c>
      <c r="P240" s="38">
        <f t="shared" si="26"/>
        <v>17</v>
      </c>
    </row>
    <row r="241" spans="1:16">
      <c r="A241" t="str">
        <f>_xlfn.XLOOKUP(C:C,'Price List'!C:C,'Price List'!A:A)</f>
        <v>ANNA MARIA D'ANGELA</v>
      </c>
      <c r="B241" s="2" t="s">
        <v>4213</v>
      </c>
      <c r="C241" s="9">
        <v>10100527</v>
      </c>
      <c r="D241" s="2" t="s">
        <v>4234</v>
      </c>
      <c r="E241" s="9">
        <f>_xlfn.XLOOKUP(C:C,'Price List'!C:C,'Price List'!K:K)</f>
        <v>0</v>
      </c>
      <c r="F241" s="9">
        <f>_xlfn.XLOOKUP(C:C,'Price List'!C:C,'Price List'!E:E)</f>
        <v>8</v>
      </c>
      <c r="G241" s="9" t="str">
        <f>_xlfn.XLOOKUP(C:C,'Price List'!C:C,'Price List'!F:F)</f>
        <v>255 GR</v>
      </c>
      <c r="H241" s="6" t="s">
        <v>4873</v>
      </c>
      <c r="I241" s="2" t="s">
        <v>4874</v>
      </c>
      <c r="J241" s="2" t="s">
        <v>5060</v>
      </c>
      <c r="K241" s="6" t="s">
        <v>4763</v>
      </c>
      <c r="L241" s="14">
        <v>46274</v>
      </c>
      <c r="M241" s="15">
        <v>20</v>
      </c>
      <c r="N241" t="str">
        <f t="shared" si="20"/>
        <v>10100527_2910</v>
      </c>
      <c r="O241" s="6">
        <f>_xlfn.XLOOKUP(N241,Allocation!H:H,Allocation!E:E,0)</f>
        <v>0</v>
      </c>
      <c r="P241" s="38">
        <f t="shared" si="26"/>
        <v>20</v>
      </c>
    </row>
    <row r="242" spans="1:16">
      <c r="A242" t="str">
        <f>_xlfn.XLOOKUP(C:C,'Price List'!C:C,'Price List'!A:A)</f>
        <v>Michael Gambino PR</v>
      </c>
      <c r="B242" s="2" t="s">
        <v>1521</v>
      </c>
      <c r="C242" s="9">
        <v>10023480</v>
      </c>
      <c r="D242" s="2" t="s">
        <v>5061</v>
      </c>
      <c r="E242" s="9">
        <f>_xlfn.XLOOKUP(C:C,'Price List'!C:C,'Price List'!K:K)</f>
        <v>0</v>
      </c>
      <c r="F242" s="9">
        <f>_xlfn.XLOOKUP(C:C,'Price List'!C:C,'Price List'!E:E)</f>
        <v>8</v>
      </c>
      <c r="G242" s="9" t="str">
        <f>_xlfn.XLOOKUP(C:C,'Price List'!C:C,'Price List'!F:F)</f>
        <v>283 GR</v>
      </c>
      <c r="H242" s="6" t="s">
        <v>3</v>
      </c>
      <c r="I242" s="2" t="s">
        <v>4864</v>
      </c>
      <c r="J242" s="2" t="s">
        <v>5062</v>
      </c>
      <c r="K242" s="6" t="s">
        <v>4763</v>
      </c>
      <c r="L242" s="14">
        <v>46275</v>
      </c>
      <c r="M242" s="15">
        <v>5</v>
      </c>
      <c r="N242" t="str">
        <f t="shared" si="20"/>
        <v>10023480_2910</v>
      </c>
      <c r="O242" s="6">
        <f>_xlfn.XLOOKUP(N242,Allocation!H:H,Allocation!B:B,0)</f>
        <v>0</v>
      </c>
    </row>
    <row r="243" spans="1:16">
      <c r="A243" t="str">
        <f>_xlfn.XLOOKUP(C:C,'Price List'!C:C,'Price List'!A:A)</f>
        <v>Michael Gambino PR</v>
      </c>
      <c r="B243" s="2" t="s">
        <v>1521</v>
      </c>
      <c r="C243" s="9">
        <v>10023481</v>
      </c>
      <c r="D243" s="2" t="s">
        <v>252</v>
      </c>
      <c r="E243" s="9">
        <f>_xlfn.XLOOKUP(C:C,'Price List'!C:C,'Price List'!K:K)</f>
        <v>0</v>
      </c>
      <c r="F243" s="9">
        <f>_xlfn.XLOOKUP(C:C,'Price List'!C:C,'Price List'!E:E)</f>
        <v>12</v>
      </c>
      <c r="G243" s="9" t="str">
        <f>_xlfn.XLOOKUP(C:C,'Price List'!C:C,'Price List'!F:F)</f>
        <v>142 GR</v>
      </c>
      <c r="H243" s="6" t="s">
        <v>3</v>
      </c>
      <c r="I243" s="2" t="s">
        <v>4864</v>
      </c>
      <c r="J243" s="2" t="s">
        <v>5062</v>
      </c>
      <c r="K243" s="6" t="s">
        <v>4763</v>
      </c>
      <c r="L243" s="14">
        <v>46275</v>
      </c>
      <c r="M243" s="15">
        <v>3</v>
      </c>
      <c r="N243" t="str">
        <f t="shared" si="20"/>
        <v>10023481_2910</v>
      </c>
      <c r="O243" s="6">
        <f>_xlfn.XLOOKUP(N243,Allocation!H:H,Allocation!B:B,0)</f>
        <v>0</v>
      </c>
    </row>
    <row r="244" spans="1:16">
      <c r="A244" t="str">
        <f>_xlfn.XLOOKUP(C:C,'Price List'!C:C,'Price List'!A:A)</f>
        <v>Michael Gambino PR</v>
      </c>
      <c r="B244" s="2" t="s">
        <v>1521</v>
      </c>
      <c r="C244" s="9">
        <v>10023483</v>
      </c>
      <c r="D244" s="2" t="s">
        <v>251</v>
      </c>
      <c r="E244" s="9">
        <f>_xlfn.XLOOKUP(C:C,'Price List'!C:C,'Price List'!K:K)</f>
        <v>0</v>
      </c>
      <c r="F244" s="9">
        <f>_xlfn.XLOOKUP(C:C,'Price List'!C:C,'Price List'!E:E)</f>
        <v>12</v>
      </c>
      <c r="G244" s="9" t="str">
        <f>_xlfn.XLOOKUP(C:C,'Price List'!C:C,'Price List'!F:F)</f>
        <v>142 GR</v>
      </c>
      <c r="H244" s="6" t="s">
        <v>3</v>
      </c>
      <c r="I244" s="2" t="s">
        <v>4864</v>
      </c>
      <c r="J244" s="2" t="s">
        <v>5062</v>
      </c>
      <c r="K244" s="6" t="s">
        <v>4763</v>
      </c>
      <c r="L244" s="14">
        <v>46275</v>
      </c>
      <c r="M244" s="15">
        <v>3</v>
      </c>
      <c r="N244" t="str">
        <f t="shared" si="20"/>
        <v>10023483_2910</v>
      </c>
      <c r="O244" s="6">
        <f>_xlfn.XLOOKUP(N244,Allocation!H:H,Allocation!B:B,0)</f>
        <v>0</v>
      </c>
    </row>
    <row r="245" spans="1:16">
      <c r="A245" t="str">
        <f>_xlfn.XLOOKUP(C:C,'Price List'!C:C,'Price List'!A:A)</f>
        <v>MICHELLE MCROBERT NT</v>
      </c>
      <c r="B245" s="2" t="s">
        <v>747</v>
      </c>
      <c r="C245" s="9">
        <v>10007241</v>
      </c>
      <c r="D245" s="2" t="s">
        <v>5063</v>
      </c>
      <c r="E245" s="9">
        <f>_xlfn.XLOOKUP(C:C,'Price List'!C:C,'Price List'!K:K)</f>
        <v>0</v>
      </c>
      <c r="F245" s="9">
        <f>_xlfn.XLOOKUP(C:C,'Price List'!C:C,'Price List'!E:E)</f>
        <v>12</v>
      </c>
      <c r="G245" s="9" t="str">
        <f>_xlfn.XLOOKUP(C:C,'Price List'!C:C,'Price List'!F:F)</f>
        <v>14 GR</v>
      </c>
      <c r="H245" s="6" t="s">
        <v>6</v>
      </c>
      <c r="I245" s="2" t="s">
        <v>4877</v>
      </c>
      <c r="J245" s="2" t="s">
        <v>5062</v>
      </c>
      <c r="K245" s="6" t="s">
        <v>4763</v>
      </c>
      <c r="L245" s="14">
        <v>46275</v>
      </c>
      <c r="M245" s="15">
        <v>48</v>
      </c>
      <c r="N245" t="str">
        <f t="shared" si="20"/>
        <v>10007241_2910</v>
      </c>
      <c r="O245" s="6">
        <f>_xlfn.XLOOKUP(N245,Allocation!H:H,Allocation!E:E,0)</f>
        <v>0</v>
      </c>
      <c r="P245" s="38">
        <f t="shared" ref="P245:P246" si="27">M245-O245</f>
        <v>48</v>
      </c>
    </row>
    <row r="246" spans="1:16">
      <c r="A246" t="str">
        <f>_xlfn.XLOOKUP(C:C,'Price List'!C:C,'Price List'!A:A)</f>
        <v>ANNA MARIA D'ANGELA</v>
      </c>
      <c r="B246" s="2" t="s">
        <v>4270</v>
      </c>
      <c r="C246" s="9">
        <v>10100563</v>
      </c>
      <c r="D246" s="2" t="s">
        <v>5064</v>
      </c>
      <c r="E246" s="9">
        <f>_xlfn.XLOOKUP(C:C,'Price List'!C:C,'Price List'!K:K)</f>
        <v>0</v>
      </c>
      <c r="F246" s="9">
        <f>_xlfn.XLOOKUP(C:C,'Price List'!C:C,'Price List'!E:E)</f>
        <v>8</v>
      </c>
      <c r="G246" s="9" t="str">
        <f>_xlfn.XLOOKUP(C:C,'Price List'!C:C,'Price List'!F:F)</f>
        <v>269 GR</v>
      </c>
      <c r="H246" s="6" t="s">
        <v>4873</v>
      </c>
      <c r="I246" s="2" t="s">
        <v>4874</v>
      </c>
      <c r="J246" s="2" t="s">
        <v>5065</v>
      </c>
      <c r="K246" s="6" t="s">
        <v>4763</v>
      </c>
      <c r="L246" s="14">
        <v>46276</v>
      </c>
      <c r="M246" s="15">
        <v>39</v>
      </c>
      <c r="N246" t="str">
        <f t="shared" si="20"/>
        <v>10100563_2910</v>
      </c>
      <c r="O246" s="6">
        <f>_xlfn.XLOOKUP(N246,Allocation!H:H,Allocation!E:E,0)</f>
        <v>0</v>
      </c>
      <c r="P246" s="38">
        <f t="shared" si="27"/>
        <v>39</v>
      </c>
    </row>
    <row r="247" spans="1:16">
      <c r="A247" t="str">
        <f>_xlfn.XLOOKUP(C:C,'Price List'!C:C,'Price List'!A:A)</f>
        <v>TRACEY LAWRENCE</v>
      </c>
      <c r="B247" s="2" t="s">
        <v>3214</v>
      </c>
      <c r="C247" s="9">
        <v>10067042</v>
      </c>
      <c r="D247" s="2" t="s">
        <v>368</v>
      </c>
      <c r="E247" s="9">
        <f>_xlfn.XLOOKUP(C:C,'Price List'!C:C,'Price List'!K:K)</f>
        <v>0</v>
      </c>
      <c r="F247" s="9">
        <f>_xlfn.XLOOKUP(C:C,'Price List'!C:C,'Price List'!E:E)</f>
        <v>12</v>
      </c>
      <c r="G247" s="9" t="str">
        <f>_xlfn.XLOOKUP(C:C,'Price List'!C:C,'Price List'!F:F)</f>
        <v>156 GR</v>
      </c>
      <c r="H247" s="6" t="s">
        <v>3</v>
      </c>
      <c r="I247" s="2" t="s">
        <v>4864</v>
      </c>
      <c r="J247" s="2" t="s">
        <v>5066</v>
      </c>
      <c r="K247" s="6" t="s">
        <v>4763</v>
      </c>
      <c r="L247" s="14">
        <v>46277</v>
      </c>
      <c r="M247" s="15">
        <v>23</v>
      </c>
      <c r="N247" t="str">
        <f t="shared" si="20"/>
        <v>10067042_2910</v>
      </c>
      <c r="O247" s="6">
        <f>_xlfn.XLOOKUP(N247,Allocation!H:H,Allocation!B:B,0)</f>
        <v>0</v>
      </c>
    </row>
    <row r="248" spans="1:16">
      <c r="A248" t="str">
        <f>_xlfn.XLOOKUP(C:C,'Price List'!C:C,'Price List'!A:A)</f>
        <v>TRACEY LAWRENCE</v>
      </c>
      <c r="B248" s="2" t="s">
        <v>3130</v>
      </c>
      <c r="C248" s="9">
        <v>10063104</v>
      </c>
      <c r="D248" s="2" t="s">
        <v>5067</v>
      </c>
      <c r="E248" s="9">
        <f>_xlfn.XLOOKUP(C:C,'Price List'!C:C,'Price List'!K:K)</f>
        <v>0</v>
      </c>
      <c r="F248" s="9">
        <f>_xlfn.XLOOKUP(C:C,'Price List'!C:C,'Price List'!E:E)</f>
        <v>12</v>
      </c>
      <c r="G248" s="9" t="str">
        <f>_xlfn.XLOOKUP(C:C,'Price List'!C:C,'Price List'!F:F)</f>
        <v>220 GR</v>
      </c>
      <c r="H248" s="6" t="s">
        <v>6</v>
      </c>
      <c r="I248" s="2" t="s">
        <v>4877</v>
      </c>
      <c r="J248" s="2" t="s">
        <v>5068</v>
      </c>
      <c r="K248" s="6" t="s">
        <v>4763</v>
      </c>
      <c r="L248" s="14">
        <v>46277</v>
      </c>
      <c r="M248" s="15">
        <v>21</v>
      </c>
      <c r="N248" t="str">
        <f t="shared" si="20"/>
        <v>10063104_2910</v>
      </c>
      <c r="O248" s="6">
        <f>_xlfn.XLOOKUP(N248,Allocation!H:H,Allocation!E:E,0)</f>
        <v>0</v>
      </c>
      <c r="P248" s="38">
        <f t="shared" ref="P248:P250" si="28">M248-O248</f>
        <v>21</v>
      </c>
    </row>
    <row r="249" spans="1:16">
      <c r="A249" t="str">
        <f>_xlfn.XLOOKUP(C:C,'Price List'!C:C,'Price List'!A:A)</f>
        <v>TRACEY LAWRENCE</v>
      </c>
      <c r="B249" s="2" t="s">
        <v>1261</v>
      </c>
      <c r="C249" s="9">
        <v>10018656</v>
      </c>
      <c r="D249" s="2" t="s">
        <v>327</v>
      </c>
      <c r="E249" s="9">
        <f>_xlfn.XLOOKUP(C:C,'Price List'!C:C,'Price List'!K:K)</f>
        <v>0</v>
      </c>
      <c r="F249" s="9">
        <f>_xlfn.XLOOKUP(C:C,'Price List'!C:C,'Price List'!E:E)</f>
        <v>12</v>
      </c>
      <c r="G249" s="9" t="str">
        <f>_xlfn.XLOOKUP(C:C,'Price List'!C:C,'Price List'!F:F)</f>
        <v>240 GR</v>
      </c>
      <c r="H249" s="6" t="s">
        <v>6</v>
      </c>
      <c r="I249" s="2" t="s">
        <v>4877</v>
      </c>
      <c r="J249" s="2" t="s">
        <v>5069</v>
      </c>
      <c r="K249" s="6" t="s">
        <v>4763</v>
      </c>
      <c r="L249" s="14">
        <v>46277</v>
      </c>
      <c r="M249" s="15">
        <v>5</v>
      </c>
      <c r="N249" t="str">
        <f t="shared" si="20"/>
        <v>10018656_2910</v>
      </c>
      <c r="O249" s="6">
        <f>_xlfn.XLOOKUP(N249,Allocation!H:H,Allocation!E:E,0)</f>
        <v>0</v>
      </c>
      <c r="P249" s="38">
        <f t="shared" si="28"/>
        <v>5</v>
      </c>
    </row>
    <row r="250" spans="1:16">
      <c r="A250" t="str">
        <f>_xlfn.XLOOKUP(C:C,'Price List'!C:C,'Price List'!A:A)</f>
        <v>ANNA MARIA D'ANGELA</v>
      </c>
      <c r="B250" s="2" t="s">
        <v>4270</v>
      </c>
      <c r="C250" s="9">
        <v>10100565</v>
      </c>
      <c r="D250" s="2" t="s">
        <v>5070</v>
      </c>
      <c r="E250" s="9">
        <f>_xlfn.XLOOKUP(C:C,'Price List'!C:C,'Price List'!K:K)</f>
        <v>0</v>
      </c>
      <c r="F250" s="9">
        <f>_xlfn.XLOOKUP(C:C,'Price List'!C:C,'Price List'!E:E)</f>
        <v>8</v>
      </c>
      <c r="G250" s="9" t="str">
        <f>_xlfn.XLOOKUP(C:C,'Price List'!C:C,'Price List'!F:F)</f>
        <v>262 GR</v>
      </c>
      <c r="H250" s="6" t="s">
        <v>4873</v>
      </c>
      <c r="I250" s="2" t="s">
        <v>4874</v>
      </c>
      <c r="J250" s="2" t="s">
        <v>5071</v>
      </c>
      <c r="K250" s="6" t="s">
        <v>4763</v>
      </c>
      <c r="L250" s="14">
        <v>46277</v>
      </c>
      <c r="M250" s="15">
        <v>3</v>
      </c>
      <c r="N250" t="str">
        <f t="shared" si="20"/>
        <v>10100565_2910</v>
      </c>
      <c r="O250" s="6">
        <f>_xlfn.XLOOKUP(N250,Allocation!H:H,Allocation!E:E,0)</f>
        <v>0</v>
      </c>
      <c r="P250" s="38">
        <f t="shared" si="28"/>
        <v>3</v>
      </c>
    </row>
    <row r="251" spans="1:16">
      <c r="A251" t="str">
        <f>_xlfn.XLOOKUP(C:C,'Price List'!C:C,'Price List'!A:A)</f>
        <v>ASIF AHMAD GB</v>
      </c>
      <c r="B251" s="2" t="s">
        <v>1161</v>
      </c>
      <c r="C251" s="9">
        <v>10017114</v>
      </c>
      <c r="D251" s="2" t="s">
        <v>258</v>
      </c>
      <c r="E251" s="9">
        <f>_xlfn.XLOOKUP(C:C,'Price List'!C:C,'Price List'!K:K)</f>
        <v>0</v>
      </c>
      <c r="F251" s="9">
        <f>_xlfn.XLOOKUP(C:C,'Price List'!C:C,'Price List'!E:E)</f>
        <v>8</v>
      </c>
      <c r="G251" s="9" t="str">
        <f>_xlfn.XLOOKUP(C:C,'Price List'!C:C,'Price List'!F:F)</f>
        <v>1.89 LT</v>
      </c>
      <c r="H251" s="6" t="s">
        <v>3</v>
      </c>
      <c r="I251" s="2" t="s">
        <v>4864</v>
      </c>
      <c r="J251" s="2" t="s">
        <v>5072</v>
      </c>
      <c r="K251" s="6" t="s">
        <v>4763</v>
      </c>
      <c r="L251" s="14">
        <v>46278</v>
      </c>
      <c r="M251" s="15">
        <v>42</v>
      </c>
      <c r="N251" t="str">
        <f t="shared" si="20"/>
        <v>10017114_2910</v>
      </c>
      <c r="O251" s="6">
        <f>_xlfn.XLOOKUP(N251,Allocation!H:H,Allocation!B:B,0)</f>
        <v>0</v>
      </c>
    </row>
    <row r="252" spans="1:16">
      <c r="A252" t="str">
        <f>_xlfn.XLOOKUP(C:C,'Price List'!C:C,'Price List'!A:A)</f>
        <v>ASIF AHMAD GB</v>
      </c>
      <c r="B252" s="2" t="s">
        <v>1161</v>
      </c>
      <c r="C252" s="9">
        <v>10016404</v>
      </c>
      <c r="D252" s="2" t="s">
        <v>258</v>
      </c>
      <c r="E252" s="9">
        <f>_xlfn.XLOOKUP(C:C,'Price List'!C:C,'Price List'!K:K)</f>
        <v>0</v>
      </c>
      <c r="F252" s="9">
        <f>_xlfn.XLOOKUP(C:C,'Price List'!C:C,'Price List'!E:E)</f>
        <v>12</v>
      </c>
      <c r="G252" s="9" t="str">
        <f>_xlfn.XLOOKUP(C:C,'Price List'!C:C,'Price List'!F:F)</f>
        <v>946 ML</v>
      </c>
      <c r="H252" s="6" t="s">
        <v>6</v>
      </c>
      <c r="I252" s="2" t="s">
        <v>4877</v>
      </c>
      <c r="J252" s="2" t="s">
        <v>5073</v>
      </c>
      <c r="K252" s="6" t="s">
        <v>4763</v>
      </c>
      <c r="L252" s="14">
        <v>46278</v>
      </c>
      <c r="M252" s="15">
        <v>76</v>
      </c>
      <c r="N252" t="str">
        <f t="shared" si="20"/>
        <v>10016404_2910</v>
      </c>
      <c r="O252" s="6">
        <f>_xlfn.XLOOKUP(N252,Allocation!H:H,Allocation!E:E,0)</f>
        <v>0</v>
      </c>
      <c r="P252" s="38">
        <f t="shared" ref="P252:P254" si="29">M252-O252</f>
        <v>76</v>
      </c>
    </row>
    <row r="253" spans="1:16">
      <c r="A253" t="str">
        <f>_xlfn.XLOOKUP(C:C,'Price List'!C:C,'Price List'!A:A)</f>
        <v>ANNA MARIA D'ANGELA</v>
      </c>
      <c r="B253" s="2" t="s">
        <v>4213</v>
      </c>
      <c r="C253" s="9">
        <v>10100524</v>
      </c>
      <c r="D253" s="2" t="s">
        <v>4231</v>
      </c>
      <c r="E253" s="9">
        <f>_xlfn.XLOOKUP(C:C,'Price List'!C:C,'Price List'!K:K)</f>
        <v>0</v>
      </c>
      <c r="F253" s="9">
        <f>_xlfn.XLOOKUP(C:C,'Price List'!C:C,'Price List'!E:E)</f>
        <v>8</v>
      </c>
      <c r="G253" s="9" t="str">
        <f>_xlfn.XLOOKUP(C:C,'Price List'!C:C,'Price List'!F:F)</f>
        <v>255 GR</v>
      </c>
      <c r="H253" s="6" t="s">
        <v>4873</v>
      </c>
      <c r="I253" s="2" t="s">
        <v>4874</v>
      </c>
      <c r="J253" s="2" t="s">
        <v>5074</v>
      </c>
      <c r="K253" s="6" t="s">
        <v>4763</v>
      </c>
      <c r="L253" s="14">
        <v>46278</v>
      </c>
      <c r="M253" s="15">
        <v>19</v>
      </c>
      <c r="N253" t="str">
        <f t="shared" si="20"/>
        <v>10100524_2910</v>
      </c>
      <c r="O253" s="6">
        <f>_xlfn.XLOOKUP(N253,Allocation!H:H,Allocation!E:E,0)</f>
        <v>0</v>
      </c>
      <c r="P253" s="38">
        <f t="shared" si="29"/>
        <v>19</v>
      </c>
    </row>
    <row r="254" spans="1:16">
      <c r="A254" t="str">
        <f>_xlfn.XLOOKUP(C:C,'Price List'!C:C,'Price List'!A:A)</f>
        <v>ANNA MARIA D'ANGELA</v>
      </c>
      <c r="B254" s="2" t="s">
        <v>852</v>
      </c>
      <c r="C254" s="9">
        <v>10100489</v>
      </c>
      <c r="D254" s="2" t="s">
        <v>4174</v>
      </c>
      <c r="E254" s="9">
        <f>_xlfn.XLOOKUP(C:C,'Price List'!C:C,'Price List'!K:K)</f>
        <v>0</v>
      </c>
      <c r="F254" s="9">
        <f>_xlfn.XLOOKUP(C:C,'Price List'!C:C,'Price List'!E:E)</f>
        <v>24</v>
      </c>
      <c r="G254" s="9" t="str">
        <f>_xlfn.XLOOKUP(C:C,'Price List'!C:C,'Price List'!F:F)</f>
        <v>17 GR</v>
      </c>
      <c r="H254" s="6" t="s">
        <v>6</v>
      </c>
      <c r="I254" s="2" t="s">
        <v>4877</v>
      </c>
      <c r="J254" s="2" t="s">
        <v>5075</v>
      </c>
      <c r="K254" s="6" t="s">
        <v>4763</v>
      </c>
      <c r="L254" s="14">
        <v>46280</v>
      </c>
      <c r="M254" s="15">
        <v>2</v>
      </c>
      <c r="N254" t="str">
        <f t="shared" si="20"/>
        <v>10100489_2910</v>
      </c>
      <c r="O254" s="6">
        <f>_xlfn.XLOOKUP(N254,Allocation!H:H,Allocation!E:E,0)</f>
        <v>0</v>
      </c>
      <c r="P254" s="38">
        <f t="shared" si="29"/>
        <v>2</v>
      </c>
    </row>
    <row r="255" spans="1:16">
      <c r="A255" t="str">
        <f>_xlfn.XLOOKUP(C:C,'Price List'!C:C,'Price List'!A:A)</f>
        <v>ANNA MARIA D'ANGELA</v>
      </c>
      <c r="B255" s="2" t="s">
        <v>852</v>
      </c>
      <c r="C255" s="9">
        <v>10100480</v>
      </c>
      <c r="D255" s="2" t="s">
        <v>4166</v>
      </c>
      <c r="E255" s="9">
        <f>_xlfn.XLOOKUP(C:C,'Price List'!C:C,'Price List'!K:K)</f>
        <v>0</v>
      </c>
      <c r="F255" s="9">
        <f>_xlfn.XLOOKUP(C:C,'Price List'!C:C,'Price List'!E:E)</f>
        <v>12</v>
      </c>
      <c r="G255" s="9" t="str">
        <f>_xlfn.XLOOKUP(C:C,'Price List'!C:C,'Price List'!F:F)</f>
        <v>35 GR</v>
      </c>
      <c r="H255" s="6" t="s">
        <v>3</v>
      </c>
      <c r="I255" s="2" t="s">
        <v>4864</v>
      </c>
      <c r="J255" s="2" t="s">
        <v>5076</v>
      </c>
      <c r="K255" s="6" t="s">
        <v>4763</v>
      </c>
      <c r="L255" s="14">
        <v>46281</v>
      </c>
      <c r="M255" s="15">
        <v>22</v>
      </c>
      <c r="N255" t="str">
        <f t="shared" si="20"/>
        <v>10100480_2910</v>
      </c>
      <c r="O255" s="6">
        <f>_xlfn.XLOOKUP(N255,Allocation!H:H,Allocation!B:B,0)</f>
        <v>0</v>
      </c>
    </row>
    <row r="256" spans="1:16">
      <c r="A256" t="str">
        <f>_xlfn.XLOOKUP(C:C,'Price List'!C:C,'Price List'!A:A)</f>
        <v>SAMANTHA RODRIGUES GB</v>
      </c>
      <c r="B256" s="2" t="s">
        <v>2741</v>
      </c>
      <c r="C256" s="9">
        <v>10057118</v>
      </c>
      <c r="D256" s="2" t="s">
        <v>5048</v>
      </c>
      <c r="E256" s="9">
        <f>_xlfn.XLOOKUP(C:C,'Price List'!C:C,'Price List'!K:K)</f>
        <v>0</v>
      </c>
      <c r="F256" s="9">
        <f>_xlfn.XLOOKUP(C:C,'Price List'!C:C,'Price List'!E:E)</f>
        <v>12</v>
      </c>
      <c r="G256" s="9" t="str">
        <f>_xlfn.XLOOKUP(C:C,'Price List'!C:C,'Price List'!F:F)</f>
        <v>283 GR</v>
      </c>
      <c r="H256" s="6" t="s">
        <v>3</v>
      </c>
      <c r="I256" s="2" t="s">
        <v>4864</v>
      </c>
      <c r="J256" s="2" t="s">
        <v>5077</v>
      </c>
      <c r="K256" s="6" t="s">
        <v>4763</v>
      </c>
      <c r="L256" s="14">
        <v>46282</v>
      </c>
      <c r="M256" s="15">
        <v>4</v>
      </c>
      <c r="N256" t="str">
        <f t="shared" si="20"/>
        <v>10057118_2910</v>
      </c>
      <c r="O256" s="6">
        <f>_xlfn.XLOOKUP(N256,Allocation!H:H,Allocation!B:B,0)</f>
        <v>0</v>
      </c>
    </row>
    <row r="257" spans="1:16">
      <c r="A257" t="str">
        <f>_xlfn.XLOOKUP(C:C,'Price List'!C:C,'Price List'!A:A)</f>
        <v>SAMANTHA RODRIGUES GB</v>
      </c>
      <c r="B257" s="2" t="s">
        <v>2741</v>
      </c>
      <c r="C257" s="9">
        <v>10057118</v>
      </c>
      <c r="D257" s="2" t="s">
        <v>5048</v>
      </c>
      <c r="E257" s="9">
        <f>_xlfn.XLOOKUP(C:C,'Price List'!C:C,'Price List'!K:K)</f>
        <v>0</v>
      </c>
      <c r="F257" s="9">
        <f>_xlfn.XLOOKUP(C:C,'Price List'!C:C,'Price List'!E:E)</f>
        <v>12</v>
      </c>
      <c r="G257" s="9" t="str">
        <f>_xlfn.XLOOKUP(C:C,'Price List'!C:C,'Price List'!F:F)</f>
        <v>283 GR</v>
      </c>
      <c r="H257" s="6" t="s">
        <v>6</v>
      </c>
      <c r="I257" s="2" t="s">
        <v>4877</v>
      </c>
      <c r="J257" s="2" t="s">
        <v>5078</v>
      </c>
      <c r="K257" s="6" t="s">
        <v>4763</v>
      </c>
      <c r="L257" s="14">
        <v>46282</v>
      </c>
      <c r="M257" s="15">
        <v>110</v>
      </c>
      <c r="N257" t="str">
        <f t="shared" si="20"/>
        <v>10057118_2910</v>
      </c>
      <c r="O257" s="6">
        <f>_xlfn.XLOOKUP(N257,Allocation!H:H,Allocation!E:E,0)</f>
        <v>0</v>
      </c>
      <c r="P257" s="38">
        <f t="shared" ref="P257:P262" si="30">M257-O257</f>
        <v>110</v>
      </c>
    </row>
    <row r="258" spans="1:16">
      <c r="A258" t="str">
        <f>_xlfn.XLOOKUP(C:C,'Price List'!C:C,'Price List'!A:A)</f>
        <v>SAMANTHA RODRIGUES GB</v>
      </c>
      <c r="B258" s="2" t="s">
        <v>2741</v>
      </c>
      <c r="C258" s="9">
        <v>10057118</v>
      </c>
      <c r="D258" s="2" t="s">
        <v>5048</v>
      </c>
      <c r="E258" s="9">
        <f>_xlfn.XLOOKUP(C:C,'Price List'!C:C,'Price List'!K:K)</f>
        <v>0</v>
      </c>
      <c r="F258" s="9">
        <f>_xlfn.XLOOKUP(C:C,'Price List'!C:C,'Price List'!E:E)</f>
        <v>12</v>
      </c>
      <c r="G258" s="9" t="str">
        <f>_xlfn.XLOOKUP(C:C,'Price List'!C:C,'Price List'!F:F)</f>
        <v>283 GR</v>
      </c>
      <c r="H258" s="6" t="s">
        <v>6</v>
      </c>
      <c r="I258" s="2" t="s">
        <v>4877</v>
      </c>
      <c r="J258" s="2" t="s">
        <v>5079</v>
      </c>
      <c r="K258" s="6" t="s">
        <v>4763</v>
      </c>
      <c r="L258" s="14">
        <v>46282</v>
      </c>
      <c r="M258" s="15">
        <v>110</v>
      </c>
      <c r="N258" t="str">
        <f t="shared" ref="N258:N321" si="31">C258 &amp; "_" &amp; 2910</f>
        <v>10057118_2910</v>
      </c>
      <c r="O258" s="6">
        <f>_xlfn.XLOOKUP(N258,Allocation!H:H,Allocation!E:E,0)</f>
        <v>0</v>
      </c>
      <c r="P258" s="38">
        <f t="shared" si="30"/>
        <v>110</v>
      </c>
    </row>
    <row r="259" spans="1:16">
      <c r="A259" t="str">
        <f>_xlfn.XLOOKUP(C:C,'Price List'!C:C,'Price List'!A:A)</f>
        <v>SAMANTHA RODRIGUES GB</v>
      </c>
      <c r="B259" s="2" t="s">
        <v>2741</v>
      </c>
      <c r="C259" s="9">
        <v>10057118</v>
      </c>
      <c r="D259" s="2" t="s">
        <v>5048</v>
      </c>
      <c r="E259" s="9">
        <f>_xlfn.XLOOKUP(C:C,'Price List'!C:C,'Price List'!K:K)</f>
        <v>0</v>
      </c>
      <c r="F259" s="9">
        <f>_xlfn.XLOOKUP(C:C,'Price List'!C:C,'Price List'!E:E)</f>
        <v>12</v>
      </c>
      <c r="G259" s="9" t="str">
        <f>_xlfn.XLOOKUP(C:C,'Price List'!C:C,'Price List'!F:F)</f>
        <v>283 GR</v>
      </c>
      <c r="H259" s="6" t="s">
        <v>6</v>
      </c>
      <c r="I259" s="2" t="s">
        <v>4877</v>
      </c>
      <c r="J259" s="2" t="s">
        <v>5080</v>
      </c>
      <c r="K259" s="6" t="s">
        <v>4763</v>
      </c>
      <c r="L259" s="14">
        <v>46282</v>
      </c>
      <c r="M259" s="15">
        <v>220</v>
      </c>
      <c r="N259" t="str">
        <f t="shared" si="31"/>
        <v>10057118_2910</v>
      </c>
      <c r="O259" s="6">
        <f>_xlfn.XLOOKUP(N259,Allocation!H:H,Allocation!E:E,0)</f>
        <v>0</v>
      </c>
      <c r="P259" s="38">
        <f t="shared" si="30"/>
        <v>220</v>
      </c>
    </row>
    <row r="260" spans="1:16">
      <c r="A260" t="str">
        <f>_xlfn.XLOOKUP(C:C,'Price List'!C:C,'Price List'!A:A)</f>
        <v>SAMANTHA RODRIGUES GB</v>
      </c>
      <c r="B260" s="2" t="s">
        <v>2741</v>
      </c>
      <c r="C260" s="9">
        <v>10057118</v>
      </c>
      <c r="D260" s="2" t="s">
        <v>5048</v>
      </c>
      <c r="E260" s="9">
        <f>_xlfn.XLOOKUP(C:C,'Price List'!C:C,'Price List'!K:K)</f>
        <v>0</v>
      </c>
      <c r="F260" s="9">
        <f>_xlfn.XLOOKUP(C:C,'Price List'!C:C,'Price List'!E:E)</f>
        <v>12</v>
      </c>
      <c r="G260" s="9" t="str">
        <f>_xlfn.XLOOKUP(C:C,'Price List'!C:C,'Price List'!F:F)</f>
        <v>283 GR</v>
      </c>
      <c r="H260" s="6" t="s">
        <v>6</v>
      </c>
      <c r="I260" s="2" t="s">
        <v>4877</v>
      </c>
      <c r="J260" s="2" t="s">
        <v>5081</v>
      </c>
      <c r="K260" s="6" t="s">
        <v>4763</v>
      </c>
      <c r="L260" s="14">
        <v>46282</v>
      </c>
      <c r="M260" s="15">
        <v>116</v>
      </c>
      <c r="N260" t="str">
        <f t="shared" si="31"/>
        <v>10057118_2910</v>
      </c>
      <c r="O260" s="6">
        <f>_xlfn.XLOOKUP(N260,Allocation!H:H,Allocation!E:E,0)</f>
        <v>0</v>
      </c>
      <c r="P260" s="38">
        <f t="shared" si="30"/>
        <v>116</v>
      </c>
    </row>
    <row r="261" spans="1:16">
      <c r="A261" t="str">
        <f>_xlfn.XLOOKUP(C:C,'Price List'!C:C,'Price List'!A:A)</f>
        <v>ANNA MARIA D'ANGELA</v>
      </c>
      <c r="B261" s="2" t="s">
        <v>852</v>
      </c>
      <c r="C261" s="9">
        <v>10100476</v>
      </c>
      <c r="D261" s="2" t="s">
        <v>4161</v>
      </c>
      <c r="E261" s="9">
        <f>_xlfn.XLOOKUP(C:C,'Price List'!C:C,'Price List'!K:K)</f>
        <v>0</v>
      </c>
      <c r="F261" s="9">
        <f>_xlfn.XLOOKUP(C:C,'Price List'!C:C,'Price List'!E:E)</f>
        <v>8</v>
      </c>
      <c r="G261" s="9" t="str">
        <f>_xlfn.XLOOKUP(C:C,'Price List'!C:C,'Price List'!F:F)</f>
        <v>225 GR</v>
      </c>
      <c r="H261" s="6" t="s">
        <v>6</v>
      </c>
      <c r="I261" s="2" t="s">
        <v>4877</v>
      </c>
      <c r="J261" s="2" t="s">
        <v>5082</v>
      </c>
      <c r="K261" s="6" t="s">
        <v>4763</v>
      </c>
      <c r="L261" s="14">
        <v>46283</v>
      </c>
      <c r="M261" s="15">
        <v>6</v>
      </c>
      <c r="N261" t="str">
        <f t="shared" si="31"/>
        <v>10100476_2910</v>
      </c>
      <c r="O261" s="6">
        <f>_xlfn.XLOOKUP(N261,Allocation!H:H,Allocation!E:E,0)</f>
        <v>0</v>
      </c>
      <c r="P261" s="38">
        <f t="shared" si="30"/>
        <v>6</v>
      </c>
    </row>
    <row r="262" spans="1:16">
      <c r="A262" t="str">
        <f>_xlfn.XLOOKUP(C:C,'Price List'!C:C,'Price List'!A:A)</f>
        <v>ANNA MARIA D'ANGELA</v>
      </c>
      <c r="B262" s="2" t="s">
        <v>4213</v>
      </c>
      <c r="C262" s="9">
        <v>10100536</v>
      </c>
      <c r="D262" s="2" t="s">
        <v>4247</v>
      </c>
      <c r="E262" s="9">
        <f>_xlfn.XLOOKUP(C:C,'Price List'!C:C,'Price List'!K:K)</f>
        <v>0</v>
      </c>
      <c r="F262" s="9">
        <f>_xlfn.XLOOKUP(C:C,'Price List'!C:C,'Price List'!E:E)</f>
        <v>6</v>
      </c>
      <c r="G262" s="9" t="str">
        <f>_xlfn.XLOOKUP(C:C,'Price List'!C:C,'Price List'!F:F)</f>
        <v>397 GR</v>
      </c>
      <c r="H262" s="6" t="s">
        <v>4873</v>
      </c>
      <c r="I262" s="2" t="s">
        <v>4874</v>
      </c>
      <c r="J262" s="2" t="s">
        <v>5083</v>
      </c>
      <c r="K262" s="6" t="s">
        <v>4763</v>
      </c>
      <c r="L262" s="14">
        <v>46283</v>
      </c>
      <c r="M262" s="15">
        <v>6</v>
      </c>
      <c r="N262" t="str">
        <f t="shared" si="31"/>
        <v>10100536_2910</v>
      </c>
      <c r="O262" s="6">
        <f>_xlfn.XLOOKUP(N262,Allocation!H:H,Allocation!E:E,0)</f>
        <v>0</v>
      </c>
      <c r="P262" s="38">
        <f t="shared" si="30"/>
        <v>6</v>
      </c>
    </row>
    <row r="263" spans="1:16">
      <c r="A263" t="str">
        <f>_xlfn.XLOOKUP(C:C,'Price List'!C:C,'Price List'!A:A)</f>
        <v>SAMANTHA RODRIGUES GB</v>
      </c>
      <c r="B263" s="2" t="s">
        <v>3649</v>
      </c>
      <c r="C263" s="9">
        <v>10099045</v>
      </c>
      <c r="D263" s="2" t="s">
        <v>449</v>
      </c>
      <c r="E263" s="9">
        <f>_xlfn.XLOOKUP(C:C,'Price List'!C:C,'Price List'!K:K)</f>
        <v>0</v>
      </c>
      <c r="F263" s="9">
        <f>_xlfn.XLOOKUP(C:C,'Price List'!C:C,'Price List'!E:E)</f>
        <v>12</v>
      </c>
      <c r="G263" s="9" t="str">
        <f>_xlfn.XLOOKUP(C:C,'Price List'!C:C,'Price List'!F:F)</f>
        <v>232 GR</v>
      </c>
      <c r="H263" s="6" t="s">
        <v>3</v>
      </c>
      <c r="I263" s="2" t="s">
        <v>4864</v>
      </c>
      <c r="J263" s="2" t="s">
        <v>5084</v>
      </c>
      <c r="K263" s="6" t="s">
        <v>4763</v>
      </c>
      <c r="L263" s="14">
        <v>46284</v>
      </c>
      <c r="M263" s="15">
        <v>124</v>
      </c>
      <c r="N263" t="str">
        <f t="shared" si="31"/>
        <v>10099045_2910</v>
      </c>
      <c r="O263" s="6">
        <f>_xlfn.XLOOKUP(N263,Allocation!H:H,Allocation!B:B,0)</f>
        <v>0</v>
      </c>
    </row>
    <row r="264" spans="1:16">
      <c r="A264" t="str">
        <f>_xlfn.XLOOKUP(C:C,'Price List'!C:C,'Price List'!A:A)</f>
        <v>SAMANTHA RODRIGUES GB</v>
      </c>
      <c r="B264" s="2" t="s">
        <v>3649</v>
      </c>
      <c r="C264" s="9">
        <v>10099045</v>
      </c>
      <c r="D264" s="2" t="s">
        <v>449</v>
      </c>
      <c r="E264" s="9">
        <f>_xlfn.XLOOKUP(C:C,'Price List'!C:C,'Price List'!K:K)</f>
        <v>0</v>
      </c>
      <c r="F264" s="9">
        <f>_xlfn.XLOOKUP(C:C,'Price List'!C:C,'Price List'!E:E)</f>
        <v>12</v>
      </c>
      <c r="G264" s="9" t="str">
        <f>_xlfn.XLOOKUP(C:C,'Price List'!C:C,'Price List'!F:F)</f>
        <v>232 GR</v>
      </c>
      <c r="H264" s="6" t="s">
        <v>3</v>
      </c>
      <c r="I264" s="2" t="s">
        <v>4864</v>
      </c>
      <c r="J264" s="2" t="s">
        <v>5085</v>
      </c>
      <c r="K264" s="6" t="s">
        <v>4763</v>
      </c>
      <c r="L264" s="14">
        <v>46284</v>
      </c>
      <c r="M264" s="15">
        <v>603</v>
      </c>
      <c r="N264" t="str">
        <f t="shared" si="31"/>
        <v>10099045_2910</v>
      </c>
      <c r="O264" s="6">
        <f>_xlfn.XLOOKUP(N264,Allocation!H:H,Allocation!B:B,0)</f>
        <v>0</v>
      </c>
    </row>
    <row r="265" spans="1:16">
      <c r="A265" t="str">
        <f>_xlfn.XLOOKUP(C:C,'Price List'!C:C,'Price List'!A:A)</f>
        <v>TRACEY LAWRENCE</v>
      </c>
      <c r="B265" s="2" t="s">
        <v>1261</v>
      </c>
      <c r="C265" s="9">
        <v>10018678</v>
      </c>
      <c r="D265" s="2" t="s">
        <v>4966</v>
      </c>
      <c r="E265" s="9">
        <f>_xlfn.XLOOKUP(C:C,'Price List'!C:C,'Price List'!K:K)</f>
        <v>0</v>
      </c>
      <c r="F265" s="9">
        <f>_xlfn.XLOOKUP(C:C,'Price List'!C:C,'Price List'!E:E)</f>
        <v>12</v>
      </c>
      <c r="G265" s="9" t="str">
        <f>_xlfn.XLOOKUP(C:C,'Price List'!C:C,'Price List'!F:F)</f>
        <v>340 GR</v>
      </c>
      <c r="H265" s="6" t="s">
        <v>3</v>
      </c>
      <c r="I265" s="2" t="s">
        <v>4864</v>
      </c>
      <c r="J265" s="2" t="s">
        <v>5086</v>
      </c>
      <c r="K265" s="6" t="s">
        <v>4763</v>
      </c>
      <c r="L265" s="14">
        <v>46284</v>
      </c>
      <c r="M265" s="15">
        <v>40</v>
      </c>
      <c r="N265" t="str">
        <f t="shared" si="31"/>
        <v>10018678_2910</v>
      </c>
      <c r="O265" s="6">
        <f>_xlfn.XLOOKUP(N265,Allocation!H:H,Allocation!B:B,0)</f>
        <v>0</v>
      </c>
    </row>
    <row r="266" spans="1:16">
      <c r="A266" t="str">
        <f>_xlfn.XLOOKUP(C:C,'Price List'!C:C,'Price List'!A:A)</f>
        <v>TRACEY LAWRENCE</v>
      </c>
      <c r="B266" s="2" t="s">
        <v>1261</v>
      </c>
      <c r="C266" s="9">
        <v>10018678</v>
      </c>
      <c r="D266" s="2" t="s">
        <v>4966</v>
      </c>
      <c r="E266" s="9">
        <f>_xlfn.XLOOKUP(C:C,'Price List'!C:C,'Price List'!K:K)</f>
        <v>0</v>
      </c>
      <c r="F266" s="9">
        <f>_xlfn.XLOOKUP(C:C,'Price List'!C:C,'Price List'!E:E)</f>
        <v>12</v>
      </c>
      <c r="G266" s="9" t="str">
        <f>_xlfn.XLOOKUP(C:C,'Price List'!C:C,'Price List'!F:F)</f>
        <v>340 GR</v>
      </c>
      <c r="H266" s="6" t="s">
        <v>3</v>
      </c>
      <c r="I266" s="2" t="s">
        <v>4864</v>
      </c>
      <c r="J266" s="2" t="s">
        <v>5087</v>
      </c>
      <c r="K266" s="6" t="s">
        <v>4763</v>
      </c>
      <c r="L266" s="14">
        <v>46284</v>
      </c>
      <c r="M266" s="15">
        <v>40</v>
      </c>
      <c r="N266" t="str">
        <f t="shared" si="31"/>
        <v>10018678_2910</v>
      </c>
      <c r="O266" s="6">
        <f>_xlfn.XLOOKUP(N266,Allocation!H:H,Allocation!B:B,0)</f>
        <v>0</v>
      </c>
    </row>
    <row r="267" spans="1:16">
      <c r="A267" t="str">
        <f>_xlfn.XLOOKUP(C:C,'Price List'!C:C,'Price List'!A:A)</f>
        <v>JAMES TYSON</v>
      </c>
      <c r="B267" s="2" t="s">
        <v>2388</v>
      </c>
      <c r="C267" s="9">
        <v>10050485</v>
      </c>
      <c r="D267" s="2" t="s">
        <v>576</v>
      </c>
      <c r="E267" s="9">
        <f>_xlfn.XLOOKUP(C:C,'Price List'!C:C,'Price List'!K:K)</f>
        <v>0</v>
      </c>
      <c r="F267" s="9">
        <f>_xlfn.XLOOKUP(C:C,'Price List'!C:C,'Price List'!E:E)</f>
        <v>6</v>
      </c>
      <c r="G267" s="9" t="str">
        <f>_xlfn.XLOOKUP(C:C,'Price List'!C:C,'Price List'!F:F)</f>
        <v>310 GR</v>
      </c>
      <c r="H267" s="6" t="s">
        <v>6</v>
      </c>
      <c r="I267" s="2" t="s">
        <v>4877</v>
      </c>
      <c r="J267" s="2" t="s">
        <v>5088</v>
      </c>
      <c r="K267" s="6" t="s">
        <v>4763</v>
      </c>
      <c r="L267" s="14">
        <v>46284</v>
      </c>
      <c r="M267" s="15">
        <v>376</v>
      </c>
      <c r="N267" t="str">
        <f t="shared" si="31"/>
        <v>10050485_2910</v>
      </c>
      <c r="O267" s="6">
        <f>_xlfn.XLOOKUP(N267,Allocation!H:H,Allocation!E:E,0)</f>
        <v>0</v>
      </c>
      <c r="P267" s="38">
        <f t="shared" ref="P267:P269" si="32">M267-O267</f>
        <v>376</v>
      </c>
    </row>
    <row r="268" spans="1:16">
      <c r="A268" t="str">
        <f>_xlfn.XLOOKUP(C:C,'Price List'!C:C,'Price List'!A:A)</f>
        <v>JAMES TYSON</v>
      </c>
      <c r="B268" s="2" t="s">
        <v>2388</v>
      </c>
      <c r="C268" s="9">
        <v>10050487</v>
      </c>
      <c r="D268" s="2" t="s">
        <v>5089</v>
      </c>
      <c r="E268" s="9">
        <f>_xlfn.XLOOKUP(C:C,'Price List'!C:C,'Price List'!K:K)</f>
        <v>0</v>
      </c>
      <c r="F268" s="9">
        <f>_xlfn.XLOOKUP(C:C,'Price List'!C:C,'Price List'!E:E)</f>
        <v>6</v>
      </c>
      <c r="G268" s="9" t="str">
        <f>_xlfn.XLOOKUP(C:C,'Price List'!C:C,'Price List'!F:F)</f>
        <v>310 GR</v>
      </c>
      <c r="H268" s="6" t="s">
        <v>6</v>
      </c>
      <c r="I268" s="2" t="s">
        <v>4877</v>
      </c>
      <c r="J268" s="2" t="s">
        <v>5090</v>
      </c>
      <c r="K268" s="6" t="s">
        <v>4763</v>
      </c>
      <c r="L268" s="14">
        <v>46284</v>
      </c>
      <c r="M268" s="15">
        <v>255</v>
      </c>
      <c r="N268" t="str">
        <f t="shared" si="31"/>
        <v>10050487_2910</v>
      </c>
      <c r="O268" s="6">
        <f>_xlfn.XLOOKUP(N268,Allocation!H:H,Allocation!E:E,0)</f>
        <v>0</v>
      </c>
      <c r="P268" s="38">
        <f t="shared" si="32"/>
        <v>255</v>
      </c>
    </row>
    <row r="269" spans="1:16">
      <c r="A269" t="str">
        <f>_xlfn.XLOOKUP(C:C,'Price List'!C:C,'Price List'!A:A)</f>
        <v>Asif Ahmad PR</v>
      </c>
      <c r="B269" s="2" t="s">
        <v>3954</v>
      </c>
      <c r="C269" s="9">
        <v>10100287</v>
      </c>
      <c r="D269" s="2" t="s">
        <v>5091</v>
      </c>
      <c r="E269" s="9">
        <f>_xlfn.XLOOKUP(C:C,'Price List'!C:C,'Price List'!K:K)</f>
        <v>0</v>
      </c>
      <c r="F269" s="9">
        <f>_xlfn.XLOOKUP(C:C,'Price List'!C:C,'Price List'!E:E)</f>
        <v>9</v>
      </c>
      <c r="G269" s="9" t="str">
        <f>_xlfn.XLOOKUP(C:C,'Price List'!C:C,'Price List'!F:F)</f>
        <v>680 GR</v>
      </c>
      <c r="H269" s="6" t="s">
        <v>4873</v>
      </c>
      <c r="I269" s="2" t="s">
        <v>4874</v>
      </c>
      <c r="J269" s="2" t="s">
        <v>5092</v>
      </c>
      <c r="K269" s="6" t="s">
        <v>4763</v>
      </c>
      <c r="L269" s="14">
        <v>46285</v>
      </c>
      <c r="M269" s="15">
        <v>153</v>
      </c>
      <c r="N269" t="str">
        <f t="shared" si="31"/>
        <v>10100287_2910</v>
      </c>
      <c r="O269" s="6">
        <f>_xlfn.XLOOKUP(N269,Allocation!H:H,Allocation!E:E,0)</f>
        <v>0</v>
      </c>
      <c r="P269" s="38">
        <f t="shared" si="32"/>
        <v>153</v>
      </c>
    </row>
    <row r="270" spans="1:16">
      <c r="A270" t="str">
        <f>_xlfn.XLOOKUP(C:C,'Price List'!C:C,'Price List'!A:A)</f>
        <v>ANNA MARIA D'ANGELA</v>
      </c>
      <c r="B270" s="2" t="s">
        <v>852</v>
      </c>
      <c r="C270" s="9">
        <v>10100481</v>
      </c>
      <c r="D270" s="2" t="s">
        <v>4167</v>
      </c>
      <c r="E270" s="9">
        <f>_xlfn.XLOOKUP(C:C,'Price List'!C:C,'Price List'!K:K)</f>
        <v>0</v>
      </c>
      <c r="F270" s="9">
        <f>_xlfn.XLOOKUP(C:C,'Price List'!C:C,'Price List'!E:E)</f>
        <v>12</v>
      </c>
      <c r="G270" s="9" t="str">
        <f>_xlfn.XLOOKUP(C:C,'Price List'!C:C,'Price List'!F:F)</f>
        <v>50 GR</v>
      </c>
      <c r="H270" s="6" t="s">
        <v>3</v>
      </c>
      <c r="I270" s="2" t="s">
        <v>4864</v>
      </c>
      <c r="J270" s="2" t="s">
        <v>5093</v>
      </c>
      <c r="K270" s="6" t="s">
        <v>4763</v>
      </c>
      <c r="L270" s="14">
        <v>46287</v>
      </c>
      <c r="M270" s="15">
        <v>17</v>
      </c>
      <c r="N270" t="str">
        <f t="shared" si="31"/>
        <v>10100481_2910</v>
      </c>
      <c r="O270" s="6">
        <f>_xlfn.XLOOKUP(N270,Allocation!H:H,Allocation!B:B,0)</f>
        <v>0</v>
      </c>
    </row>
    <row r="271" spans="1:16">
      <c r="A271" t="str">
        <f>_xlfn.XLOOKUP(C:C,'Price List'!C:C,'Price List'!A:A)</f>
        <v>ANNA MARIA D'ANGELA</v>
      </c>
      <c r="B271" s="2" t="s">
        <v>852</v>
      </c>
      <c r="C271" s="9">
        <v>10100487</v>
      </c>
      <c r="D271" s="2" t="s">
        <v>593</v>
      </c>
      <c r="E271" s="9">
        <f>_xlfn.XLOOKUP(C:C,'Price List'!C:C,'Price List'!K:K)</f>
        <v>0</v>
      </c>
      <c r="F271" s="9">
        <f>_xlfn.XLOOKUP(C:C,'Price List'!C:C,'Price List'!E:E)</f>
        <v>12</v>
      </c>
      <c r="G271" s="9" t="str">
        <f>_xlfn.XLOOKUP(C:C,'Price List'!C:C,'Price List'!F:F)</f>
        <v>170 GR</v>
      </c>
      <c r="H271" s="6" t="s">
        <v>3</v>
      </c>
      <c r="I271" s="2" t="s">
        <v>4864</v>
      </c>
      <c r="J271" s="2" t="s">
        <v>5093</v>
      </c>
      <c r="K271" s="6" t="s">
        <v>4763</v>
      </c>
      <c r="L271" s="14">
        <v>46287</v>
      </c>
      <c r="M271" s="15">
        <v>1</v>
      </c>
      <c r="N271" t="str">
        <f t="shared" si="31"/>
        <v>10100487_2910</v>
      </c>
      <c r="O271" s="6">
        <f>_xlfn.XLOOKUP(N271,Allocation!H:H,Allocation!B:B,0)</f>
        <v>0</v>
      </c>
    </row>
    <row r="272" spans="1:16">
      <c r="A272" t="str">
        <f>_xlfn.XLOOKUP(C:C,'Price List'!C:C,'Price List'!A:A)</f>
        <v>NANCY QUISPE PT</v>
      </c>
      <c r="B272" s="2" t="s">
        <v>608</v>
      </c>
      <c r="C272" s="9">
        <v>10001127</v>
      </c>
      <c r="D272" s="2" t="s">
        <v>388</v>
      </c>
      <c r="E272" s="9">
        <f>_xlfn.XLOOKUP(C:C,'Price List'!C:C,'Price List'!K:K)</f>
        <v>0</v>
      </c>
      <c r="F272" s="9">
        <f>_xlfn.XLOOKUP(C:C,'Price List'!C:C,'Price List'!E:E)</f>
        <v>24</v>
      </c>
      <c r="G272" s="9" t="str">
        <f>_xlfn.XLOOKUP(C:C,'Price List'!C:C,'Price List'!F:F)</f>
        <v>370 ML</v>
      </c>
      <c r="H272" s="6" t="s">
        <v>3</v>
      </c>
      <c r="I272" s="2" t="s">
        <v>4864</v>
      </c>
      <c r="J272" s="2" t="s">
        <v>5094</v>
      </c>
      <c r="K272" s="6" t="s">
        <v>4763</v>
      </c>
      <c r="L272" s="14">
        <v>46287</v>
      </c>
      <c r="M272" s="15">
        <v>255</v>
      </c>
      <c r="N272" t="str">
        <f t="shared" si="31"/>
        <v>10001127_2910</v>
      </c>
      <c r="O272" s="6">
        <f>_xlfn.XLOOKUP(N272,Allocation!H:H,Allocation!B:B,0)</f>
        <v>0</v>
      </c>
    </row>
    <row r="273" spans="1:16">
      <c r="A273" t="str">
        <f>_xlfn.XLOOKUP(C:C,'Price List'!C:C,'Price List'!A:A)</f>
        <v>ANNA MARIA D'ANGELA</v>
      </c>
      <c r="B273" s="2" t="s">
        <v>852</v>
      </c>
      <c r="C273" s="9">
        <v>10100488</v>
      </c>
      <c r="D273" s="2" t="s">
        <v>4173</v>
      </c>
      <c r="E273" s="9">
        <f>_xlfn.XLOOKUP(C:C,'Price List'!C:C,'Price List'!K:K)</f>
        <v>0</v>
      </c>
      <c r="F273" s="9">
        <f>_xlfn.XLOOKUP(C:C,'Price List'!C:C,'Price List'!E:E)</f>
        <v>8</v>
      </c>
      <c r="G273" s="9" t="str">
        <f>_xlfn.XLOOKUP(C:C,'Price List'!C:C,'Price List'!F:F)</f>
        <v>125 GR</v>
      </c>
      <c r="H273" s="6" t="s">
        <v>3</v>
      </c>
      <c r="I273" s="2" t="s">
        <v>4864</v>
      </c>
      <c r="J273" s="2" t="s">
        <v>5095</v>
      </c>
      <c r="K273" s="6" t="s">
        <v>4763</v>
      </c>
      <c r="L273" s="14">
        <v>46288</v>
      </c>
      <c r="M273" s="15">
        <v>90</v>
      </c>
      <c r="N273" t="str">
        <f t="shared" si="31"/>
        <v>10100488_2910</v>
      </c>
      <c r="O273" s="6">
        <f>_xlfn.XLOOKUP(N273,Allocation!H:H,Allocation!B:B,0)</f>
        <v>0</v>
      </c>
    </row>
    <row r="274" spans="1:16">
      <c r="A274" t="str">
        <f>_xlfn.XLOOKUP(C:C,'Price List'!C:C,'Price List'!A:A)</f>
        <v>SAMANTHA RODRIGUES GB</v>
      </c>
      <c r="B274" s="2" t="s">
        <v>2741</v>
      </c>
      <c r="C274" s="9">
        <v>10057233</v>
      </c>
      <c r="D274" s="2" t="s">
        <v>578</v>
      </c>
      <c r="E274" s="9">
        <f>_xlfn.XLOOKUP(C:C,'Price List'!C:C,'Price List'!K:K)</f>
        <v>0</v>
      </c>
      <c r="F274" s="9">
        <f>_xlfn.XLOOKUP(C:C,'Price List'!C:C,'Price List'!E:E)</f>
        <v>12</v>
      </c>
      <c r="G274" s="9" t="str">
        <f>_xlfn.XLOOKUP(C:C,'Price List'!C:C,'Price List'!F:F)</f>
        <v>290 ML</v>
      </c>
      <c r="H274" s="6" t="s">
        <v>3</v>
      </c>
      <c r="I274" s="2" t="s">
        <v>4864</v>
      </c>
      <c r="J274" s="2" t="s">
        <v>5059</v>
      </c>
      <c r="K274" s="6" t="s">
        <v>4763</v>
      </c>
      <c r="L274" s="14">
        <v>46288</v>
      </c>
      <c r="M274" s="15">
        <v>69</v>
      </c>
      <c r="N274" t="str">
        <f t="shared" si="31"/>
        <v>10057233_2910</v>
      </c>
      <c r="O274" s="6">
        <f>_xlfn.XLOOKUP(N274,Allocation!H:H,Allocation!B:B,0)</f>
        <v>0</v>
      </c>
    </row>
    <row r="275" spans="1:16">
      <c r="A275" t="str">
        <f>_xlfn.XLOOKUP(C:C,'Price List'!C:C,'Price List'!A:A)</f>
        <v>SAMANTHA RODRIGUES GB</v>
      </c>
      <c r="B275" s="2" t="s">
        <v>2741</v>
      </c>
      <c r="C275" s="9">
        <v>10057233</v>
      </c>
      <c r="D275" s="2" t="s">
        <v>578</v>
      </c>
      <c r="E275" s="9">
        <f>_xlfn.XLOOKUP(C:C,'Price List'!C:C,'Price List'!K:K)</f>
        <v>0</v>
      </c>
      <c r="F275" s="9">
        <f>_xlfn.XLOOKUP(C:C,'Price List'!C:C,'Price List'!E:E)</f>
        <v>12</v>
      </c>
      <c r="G275" s="9" t="str">
        <f>_xlfn.XLOOKUP(C:C,'Price List'!C:C,'Price List'!F:F)</f>
        <v>290 ML</v>
      </c>
      <c r="H275" s="6" t="s">
        <v>3</v>
      </c>
      <c r="I275" s="2" t="s">
        <v>4864</v>
      </c>
      <c r="J275" s="2" t="s">
        <v>5096</v>
      </c>
      <c r="K275" s="6" t="s">
        <v>4763</v>
      </c>
      <c r="L275" s="14">
        <v>46288</v>
      </c>
      <c r="M275" s="15">
        <v>266</v>
      </c>
      <c r="N275" t="str">
        <f t="shared" si="31"/>
        <v>10057233_2910</v>
      </c>
      <c r="O275" s="6">
        <f>_xlfn.XLOOKUP(N275,Allocation!H:H,Allocation!B:B,0)</f>
        <v>0</v>
      </c>
    </row>
    <row r="276" spans="1:16">
      <c r="A276" t="str">
        <f>_xlfn.XLOOKUP(C:C,'Price List'!C:C,'Price List'!A:A)</f>
        <v>ANABELA NEVES PR</v>
      </c>
      <c r="B276" s="2" t="s">
        <v>1146</v>
      </c>
      <c r="C276" s="9">
        <v>10016104</v>
      </c>
      <c r="D276" s="2" t="s">
        <v>5097</v>
      </c>
      <c r="E276" s="9">
        <f>_xlfn.XLOOKUP(C:C,'Price List'!C:C,'Price List'!K:K)</f>
        <v>0</v>
      </c>
      <c r="F276" s="9">
        <f>_xlfn.XLOOKUP(C:C,'Price List'!C:C,'Price List'!E:E)</f>
        <v>8</v>
      </c>
      <c r="G276" s="9" t="str">
        <f>_xlfn.XLOOKUP(C:C,'Price List'!C:C,'Price List'!F:F)</f>
        <v>20 GR</v>
      </c>
      <c r="H276" s="6" t="s">
        <v>3</v>
      </c>
      <c r="I276" s="2" t="s">
        <v>4864</v>
      </c>
      <c r="J276" s="2" t="s">
        <v>5098</v>
      </c>
      <c r="K276" s="6" t="s">
        <v>4763</v>
      </c>
      <c r="L276" s="14">
        <v>46288</v>
      </c>
      <c r="M276" s="15">
        <v>1</v>
      </c>
      <c r="N276" t="str">
        <f t="shared" si="31"/>
        <v>10016104_2910</v>
      </c>
      <c r="O276" s="6">
        <f>_xlfn.XLOOKUP(N276,Allocation!H:H,Allocation!B:B,0)</f>
        <v>0</v>
      </c>
    </row>
    <row r="277" spans="1:16">
      <c r="A277" t="str">
        <f>_xlfn.XLOOKUP(C:C,'Price List'!C:C,'Price List'!A:A)</f>
        <v>AMOL PRAKASH</v>
      </c>
      <c r="B277" s="2" t="s">
        <v>2362</v>
      </c>
      <c r="C277" s="9">
        <v>10049140</v>
      </c>
      <c r="D277" s="2" t="s">
        <v>5099</v>
      </c>
      <c r="E277" s="9">
        <f>_xlfn.XLOOKUP(C:C,'Price List'!C:C,'Price List'!K:K)</f>
        <v>0</v>
      </c>
      <c r="F277" s="9">
        <f>_xlfn.XLOOKUP(C:C,'Price List'!C:C,'Price List'!E:E)</f>
        <v>12</v>
      </c>
      <c r="G277" s="9" t="str">
        <f>_xlfn.XLOOKUP(C:C,'Price List'!C:C,'Price List'!F:F)</f>
        <v>20 BG</v>
      </c>
      <c r="H277" s="6" t="s">
        <v>6</v>
      </c>
      <c r="I277" s="2" t="s">
        <v>4877</v>
      </c>
      <c r="J277" s="2" t="s">
        <v>5100</v>
      </c>
      <c r="K277" s="6" t="s">
        <v>4763</v>
      </c>
      <c r="L277" s="14">
        <v>46288</v>
      </c>
      <c r="M277" s="15">
        <v>2</v>
      </c>
      <c r="N277" t="str">
        <f t="shared" si="31"/>
        <v>10049140_2910</v>
      </c>
      <c r="O277" s="6">
        <f>_xlfn.XLOOKUP(N277,Allocation!H:H,Allocation!E:E,0)</f>
        <v>0</v>
      </c>
      <c r="P277" s="38">
        <f t="shared" ref="P277:P278" si="33">M277-O277</f>
        <v>2</v>
      </c>
    </row>
    <row r="278" spans="1:16">
      <c r="A278" t="str">
        <f>_xlfn.XLOOKUP(C:C,'Price List'!C:C,'Price List'!A:A)</f>
        <v>SAMANTHA RODRIGUES GB</v>
      </c>
      <c r="B278" s="2" t="s">
        <v>2741</v>
      </c>
      <c r="C278" s="9">
        <v>10057233</v>
      </c>
      <c r="D278" s="2" t="s">
        <v>578</v>
      </c>
      <c r="E278" s="9">
        <f>_xlfn.XLOOKUP(C:C,'Price List'!C:C,'Price List'!K:K)</f>
        <v>0</v>
      </c>
      <c r="F278" s="9">
        <f>_xlfn.XLOOKUP(C:C,'Price List'!C:C,'Price List'!E:E)</f>
        <v>12</v>
      </c>
      <c r="G278" s="9" t="str">
        <f>_xlfn.XLOOKUP(C:C,'Price List'!C:C,'Price List'!F:F)</f>
        <v>290 ML</v>
      </c>
      <c r="H278" s="6" t="s">
        <v>6</v>
      </c>
      <c r="I278" s="2" t="s">
        <v>4877</v>
      </c>
      <c r="J278" s="2" t="s">
        <v>5101</v>
      </c>
      <c r="K278" s="6" t="s">
        <v>4763</v>
      </c>
      <c r="L278" s="14">
        <v>46288</v>
      </c>
      <c r="M278" s="15">
        <v>110</v>
      </c>
      <c r="N278" t="str">
        <f t="shared" si="31"/>
        <v>10057233_2910</v>
      </c>
      <c r="O278" s="6">
        <f>_xlfn.XLOOKUP(N278,Allocation!H:H,Allocation!E:E,0)</f>
        <v>0</v>
      </c>
      <c r="P278" s="38">
        <f t="shared" si="33"/>
        <v>110</v>
      </c>
    </row>
    <row r="279" spans="1:16">
      <c r="A279" t="str">
        <f>_xlfn.XLOOKUP(C:C,'Price List'!C:C,'Price List'!A:A)</f>
        <v>TRACEY LAWRENCE</v>
      </c>
      <c r="B279" s="2" t="s">
        <v>1261</v>
      </c>
      <c r="C279" s="9">
        <v>10018646</v>
      </c>
      <c r="D279" s="2" t="s">
        <v>369</v>
      </c>
      <c r="E279" s="9">
        <f>_xlfn.XLOOKUP(C:C,'Price List'!C:C,'Price List'!K:K)</f>
        <v>0</v>
      </c>
      <c r="F279" s="9">
        <f>_xlfn.XLOOKUP(C:C,'Price List'!C:C,'Price List'!E:E)</f>
        <v>12</v>
      </c>
      <c r="G279" s="9" t="str">
        <f>_xlfn.XLOOKUP(C:C,'Price List'!C:C,'Price List'!F:F)</f>
        <v>240 GR</v>
      </c>
      <c r="H279" s="6" t="s">
        <v>3</v>
      </c>
      <c r="I279" s="2" t="s">
        <v>4864</v>
      </c>
      <c r="J279" s="2" t="s">
        <v>5102</v>
      </c>
      <c r="K279" s="6" t="s">
        <v>4763</v>
      </c>
      <c r="L279" s="14">
        <v>46291</v>
      </c>
      <c r="M279" s="15">
        <v>74</v>
      </c>
      <c r="N279" t="str">
        <f t="shared" si="31"/>
        <v>10018646_2910</v>
      </c>
      <c r="O279" s="6">
        <f>_xlfn.XLOOKUP(N279,Allocation!H:H,Allocation!B:B,0)</f>
        <v>0</v>
      </c>
    </row>
    <row r="280" spans="1:16">
      <c r="A280" t="str">
        <f>_xlfn.XLOOKUP(C:C,'Price List'!C:C,'Price List'!A:A)</f>
        <v>TRACEY LAWRENCE</v>
      </c>
      <c r="B280" s="2" t="s">
        <v>1261</v>
      </c>
      <c r="C280" s="9">
        <v>10018657</v>
      </c>
      <c r="D280" s="2" t="s">
        <v>387</v>
      </c>
      <c r="E280" s="9">
        <f>_xlfn.XLOOKUP(C:C,'Price List'!C:C,'Price List'!K:K)</f>
        <v>0</v>
      </c>
      <c r="F280" s="9">
        <f>_xlfn.XLOOKUP(C:C,'Price List'!C:C,'Price List'!E:E)</f>
        <v>12</v>
      </c>
      <c r="G280" s="9" t="str">
        <f>_xlfn.XLOOKUP(C:C,'Price List'!C:C,'Price List'!F:F)</f>
        <v>240 GR</v>
      </c>
      <c r="H280" s="6" t="s">
        <v>6</v>
      </c>
      <c r="I280" s="2" t="s">
        <v>4877</v>
      </c>
      <c r="J280" s="2" t="s">
        <v>5103</v>
      </c>
      <c r="K280" s="6" t="s">
        <v>4763</v>
      </c>
      <c r="L280" s="14">
        <v>46291</v>
      </c>
      <c r="M280" s="15">
        <v>18</v>
      </c>
      <c r="N280" t="str">
        <f t="shared" si="31"/>
        <v>10018657_2910</v>
      </c>
      <c r="O280" s="6">
        <f>_xlfn.XLOOKUP(N280,Allocation!H:H,Allocation!E:E,0)</f>
        <v>0</v>
      </c>
      <c r="P280" s="38">
        <f>M280-O280</f>
        <v>18</v>
      </c>
    </row>
    <row r="281" spans="1:16">
      <c r="A281" t="str">
        <f>_xlfn.XLOOKUP(C:C,'Price List'!C:C,'Price List'!A:A)</f>
        <v>ANNA MARIA D'ANGELA</v>
      </c>
      <c r="B281" s="2" t="s">
        <v>852</v>
      </c>
      <c r="C281" s="9">
        <v>10100478</v>
      </c>
      <c r="D281" s="2" t="s">
        <v>4163</v>
      </c>
      <c r="E281" s="9">
        <f>_xlfn.XLOOKUP(C:C,'Price List'!C:C,'Price List'!K:K)</f>
        <v>0</v>
      </c>
      <c r="F281" s="9">
        <f>_xlfn.XLOOKUP(C:C,'Price List'!C:C,'Price List'!E:E)</f>
        <v>12</v>
      </c>
      <c r="G281" s="9" t="str">
        <f>_xlfn.XLOOKUP(C:C,'Price List'!C:C,'Price List'!F:F)</f>
        <v>170 GR</v>
      </c>
      <c r="H281" s="6" t="s">
        <v>3</v>
      </c>
      <c r="I281" s="2" t="s">
        <v>4864</v>
      </c>
      <c r="J281" s="2" t="s">
        <v>5104</v>
      </c>
      <c r="K281" s="6" t="s">
        <v>4763</v>
      </c>
      <c r="L281" s="14">
        <v>46293</v>
      </c>
      <c r="M281" s="15">
        <v>105</v>
      </c>
      <c r="N281" t="str">
        <f t="shared" si="31"/>
        <v>10100478_2910</v>
      </c>
      <c r="O281" s="6">
        <f>_xlfn.XLOOKUP(N281,Allocation!H:H,Allocation!B:B,0)</f>
        <v>0</v>
      </c>
    </row>
    <row r="282" spans="1:16">
      <c r="A282" t="str">
        <f>_xlfn.XLOOKUP(C:C,'Price List'!C:C,'Price List'!A:A)</f>
        <v>NANCY QUISPE PT</v>
      </c>
      <c r="B282" s="2" t="s">
        <v>2055</v>
      </c>
      <c r="C282" s="9">
        <v>10040241</v>
      </c>
      <c r="D282" s="2" t="s">
        <v>5105</v>
      </c>
      <c r="E282" s="9">
        <f>_xlfn.XLOOKUP(C:C,'Price List'!C:C,'Price List'!K:K)</f>
        <v>0</v>
      </c>
      <c r="F282" s="9">
        <f>_xlfn.XLOOKUP(C:C,'Price List'!C:C,'Price List'!E:E)</f>
        <v>12</v>
      </c>
      <c r="G282" s="9" t="str">
        <f>_xlfn.XLOOKUP(C:C,'Price List'!C:C,'Price List'!F:F)</f>
        <v>.5 LT</v>
      </c>
      <c r="H282" s="6" t="s">
        <v>3</v>
      </c>
      <c r="I282" s="2" t="s">
        <v>4864</v>
      </c>
      <c r="J282" s="2" t="s">
        <v>5106</v>
      </c>
      <c r="K282" s="6" t="s">
        <v>4763</v>
      </c>
      <c r="L282" s="14">
        <v>46293</v>
      </c>
      <c r="M282" s="15">
        <v>57</v>
      </c>
      <c r="N282" t="str">
        <f t="shared" si="31"/>
        <v>10040241_2910</v>
      </c>
      <c r="O282" s="6">
        <f>_xlfn.XLOOKUP(N282,Allocation!H:H,Allocation!B:B,0)</f>
        <v>0</v>
      </c>
    </row>
    <row r="283" spans="1:16">
      <c r="A283" t="str">
        <f>_xlfn.XLOOKUP(C:C,'Price List'!C:C,'Price List'!A:A)</f>
        <v>NANCY QUISPE PT</v>
      </c>
      <c r="B283" s="2" t="s">
        <v>2055</v>
      </c>
      <c r="C283" s="9">
        <v>10040241</v>
      </c>
      <c r="D283" s="2" t="s">
        <v>5105</v>
      </c>
      <c r="E283" s="9">
        <f>_xlfn.XLOOKUP(C:C,'Price List'!C:C,'Price List'!K:K)</f>
        <v>0</v>
      </c>
      <c r="F283" s="9">
        <f>_xlfn.XLOOKUP(C:C,'Price List'!C:C,'Price List'!E:E)</f>
        <v>12</v>
      </c>
      <c r="G283" s="9" t="str">
        <f>_xlfn.XLOOKUP(C:C,'Price List'!C:C,'Price List'!F:F)</f>
        <v>.5 LT</v>
      </c>
      <c r="H283" s="6" t="s">
        <v>3</v>
      </c>
      <c r="I283" s="2" t="s">
        <v>4864</v>
      </c>
      <c r="J283" s="2" t="s">
        <v>5107</v>
      </c>
      <c r="K283" s="6" t="s">
        <v>4763</v>
      </c>
      <c r="L283" s="14">
        <v>46293</v>
      </c>
      <c r="M283" s="15">
        <v>34</v>
      </c>
      <c r="N283" t="str">
        <f t="shared" si="31"/>
        <v>10040241_2910</v>
      </c>
      <c r="O283" s="6">
        <f>_xlfn.XLOOKUP(N283,Allocation!H:H,Allocation!B:B,0)</f>
        <v>0</v>
      </c>
    </row>
    <row r="284" spans="1:16">
      <c r="A284" t="str">
        <f>_xlfn.XLOOKUP(C:C,'Price List'!C:C,'Price List'!A:A)</f>
        <v>NANCY QUISPE PT</v>
      </c>
      <c r="B284" s="2" t="s">
        <v>2401</v>
      </c>
      <c r="C284" s="9">
        <v>20050281</v>
      </c>
      <c r="D284" s="2" t="s">
        <v>4490</v>
      </c>
      <c r="E284" s="9">
        <f>_xlfn.XLOOKUP(C:C,'Price List'!C:C,'Price List'!K:K)</f>
        <v>0</v>
      </c>
      <c r="F284" s="9">
        <f>_xlfn.XLOOKUP(C:C,'Price List'!C:C,'Price List'!E:E)</f>
        <v>6</v>
      </c>
      <c r="G284" s="9" t="str">
        <f>_xlfn.XLOOKUP(C:C,'Price List'!C:C,'Price List'!F:F)</f>
        <v>395 ML</v>
      </c>
      <c r="H284" s="6" t="s">
        <v>3</v>
      </c>
      <c r="I284" s="2" t="s">
        <v>4864</v>
      </c>
      <c r="J284" s="2" t="s">
        <v>5108</v>
      </c>
      <c r="K284" s="6" t="s">
        <v>4763</v>
      </c>
      <c r="L284" s="14">
        <v>46293</v>
      </c>
      <c r="M284" s="15">
        <v>64</v>
      </c>
      <c r="N284" t="str">
        <f t="shared" si="31"/>
        <v>20050281_2910</v>
      </c>
      <c r="O284" s="6">
        <f>_xlfn.XLOOKUP(N284,Allocation!H:H,Allocation!B:B,0)</f>
        <v>0</v>
      </c>
    </row>
    <row r="285" spans="1:16">
      <c r="A285" t="str">
        <f>_xlfn.XLOOKUP(C:C,'Price List'!C:C,'Price List'!A:A)</f>
        <v>JAMES TYSON</v>
      </c>
      <c r="B285" s="2" t="s">
        <v>691</v>
      </c>
      <c r="C285" s="9">
        <v>10009932</v>
      </c>
      <c r="D285" s="2" t="s">
        <v>5109</v>
      </c>
      <c r="E285" s="9">
        <f>_xlfn.XLOOKUP(C:C,'Price List'!C:C,'Price List'!K:K)</f>
        <v>0</v>
      </c>
      <c r="F285" s="9">
        <f>_xlfn.XLOOKUP(C:C,'Price List'!C:C,'Price List'!E:E)</f>
        <v>6</v>
      </c>
      <c r="G285" s="9" t="str">
        <f>_xlfn.XLOOKUP(C:C,'Price List'!C:C,'Price List'!F:F)</f>
        <v>241 GR</v>
      </c>
      <c r="H285" s="6" t="s">
        <v>3</v>
      </c>
      <c r="I285" s="2" t="s">
        <v>4864</v>
      </c>
      <c r="J285" s="2" t="s">
        <v>5110</v>
      </c>
      <c r="K285" s="6" t="s">
        <v>4763</v>
      </c>
      <c r="L285" s="14">
        <v>46294</v>
      </c>
      <c r="M285" s="15">
        <v>54</v>
      </c>
      <c r="N285" t="str">
        <f t="shared" si="31"/>
        <v>10009932_2910</v>
      </c>
      <c r="O285" s="6">
        <f>_xlfn.XLOOKUP(N285,Allocation!H:H,Allocation!B:B,0)</f>
        <v>0</v>
      </c>
    </row>
    <row r="286" spans="1:16">
      <c r="A286" t="str">
        <f>_xlfn.XLOOKUP(C:C,'Price List'!C:C,'Price List'!A:A)</f>
        <v>ANNA MARIA D'ANGELA</v>
      </c>
      <c r="B286" s="2" t="s">
        <v>4213</v>
      </c>
      <c r="C286" s="9">
        <v>10100537</v>
      </c>
      <c r="D286" s="2" t="s">
        <v>4248</v>
      </c>
      <c r="E286" s="9">
        <f>_xlfn.XLOOKUP(C:C,'Price List'!C:C,'Price List'!K:K)</f>
        <v>0</v>
      </c>
      <c r="F286" s="9">
        <f>_xlfn.XLOOKUP(C:C,'Price List'!C:C,'Price List'!E:E)</f>
        <v>6</v>
      </c>
      <c r="G286" s="9" t="str">
        <f>_xlfn.XLOOKUP(C:C,'Price List'!C:C,'Price List'!F:F)</f>
        <v>397 GR</v>
      </c>
      <c r="H286" s="6" t="s">
        <v>3</v>
      </c>
      <c r="I286" s="2" t="s">
        <v>4864</v>
      </c>
      <c r="J286" s="2" t="s">
        <v>5111</v>
      </c>
      <c r="K286" s="6" t="s">
        <v>4763</v>
      </c>
      <c r="L286" s="14">
        <v>46295</v>
      </c>
      <c r="M286" s="15">
        <v>27</v>
      </c>
      <c r="N286" t="str">
        <f t="shared" si="31"/>
        <v>10100537_2910</v>
      </c>
      <c r="O286" s="6">
        <f>_xlfn.XLOOKUP(N286,Allocation!H:H,Allocation!B:B,0)</f>
        <v>0</v>
      </c>
    </row>
    <row r="287" spans="1:16">
      <c r="A287" t="str">
        <f>_xlfn.XLOOKUP(C:C,'Price List'!C:C,'Price List'!A:A)</f>
        <v>ANNA MARIA D'ANGELA</v>
      </c>
      <c r="B287" s="2" t="s">
        <v>4213</v>
      </c>
      <c r="C287" s="9">
        <v>10100537</v>
      </c>
      <c r="D287" s="2" t="s">
        <v>4248</v>
      </c>
      <c r="E287" s="9">
        <f>_xlfn.XLOOKUP(C:C,'Price List'!C:C,'Price List'!K:K)</f>
        <v>0</v>
      </c>
      <c r="F287" s="9">
        <f>_xlfn.XLOOKUP(C:C,'Price List'!C:C,'Price List'!E:E)</f>
        <v>6</v>
      </c>
      <c r="G287" s="9" t="str">
        <f>_xlfn.XLOOKUP(C:C,'Price List'!C:C,'Price List'!F:F)</f>
        <v>397 GR</v>
      </c>
      <c r="H287" s="6" t="s">
        <v>3</v>
      </c>
      <c r="I287" s="2" t="s">
        <v>4864</v>
      </c>
      <c r="J287" s="2" t="s">
        <v>5112</v>
      </c>
      <c r="K287" s="6" t="s">
        <v>4763</v>
      </c>
      <c r="L287" s="14">
        <v>46295</v>
      </c>
      <c r="M287" s="15">
        <v>21</v>
      </c>
      <c r="N287" t="str">
        <f t="shared" si="31"/>
        <v>10100537_2910</v>
      </c>
      <c r="O287" s="6">
        <f>_xlfn.XLOOKUP(N287,Allocation!H:H,Allocation!B:B,0)</f>
        <v>0</v>
      </c>
    </row>
    <row r="288" spans="1:16">
      <c r="A288" t="str">
        <f>_xlfn.XLOOKUP(C:C,'Price List'!C:C,'Price List'!A:A)</f>
        <v>Asif Ahmad PR</v>
      </c>
      <c r="B288" s="2" t="s">
        <v>3947</v>
      </c>
      <c r="C288" s="9">
        <v>10100278</v>
      </c>
      <c r="D288" s="2" t="s">
        <v>513</v>
      </c>
      <c r="E288" s="9">
        <f>_xlfn.XLOOKUP(C:C,'Price List'!C:C,'Price List'!K:K)</f>
        <v>0</v>
      </c>
      <c r="F288" s="9">
        <f>_xlfn.XLOOKUP(C:C,'Price List'!C:C,'Price List'!E:E)</f>
        <v>12</v>
      </c>
      <c r="G288" s="9" t="str">
        <f>_xlfn.XLOOKUP(C:C,'Price List'!C:C,'Price List'!F:F)</f>
        <v>326 GR</v>
      </c>
      <c r="H288" s="6" t="s">
        <v>5</v>
      </c>
      <c r="I288" s="2" t="s">
        <v>4761</v>
      </c>
      <c r="J288" s="2" t="s">
        <v>5113</v>
      </c>
      <c r="K288" s="6" t="s">
        <v>4763</v>
      </c>
      <c r="L288" s="14">
        <v>46295</v>
      </c>
      <c r="M288" s="15">
        <v>17</v>
      </c>
      <c r="N288" t="str">
        <f t="shared" si="31"/>
        <v>10100278_2910</v>
      </c>
      <c r="O288" s="6">
        <f>_xlfn.XLOOKUP(N288,Allocation!H:H,Allocation!C:C,0)</f>
        <v>0</v>
      </c>
      <c r="P288" s="38">
        <f>M288-O288</f>
        <v>17</v>
      </c>
    </row>
    <row r="289" spans="1:16">
      <c r="A289" t="str">
        <f>_xlfn.XLOOKUP(C:C,'Price List'!C:C,'Price List'!A:A)</f>
        <v>NISA DELEON</v>
      </c>
      <c r="B289" s="2" t="s">
        <v>1175</v>
      </c>
      <c r="C289" s="9">
        <v>10033494</v>
      </c>
      <c r="D289" s="2" t="s">
        <v>5114</v>
      </c>
      <c r="E289" s="9">
        <f>_xlfn.XLOOKUP(C:C,'Price List'!C:C,'Price List'!K:K)</f>
        <v>0</v>
      </c>
      <c r="F289" s="9">
        <f>_xlfn.XLOOKUP(C:C,'Price List'!C:C,'Price List'!E:E)</f>
        <v>12</v>
      </c>
      <c r="G289" s="9" t="str">
        <f>_xlfn.XLOOKUP(C:C,'Price List'!C:C,'Price List'!F:F)</f>
        <v>120 GR</v>
      </c>
      <c r="H289" s="6" t="s">
        <v>6</v>
      </c>
      <c r="I289" s="2" t="s">
        <v>4877</v>
      </c>
      <c r="J289" s="2" t="s">
        <v>5115</v>
      </c>
      <c r="K289" s="6" t="s">
        <v>4763</v>
      </c>
      <c r="L289" s="14">
        <v>46295</v>
      </c>
      <c r="M289" s="15">
        <v>2</v>
      </c>
      <c r="N289" t="str">
        <f t="shared" si="31"/>
        <v>10033494_2910</v>
      </c>
      <c r="O289" s="6">
        <f>_xlfn.XLOOKUP(N289,Allocation!H:H,Allocation!E:E,0)</f>
        <v>0</v>
      </c>
      <c r="P289" s="38">
        <f t="shared" ref="P289:P291" si="34">M289-O289</f>
        <v>2</v>
      </c>
    </row>
    <row r="290" spans="1:16">
      <c r="A290" t="str">
        <f>_xlfn.XLOOKUP(C:C,'Price List'!C:C,'Price List'!A:A)</f>
        <v>SAMANTHA RODRIGUES GB</v>
      </c>
      <c r="B290" s="2" t="s">
        <v>3441</v>
      </c>
      <c r="C290" s="9">
        <v>10076052</v>
      </c>
      <c r="D290" s="2" t="s">
        <v>5116</v>
      </c>
      <c r="E290" s="9">
        <f>_xlfn.XLOOKUP(C:C,'Price List'!C:C,'Price List'!K:K)</f>
        <v>0</v>
      </c>
      <c r="F290" s="9">
        <f>_xlfn.XLOOKUP(C:C,'Price List'!C:C,'Price List'!E:E)</f>
        <v>12</v>
      </c>
      <c r="G290" s="9" t="str">
        <f>_xlfn.XLOOKUP(C:C,'Price List'!C:C,'Price List'!F:F)</f>
        <v>140 GR</v>
      </c>
      <c r="H290" s="6" t="s">
        <v>6</v>
      </c>
      <c r="I290" s="2" t="s">
        <v>4877</v>
      </c>
      <c r="J290" s="2" t="s">
        <v>5117</v>
      </c>
      <c r="K290" s="6" t="s">
        <v>4763</v>
      </c>
      <c r="L290" s="14">
        <v>46295</v>
      </c>
      <c r="M290" s="15">
        <v>67</v>
      </c>
      <c r="N290" t="str">
        <f t="shared" si="31"/>
        <v>10076052_2910</v>
      </c>
      <c r="O290" s="6">
        <f>_xlfn.XLOOKUP(N290,Allocation!H:H,Allocation!E:E,0)</f>
        <v>0</v>
      </c>
      <c r="P290" s="38">
        <f t="shared" si="34"/>
        <v>67</v>
      </c>
    </row>
    <row r="291" spans="1:16">
      <c r="A291" t="str">
        <f>_xlfn.XLOOKUP(C:C,'Price List'!C:C,'Price List'!A:A)</f>
        <v>Asif Ahmad PR</v>
      </c>
      <c r="B291" s="2" t="s">
        <v>3947</v>
      </c>
      <c r="C291" s="9">
        <v>10100269</v>
      </c>
      <c r="D291" s="2" t="s">
        <v>3960</v>
      </c>
      <c r="E291" s="9">
        <f>_xlfn.XLOOKUP(C:C,'Price List'!C:C,'Price List'!K:K)</f>
        <v>0</v>
      </c>
      <c r="F291" s="9">
        <f>_xlfn.XLOOKUP(C:C,'Price List'!C:C,'Price List'!E:E)</f>
        <v>16</v>
      </c>
      <c r="G291" s="9" t="str">
        <f>_xlfn.XLOOKUP(C:C,'Price List'!C:C,'Price List'!F:F)</f>
        <v>447 GR</v>
      </c>
      <c r="H291" s="6" t="s">
        <v>4873</v>
      </c>
      <c r="I291" s="2" t="s">
        <v>4874</v>
      </c>
      <c r="J291" s="2" t="s">
        <v>5118</v>
      </c>
      <c r="K291" s="6" t="s">
        <v>4763</v>
      </c>
      <c r="L291" s="14">
        <v>46295</v>
      </c>
      <c r="M291" s="15">
        <v>77</v>
      </c>
      <c r="N291" t="str">
        <f t="shared" si="31"/>
        <v>10100269_2910</v>
      </c>
      <c r="O291" s="6">
        <f>_xlfn.XLOOKUP(N291,Allocation!H:H,Allocation!E:E,0)</f>
        <v>0</v>
      </c>
      <c r="P291" s="38">
        <f t="shared" si="34"/>
        <v>77</v>
      </c>
    </row>
    <row r="292" spans="1:16">
      <c r="A292" t="str">
        <f>_xlfn.XLOOKUP(C:C,'Price List'!C:C,'Price List'!A:A)</f>
        <v>Michael Gambino PR</v>
      </c>
      <c r="B292" s="2" t="s">
        <v>843</v>
      </c>
      <c r="C292" s="9">
        <v>10010349</v>
      </c>
      <c r="D292" s="2" t="s">
        <v>5119</v>
      </c>
      <c r="E292" s="9">
        <f>_xlfn.XLOOKUP(C:C,'Price List'!C:C,'Price List'!K:K)</f>
        <v>0</v>
      </c>
      <c r="F292" s="9">
        <f>_xlfn.XLOOKUP(C:C,'Price List'!C:C,'Price List'!E:E)</f>
        <v>12</v>
      </c>
      <c r="G292" s="9" t="str">
        <f>_xlfn.XLOOKUP(C:C,'Price List'!C:C,'Price List'!F:F)</f>
        <v>500 GR</v>
      </c>
      <c r="H292" s="6" t="s">
        <v>3</v>
      </c>
      <c r="I292" s="2" t="s">
        <v>4864</v>
      </c>
      <c r="J292" s="2" t="s">
        <v>5120</v>
      </c>
      <c r="K292" s="6" t="s">
        <v>4763</v>
      </c>
      <c r="L292" s="14">
        <v>46296</v>
      </c>
      <c r="M292" s="15">
        <v>1</v>
      </c>
      <c r="N292" t="str">
        <f t="shared" si="31"/>
        <v>10010349_2910</v>
      </c>
      <c r="O292" s="6">
        <f>_xlfn.XLOOKUP(N292,Allocation!H:H,Allocation!B:B,0)</f>
        <v>0</v>
      </c>
    </row>
    <row r="293" spans="1:16">
      <c r="A293" t="str">
        <f>_xlfn.XLOOKUP(C:C,'Price List'!C:C,'Price List'!A:A)</f>
        <v>ANNA MARIA D'ANGELA</v>
      </c>
      <c r="B293" s="2" t="s">
        <v>4270</v>
      </c>
      <c r="C293" s="9">
        <v>10100565</v>
      </c>
      <c r="D293" s="2" t="s">
        <v>5070</v>
      </c>
      <c r="E293" s="9">
        <f>_xlfn.XLOOKUP(C:C,'Price List'!C:C,'Price List'!K:K)</f>
        <v>0</v>
      </c>
      <c r="F293" s="9">
        <f>_xlfn.XLOOKUP(C:C,'Price List'!C:C,'Price List'!E:E)</f>
        <v>8</v>
      </c>
      <c r="G293" s="9" t="str">
        <f>_xlfn.XLOOKUP(C:C,'Price List'!C:C,'Price List'!F:F)</f>
        <v>262 GR</v>
      </c>
      <c r="H293" s="6" t="s">
        <v>3</v>
      </c>
      <c r="I293" s="2" t="s">
        <v>4864</v>
      </c>
      <c r="J293" s="2" t="s">
        <v>5121</v>
      </c>
      <c r="K293" s="6" t="s">
        <v>4763</v>
      </c>
      <c r="L293" s="14">
        <v>46296</v>
      </c>
      <c r="M293" s="15">
        <v>10</v>
      </c>
      <c r="N293" t="str">
        <f t="shared" si="31"/>
        <v>10100565_2910</v>
      </c>
      <c r="O293" s="6">
        <f>_xlfn.XLOOKUP(N293,Allocation!H:H,Allocation!B:B,0)</f>
        <v>0</v>
      </c>
    </row>
    <row r="294" spans="1:16">
      <c r="A294" t="str">
        <f>_xlfn.XLOOKUP(C:C,'Price List'!C:C,'Price List'!A:A)</f>
        <v>JAMES TYSON</v>
      </c>
      <c r="B294" s="2" t="s">
        <v>1075</v>
      </c>
      <c r="C294" s="9">
        <v>10015386</v>
      </c>
      <c r="D294" s="2" t="s">
        <v>4921</v>
      </c>
      <c r="E294" s="9">
        <f>_xlfn.XLOOKUP(C:C,'Price List'!C:C,'Price List'!K:K)</f>
        <v>0</v>
      </c>
      <c r="F294" s="9">
        <f>_xlfn.XLOOKUP(C:C,'Price List'!C:C,'Price List'!E:E)</f>
        <v>8</v>
      </c>
      <c r="G294" s="9" t="str">
        <f>_xlfn.XLOOKUP(C:C,'Price List'!C:C,'Price List'!F:F)</f>
        <v>340 GR</v>
      </c>
      <c r="H294" s="6" t="s">
        <v>3</v>
      </c>
      <c r="I294" s="2" t="s">
        <v>4864</v>
      </c>
      <c r="J294" s="2" t="s">
        <v>5122</v>
      </c>
      <c r="K294" s="6" t="s">
        <v>4763</v>
      </c>
      <c r="L294" s="14">
        <v>46296</v>
      </c>
      <c r="M294" s="15">
        <v>1178</v>
      </c>
      <c r="N294" t="str">
        <f t="shared" si="31"/>
        <v>10015386_2910</v>
      </c>
      <c r="O294" s="6">
        <f>_xlfn.XLOOKUP(N294,Allocation!H:H,Allocation!B:B,0)</f>
        <v>0</v>
      </c>
    </row>
    <row r="295" spans="1:16">
      <c r="A295" t="str">
        <f>_xlfn.XLOOKUP(C:C,'Price List'!C:C,'Price List'!A:A)</f>
        <v>JAMES TYSON</v>
      </c>
      <c r="B295" s="2" t="s">
        <v>1075</v>
      </c>
      <c r="C295" s="9">
        <v>10015386</v>
      </c>
      <c r="D295" s="2" t="s">
        <v>4921</v>
      </c>
      <c r="E295" s="9">
        <f>_xlfn.XLOOKUP(C:C,'Price List'!C:C,'Price List'!K:K)</f>
        <v>0</v>
      </c>
      <c r="F295" s="9">
        <f>_xlfn.XLOOKUP(C:C,'Price List'!C:C,'Price List'!E:E)</f>
        <v>8</v>
      </c>
      <c r="G295" s="9" t="str">
        <f>_xlfn.XLOOKUP(C:C,'Price List'!C:C,'Price List'!F:F)</f>
        <v>340 GR</v>
      </c>
      <c r="H295" s="6" t="s">
        <v>4873</v>
      </c>
      <c r="I295" s="2" t="s">
        <v>4874</v>
      </c>
      <c r="J295" s="2" t="s">
        <v>5122</v>
      </c>
      <c r="K295" s="6" t="s">
        <v>4763</v>
      </c>
      <c r="L295" s="14">
        <v>46296</v>
      </c>
      <c r="M295" s="15">
        <v>149</v>
      </c>
      <c r="N295" t="str">
        <f t="shared" si="31"/>
        <v>10015386_2910</v>
      </c>
      <c r="O295" s="6">
        <f>_xlfn.XLOOKUP(N295,Allocation!H:H,Allocation!E:E,0)</f>
        <v>0</v>
      </c>
      <c r="P295" s="38">
        <f>M295-O295</f>
        <v>149</v>
      </c>
    </row>
    <row r="296" spans="1:16">
      <c r="A296" t="str">
        <f>_xlfn.XLOOKUP(C:C,'Price List'!C:C,'Price List'!A:A)</f>
        <v>ANNA MARIA D'ANGELA</v>
      </c>
      <c r="B296" s="2" t="s">
        <v>852</v>
      </c>
      <c r="C296" s="9">
        <v>10100477</v>
      </c>
      <c r="D296" s="2" t="s">
        <v>4162</v>
      </c>
      <c r="E296" s="9">
        <f>_xlfn.XLOOKUP(C:C,'Price List'!C:C,'Price List'!K:K)</f>
        <v>0</v>
      </c>
      <c r="F296" s="9">
        <f>_xlfn.XLOOKUP(C:C,'Price List'!C:C,'Price List'!E:E)</f>
        <v>8</v>
      </c>
      <c r="G296" s="9" t="str">
        <f>_xlfn.XLOOKUP(C:C,'Price List'!C:C,'Price List'!F:F)</f>
        <v>136 GR</v>
      </c>
      <c r="H296" s="6" t="s">
        <v>3</v>
      </c>
      <c r="I296" s="2" t="s">
        <v>4864</v>
      </c>
      <c r="J296" s="2" t="s">
        <v>5123</v>
      </c>
      <c r="K296" s="6" t="s">
        <v>4763</v>
      </c>
      <c r="L296" s="14">
        <v>46297</v>
      </c>
      <c r="M296" s="15">
        <v>3</v>
      </c>
      <c r="N296" t="str">
        <f t="shared" si="31"/>
        <v>10100477_2910</v>
      </c>
      <c r="O296" s="6">
        <f>_xlfn.XLOOKUP(N296,Allocation!H:H,Allocation!B:B,0)</f>
        <v>0</v>
      </c>
    </row>
    <row r="297" spans="1:16">
      <c r="A297" t="str">
        <f>_xlfn.XLOOKUP(C:C,'Price List'!C:C,'Price List'!A:A)</f>
        <v>NIKISHA MOHAMMED</v>
      </c>
      <c r="B297" s="2" t="s">
        <v>2231</v>
      </c>
      <c r="C297" s="9">
        <v>20042964</v>
      </c>
      <c r="D297" s="2" t="s">
        <v>5124</v>
      </c>
      <c r="E297" s="9">
        <f>_xlfn.XLOOKUP(C:C,'Price List'!C:C,'Price List'!K:K)</f>
        <v>0</v>
      </c>
      <c r="F297" s="9">
        <f>_xlfn.XLOOKUP(C:C,'Price List'!C:C,'Price List'!E:E)</f>
        <v>15</v>
      </c>
      <c r="G297" s="9" t="str">
        <f>_xlfn.XLOOKUP(C:C,'Price List'!C:C,'Price List'!F:F)</f>
        <v>90 GR</v>
      </c>
      <c r="H297" s="6" t="s">
        <v>3</v>
      </c>
      <c r="I297" s="2" t="s">
        <v>4864</v>
      </c>
      <c r="J297" s="2" t="s">
        <v>5125</v>
      </c>
      <c r="K297" s="6" t="s">
        <v>4763</v>
      </c>
      <c r="L297" s="14">
        <v>46297</v>
      </c>
      <c r="M297" s="15">
        <v>38</v>
      </c>
      <c r="N297" t="str">
        <f t="shared" si="31"/>
        <v>20042964_2910</v>
      </c>
      <c r="O297" s="6">
        <f>_xlfn.XLOOKUP(N297,Allocation!H:H,Allocation!B:B,0)</f>
        <v>0</v>
      </c>
    </row>
    <row r="298" spans="1:16">
      <c r="A298" t="str">
        <f>_xlfn.XLOOKUP(C:C,'Price List'!C:C,'Price List'!A:A)</f>
        <v>SAMANTHA RODRIGUES GB</v>
      </c>
      <c r="B298" s="2" t="s">
        <v>2741</v>
      </c>
      <c r="C298" s="9">
        <v>10059163</v>
      </c>
      <c r="D298" s="2" t="s">
        <v>4811</v>
      </c>
      <c r="E298" s="9">
        <f>_xlfn.XLOOKUP(C:C,'Price List'!C:C,'Price List'!K:K)</f>
        <v>0</v>
      </c>
      <c r="F298" s="9">
        <f>_xlfn.XLOOKUP(C:C,'Price List'!C:C,'Price List'!E:E)</f>
        <v>1</v>
      </c>
      <c r="G298" s="9" t="str">
        <f>_xlfn.XLOOKUP(C:C,'Price List'!C:C,'Price List'!F:F)</f>
        <v>296 ML</v>
      </c>
      <c r="H298" s="6" t="s">
        <v>3</v>
      </c>
      <c r="I298" s="2" t="s">
        <v>4864</v>
      </c>
      <c r="J298" s="2" t="s">
        <v>5126</v>
      </c>
      <c r="K298" s="6" t="s">
        <v>4763</v>
      </c>
      <c r="L298" s="14">
        <v>46297</v>
      </c>
      <c r="M298" s="15">
        <v>96</v>
      </c>
      <c r="N298" t="str">
        <f t="shared" si="31"/>
        <v>10059163_2910</v>
      </c>
      <c r="O298" s="6">
        <f>_xlfn.XLOOKUP(N298,Allocation!H:H,Allocation!B:B,0)</f>
        <v>0</v>
      </c>
    </row>
    <row r="299" spans="1:16">
      <c r="A299" t="str">
        <f>_xlfn.XLOOKUP(C:C,'Price List'!C:C,'Price List'!A:A)</f>
        <v>ANNA MARIA D'ANGELA</v>
      </c>
      <c r="B299" s="2" t="s">
        <v>852</v>
      </c>
      <c r="C299" s="9">
        <v>10100477</v>
      </c>
      <c r="D299" s="2" t="s">
        <v>4162</v>
      </c>
      <c r="E299" s="9">
        <f>_xlfn.XLOOKUP(C:C,'Price List'!C:C,'Price List'!K:K)</f>
        <v>0</v>
      </c>
      <c r="F299" s="9">
        <f>_xlfn.XLOOKUP(C:C,'Price List'!C:C,'Price List'!E:E)</f>
        <v>8</v>
      </c>
      <c r="G299" s="9" t="str">
        <f>_xlfn.XLOOKUP(C:C,'Price List'!C:C,'Price List'!F:F)</f>
        <v>136 GR</v>
      </c>
      <c r="H299" s="6" t="s">
        <v>6</v>
      </c>
      <c r="I299" s="2" t="s">
        <v>4877</v>
      </c>
      <c r="J299" s="2" t="s">
        <v>5123</v>
      </c>
      <c r="K299" s="6" t="s">
        <v>4763</v>
      </c>
      <c r="L299" s="14">
        <v>46297</v>
      </c>
      <c r="M299" s="15">
        <v>2</v>
      </c>
      <c r="N299" t="str">
        <f t="shared" si="31"/>
        <v>10100477_2910</v>
      </c>
      <c r="O299" s="6">
        <f>_xlfn.XLOOKUP(N299,Allocation!H:H,Allocation!E:E,0)</f>
        <v>0</v>
      </c>
      <c r="P299" s="38">
        <f>M299-O299</f>
        <v>2</v>
      </c>
    </row>
    <row r="300" spans="1:16">
      <c r="A300" t="str">
        <f>_xlfn.XLOOKUP(C:C,'Price List'!C:C,'Price List'!A:A)</f>
        <v>SAMANTHA RODRIGUES GB</v>
      </c>
      <c r="B300" s="2" t="s">
        <v>3644</v>
      </c>
      <c r="C300" s="9">
        <v>10083522</v>
      </c>
      <c r="D300" s="2" t="s">
        <v>5127</v>
      </c>
      <c r="E300" s="9">
        <f>_xlfn.XLOOKUP(C:C,'Price List'!C:C,'Price List'!K:K)</f>
        <v>0</v>
      </c>
      <c r="F300" s="9">
        <f>_xlfn.XLOOKUP(C:C,'Price List'!C:C,'Price List'!E:E)</f>
        <v>200</v>
      </c>
      <c r="G300" s="9" t="str">
        <f>_xlfn.XLOOKUP(C:C,'Price List'!C:C,'Price List'!F:F)</f>
        <v>3 PC</v>
      </c>
      <c r="H300" s="6" t="s">
        <v>3</v>
      </c>
      <c r="I300" s="2" t="s">
        <v>4864</v>
      </c>
      <c r="J300" s="2" t="s">
        <v>5128</v>
      </c>
      <c r="K300" s="6" t="s">
        <v>4763</v>
      </c>
      <c r="L300" s="14">
        <v>46298</v>
      </c>
      <c r="M300" s="15">
        <v>30</v>
      </c>
      <c r="N300" t="str">
        <f t="shared" si="31"/>
        <v>10083522_2910</v>
      </c>
      <c r="O300" s="6">
        <f>_xlfn.XLOOKUP(N300,Allocation!H:H,Allocation!B:B,0)</f>
        <v>0</v>
      </c>
    </row>
    <row r="301" spans="1:16">
      <c r="A301" t="str">
        <f>_xlfn.XLOOKUP(C:C,'Price List'!C:C,'Price List'!A:A)</f>
        <v>ASIF AHMAD GB</v>
      </c>
      <c r="B301" s="2" t="s">
        <v>3136</v>
      </c>
      <c r="C301" s="9">
        <v>10100090</v>
      </c>
      <c r="D301" s="2" t="s">
        <v>3783</v>
      </c>
      <c r="E301" s="9">
        <f>_xlfn.XLOOKUP(C:C,'Price List'!C:C,'Price List'!K:K)</f>
        <v>0</v>
      </c>
      <c r="F301" s="9">
        <f>_xlfn.XLOOKUP(C:C,'Price List'!C:C,'Price List'!E:E)</f>
        <v>6</v>
      </c>
      <c r="G301" s="9" t="str">
        <f>_xlfn.XLOOKUP(C:C,'Price List'!C:C,'Price List'!F:F)</f>
        <v>240 ML</v>
      </c>
      <c r="H301" s="6" t="s">
        <v>3</v>
      </c>
      <c r="I301" s="2" t="s">
        <v>4864</v>
      </c>
      <c r="J301" s="2" t="s">
        <v>5129</v>
      </c>
      <c r="K301" s="6" t="s">
        <v>4763</v>
      </c>
      <c r="L301" s="14">
        <v>46298</v>
      </c>
      <c r="M301" s="15">
        <v>242</v>
      </c>
      <c r="N301" t="str">
        <f t="shared" si="31"/>
        <v>10100090_2910</v>
      </c>
      <c r="O301" s="6">
        <f>_xlfn.XLOOKUP(N301,Allocation!H:H,Allocation!B:B,0)</f>
        <v>0</v>
      </c>
    </row>
    <row r="302" spans="1:16">
      <c r="A302" t="str">
        <f>_xlfn.XLOOKUP(C:C,'Price List'!C:C,'Price List'!A:A)</f>
        <v>ASIF AHMAD GB</v>
      </c>
      <c r="B302" s="2" t="s">
        <v>1300</v>
      </c>
      <c r="C302" s="9">
        <v>10019132</v>
      </c>
      <c r="D302" s="2" t="s">
        <v>5130</v>
      </c>
      <c r="E302" s="9">
        <f>_xlfn.XLOOKUP(C:C,'Price List'!C:C,'Price List'!K:K)</f>
        <v>0</v>
      </c>
      <c r="F302" s="9">
        <f>_xlfn.XLOOKUP(C:C,'Price List'!C:C,'Price List'!E:E)</f>
        <v>4</v>
      </c>
      <c r="G302" s="9" t="str">
        <f>_xlfn.XLOOKUP(C:C,'Price List'!C:C,'Price List'!F:F)</f>
        <v>500 ML</v>
      </c>
      <c r="H302" s="6" t="s">
        <v>3</v>
      </c>
      <c r="I302" s="2" t="s">
        <v>4864</v>
      </c>
      <c r="J302" s="2" t="s">
        <v>5131</v>
      </c>
      <c r="K302" s="6" t="s">
        <v>4763</v>
      </c>
      <c r="L302" s="14">
        <v>46298</v>
      </c>
      <c r="M302" s="15">
        <v>108</v>
      </c>
      <c r="N302" t="str">
        <f t="shared" si="31"/>
        <v>10019132_2910</v>
      </c>
      <c r="O302" s="6">
        <f>_xlfn.XLOOKUP(N302,Allocation!H:H,Allocation!B:B,0)</f>
        <v>0</v>
      </c>
    </row>
    <row r="303" spans="1:16">
      <c r="A303" t="str">
        <f>_xlfn.XLOOKUP(C:C,'Price List'!C:C,'Price List'!A:A)</f>
        <v>ASIF AHMAD GB</v>
      </c>
      <c r="B303" s="2" t="s">
        <v>3136</v>
      </c>
      <c r="C303" s="9">
        <v>10100090</v>
      </c>
      <c r="D303" s="2" t="s">
        <v>3783</v>
      </c>
      <c r="E303" s="9">
        <f>_xlfn.XLOOKUP(C:C,'Price List'!C:C,'Price List'!K:K)</f>
        <v>0</v>
      </c>
      <c r="F303" s="9">
        <f>_xlfn.XLOOKUP(C:C,'Price List'!C:C,'Price List'!E:E)</f>
        <v>6</v>
      </c>
      <c r="G303" s="9" t="str">
        <f>_xlfn.XLOOKUP(C:C,'Price List'!C:C,'Price List'!F:F)</f>
        <v>240 ML</v>
      </c>
      <c r="H303" s="6" t="s">
        <v>6</v>
      </c>
      <c r="I303" s="2" t="s">
        <v>4877</v>
      </c>
      <c r="J303" s="2" t="s">
        <v>5129</v>
      </c>
      <c r="K303" s="6" t="s">
        <v>4763</v>
      </c>
      <c r="L303" s="14">
        <v>46298</v>
      </c>
      <c r="M303" s="15">
        <v>306</v>
      </c>
      <c r="N303" t="str">
        <f t="shared" si="31"/>
        <v>10100090_2910</v>
      </c>
      <c r="O303" s="6">
        <f>_xlfn.XLOOKUP(N303,Allocation!H:H,Allocation!E:E,0)</f>
        <v>0</v>
      </c>
      <c r="P303" s="38">
        <f>M303-O303</f>
        <v>306</v>
      </c>
    </row>
    <row r="304" spans="1:16">
      <c r="A304" t="str">
        <f>_xlfn.XLOOKUP(C:C,'Price List'!C:C,'Price List'!A:A)</f>
        <v>NISA DELEON</v>
      </c>
      <c r="B304" s="2" t="s">
        <v>2385</v>
      </c>
      <c r="C304" s="9">
        <v>10050619</v>
      </c>
      <c r="D304" s="2" t="s">
        <v>222</v>
      </c>
      <c r="E304" s="9">
        <f>_xlfn.XLOOKUP(C:C,'Price List'!C:C,'Price List'!K:K)</f>
        <v>0</v>
      </c>
      <c r="F304" s="9">
        <f>_xlfn.XLOOKUP(C:C,'Price List'!C:C,'Price List'!E:E)</f>
        <v>12</v>
      </c>
      <c r="G304" s="9" t="str">
        <f>_xlfn.XLOOKUP(C:C,'Price List'!C:C,'Price List'!F:F)</f>
        <v>68 GR</v>
      </c>
      <c r="H304" s="6" t="s">
        <v>3</v>
      </c>
      <c r="I304" s="2" t="s">
        <v>4864</v>
      </c>
      <c r="J304" s="2" t="s">
        <v>5132</v>
      </c>
      <c r="K304" s="6" t="s">
        <v>4763</v>
      </c>
      <c r="L304" s="14">
        <v>46299</v>
      </c>
      <c r="M304" s="15">
        <v>29</v>
      </c>
      <c r="N304" t="str">
        <f t="shared" si="31"/>
        <v>10050619_2910</v>
      </c>
      <c r="O304" s="6">
        <f>_xlfn.XLOOKUP(N304,Allocation!H:H,Allocation!B:B,0)</f>
        <v>0</v>
      </c>
    </row>
    <row r="305" spans="1:16">
      <c r="A305" t="str">
        <f>_xlfn.XLOOKUP(C:C,'Price List'!C:C,'Price List'!A:A)</f>
        <v>ASIF AHMAD GB</v>
      </c>
      <c r="B305" s="2" t="s">
        <v>1300</v>
      </c>
      <c r="C305" s="9">
        <v>10019131</v>
      </c>
      <c r="D305" s="2" t="s">
        <v>415</v>
      </c>
      <c r="E305" s="9">
        <f>_xlfn.XLOOKUP(C:C,'Price List'!C:C,'Price List'!K:K)</f>
        <v>0</v>
      </c>
      <c r="F305" s="9">
        <f>_xlfn.XLOOKUP(C:C,'Price List'!C:C,'Price List'!E:E)</f>
        <v>12</v>
      </c>
      <c r="G305" s="9" t="str">
        <f>_xlfn.XLOOKUP(C:C,'Price List'!C:C,'Price List'!F:F)</f>
        <v>500 ML</v>
      </c>
      <c r="H305" s="6" t="s">
        <v>3</v>
      </c>
      <c r="I305" s="2" t="s">
        <v>4864</v>
      </c>
      <c r="J305" s="2" t="s">
        <v>5133</v>
      </c>
      <c r="K305" s="6" t="s">
        <v>4763</v>
      </c>
      <c r="L305" s="14">
        <v>46304</v>
      </c>
      <c r="M305" s="15">
        <v>897</v>
      </c>
      <c r="N305" t="str">
        <f t="shared" si="31"/>
        <v>10019131_2910</v>
      </c>
      <c r="O305" s="6">
        <f>_xlfn.XLOOKUP(N305,Allocation!H:H,Allocation!B:B,0)</f>
        <v>0</v>
      </c>
    </row>
    <row r="306" spans="1:16">
      <c r="A306" t="str">
        <f>_xlfn.XLOOKUP(C:C,'Price List'!C:C,'Price List'!A:A)</f>
        <v>TRACEY LAWRENCE</v>
      </c>
      <c r="B306" s="2" t="s">
        <v>3130</v>
      </c>
      <c r="C306" s="9">
        <v>10063103</v>
      </c>
      <c r="D306" s="2" t="s">
        <v>427</v>
      </c>
      <c r="E306" s="9">
        <f>_xlfn.XLOOKUP(C:C,'Price List'!C:C,'Price List'!K:K)</f>
        <v>0</v>
      </c>
      <c r="F306" s="9">
        <f>_xlfn.XLOOKUP(C:C,'Price List'!C:C,'Price List'!E:E)</f>
        <v>12</v>
      </c>
      <c r="G306" s="9" t="str">
        <f>_xlfn.XLOOKUP(C:C,'Price List'!C:C,'Price List'!F:F)</f>
        <v>220 GR</v>
      </c>
      <c r="H306" s="6" t="s">
        <v>6</v>
      </c>
      <c r="I306" s="2" t="s">
        <v>4877</v>
      </c>
      <c r="J306" s="2" t="s">
        <v>5134</v>
      </c>
      <c r="K306" s="6" t="s">
        <v>4763</v>
      </c>
      <c r="L306" s="14">
        <v>46305</v>
      </c>
      <c r="M306" s="15">
        <v>84</v>
      </c>
      <c r="N306" t="str">
        <f t="shared" si="31"/>
        <v>10063103_2910</v>
      </c>
      <c r="O306" s="6">
        <f>_xlfn.XLOOKUP(N306,Allocation!H:H,Allocation!E:E,0)</f>
        <v>0</v>
      </c>
      <c r="P306" s="38">
        <f t="shared" ref="P306:P311" si="35">M306-O306</f>
        <v>84</v>
      </c>
    </row>
    <row r="307" spans="1:16">
      <c r="A307" t="str">
        <f>_xlfn.XLOOKUP(C:C,'Price List'!C:C,'Price List'!A:A)</f>
        <v>TRACEY LAWRENCE</v>
      </c>
      <c r="B307" s="2" t="s">
        <v>3214</v>
      </c>
      <c r="C307" s="9">
        <v>10066216</v>
      </c>
      <c r="D307" s="2" t="s">
        <v>386</v>
      </c>
      <c r="E307" s="9">
        <f>_xlfn.XLOOKUP(C:C,'Price List'!C:C,'Price List'!K:K)</f>
        <v>0</v>
      </c>
      <c r="F307" s="9">
        <f>_xlfn.XLOOKUP(C:C,'Price List'!C:C,'Price List'!E:E)</f>
        <v>24</v>
      </c>
      <c r="G307" s="9" t="str">
        <f>_xlfn.XLOOKUP(C:C,'Price List'!C:C,'Price List'!F:F)</f>
        <v>56 GR</v>
      </c>
      <c r="H307" s="6" t="s">
        <v>6</v>
      </c>
      <c r="I307" s="2" t="s">
        <v>4877</v>
      </c>
      <c r="J307" s="2" t="s">
        <v>5135</v>
      </c>
      <c r="K307" s="6" t="s">
        <v>4763</v>
      </c>
      <c r="L307" s="14">
        <v>46305</v>
      </c>
      <c r="M307" s="15">
        <v>6</v>
      </c>
      <c r="N307" t="str">
        <f t="shared" si="31"/>
        <v>10066216_2910</v>
      </c>
      <c r="O307" s="6">
        <f>_xlfn.XLOOKUP(N307,Allocation!H:H,Allocation!E:E,0)</f>
        <v>0</v>
      </c>
      <c r="P307" s="38">
        <f t="shared" si="35"/>
        <v>6</v>
      </c>
    </row>
    <row r="308" spans="1:16">
      <c r="A308" t="str">
        <f>_xlfn.XLOOKUP(C:C,'Price List'!C:C,'Price List'!A:A)</f>
        <v>TRACEY LAWRENCE</v>
      </c>
      <c r="B308" s="2" t="s">
        <v>3214</v>
      </c>
      <c r="C308" s="9">
        <v>10066216</v>
      </c>
      <c r="D308" s="2" t="s">
        <v>386</v>
      </c>
      <c r="E308" s="9">
        <f>_xlfn.XLOOKUP(C:C,'Price List'!C:C,'Price List'!K:K)</f>
        <v>0</v>
      </c>
      <c r="F308" s="9">
        <f>_xlfn.XLOOKUP(C:C,'Price List'!C:C,'Price List'!E:E)</f>
        <v>24</v>
      </c>
      <c r="G308" s="9" t="str">
        <f>_xlfn.XLOOKUP(C:C,'Price List'!C:C,'Price List'!F:F)</f>
        <v>56 GR</v>
      </c>
      <c r="H308" s="6" t="s">
        <v>6</v>
      </c>
      <c r="I308" s="2" t="s">
        <v>4877</v>
      </c>
      <c r="J308" s="2" t="s">
        <v>5136</v>
      </c>
      <c r="K308" s="6" t="s">
        <v>4763</v>
      </c>
      <c r="L308" s="14">
        <v>46305</v>
      </c>
      <c r="M308" s="15">
        <v>6</v>
      </c>
      <c r="N308" t="str">
        <f t="shared" si="31"/>
        <v>10066216_2910</v>
      </c>
      <c r="O308" s="6">
        <f>_xlfn.XLOOKUP(N308,Allocation!H:H,Allocation!E:E,0)</f>
        <v>0</v>
      </c>
      <c r="P308" s="38">
        <f t="shared" si="35"/>
        <v>6</v>
      </c>
    </row>
    <row r="309" spans="1:16">
      <c r="A309" t="str">
        <f>_xlfn.XLOOKUP(C:C,'Price List'!C:C,'Price List'!A:A)</f>
        <v>NISA DELEON</v>
      </c>
      <c r="B309" s="2" t="s">
        <v>2385</v>
      </c>
      <c r="C309" s="9">
        <v>10050613</v>
      </c>
      <c r="D309" s="2" t="s">
        <v>478</v>
      </c>
      <c r="E309" s="9">
        <f>_xlfn.XLOOKUP(C:C,'Price List'!C:C,'Price List'!K:K)</f>
        <v>0</v>
      </c>
      <c r="F309" s="9">
        <f>_xlfn.XLOOKUP(C:C,'Price List'!C:C,'Price List'!E:E)</f>
        <v>12</v>
      </c>
      <c r="G309" s="9" t="str">
        <f>_xlfn.XLOOKUP(C:C,'Price List'!C:C,'Price List'!F:F)</f>
        <v>68 GR</v>
      </c>
      <c r="H309" s="6" t="s">
        <v>6</v>
      </c>
      <c r="I309" s="2" t="s">
        <v>4877</v>
      </c>
      <c r="J309" s="2" t="s">
        <v>5137</v>
      </c>
      <c r="K309" s="6" t="s">
        <v>4763</v>
      </c>
      <c r="L309" s="14">
        <v>46308</v>
      </c>
      <c r="M309" s="15">
        <v>13</v>
      </c>
      <c r="N309" t="str">
        <f t="shared" si="31"/>
        <v>10050613_2910</v>
      </c>
      <c r="O309" s="6">
        <f>_xlfn.XLOOKUP(N309,Allocation!H:H,Allocation!E:E,0)</f>
        <v>0</v>
      </c>
      <c r="P309" s="38">
        <f t="shared" si="35"/>
        <v>13</v>
      </c>
    </row>
    <row r="310" spans="1:16">
      <c r="A310" t="str">
        <f>_xlfn.XLOOKUP(C:C,'Price List'!C:C,'Price List'!A:A)</f>
        <v>NISA DELEON</v>
      </c>
      <c r="B310" s="2" t="s">
        <v>2385</v>
      </c>
      <c r="C310" s="9">
        <v>10050613</v>
      </c>
      <c r="D310" s="2" t="s">
        <v>478</v>
      </c>
      <c r="E310" s="9">
        <f>_xlfn.XLOOKUP(C:C,'Price List'!C:C,'Price List'!K:K)</f>
        <v>0</v>
      </c>
      <c r="F310" s="9">
        <f>_xlfn.XLOOKUP(C:C,'Price List'!C:C,'Price List'!E:E)</f>
        <v>12</v>
      </c>
      <c r="G310" s="9" t="str">
        <f>_xlfn.XLOOKUP(C:C,'Price List'!C:C,'Price List'!F:F)</f>
        <v>68 GR</v>
      </c>
      <c r="H310" s="6" t="s">
        <v>6</v>
      </c>
      <c r="I310" s="2" t="s">
        <v>4877</v>
      </c>
      <c r="J310" s="2" t="s">
        <v>5138</v>
      </c>
      <c r="K310" s="6" t="s">
        <v>4763</v>
      </c>
      <c r="L310" s="14">
        <v>46308</v>
      </c>
      <c r="M310" s="15">
        <v>27</v>
      </c>
      <c r="N310" t="str">
        <f t="shared" si="31"/>
        <v>10050613_2910</v>
      </c>
      <c r="O310" s="6">
        <f>_xlfn.XLOOKUP(N310,Allocation!H:H,Allocation!E:E,0)</f>
        <v>0</v>
      </c>
      <c r="P310" s="38">
        <f t="shared" si="35"/>
        <v>27</v>
      </c>
    </row>
    <row r="311" spans="1:16">
      <c r="A311" t="str">
        <f>_xlfn.XLOOKUP(C:C,'Price List'!C:C,'Price List'!A:A)</f>
        <v>Asif Ahmad PR</v>
      </c>
      <c r="B311" s="2" t="s">
        <v>3947</v>
      </c>
      <c r="C311" s="9">
        <v>10100282</v>
      </c>
      <c r="D311" s="2" t="s">
        <v>516</v>
      </c>
      <c r="E311" s="9">
        <f>_xlfn.XLOOKUP(C:C,'Price List'!C:C,'Price List'!K:K)</f>
        <v>0</v>
      </c>
      <c r="F311" s="9">
        <f>_xlfn.XLOOKUP(C:C,'Price List'!C:C,'Price List'!E:E)</f>
        <v>14</v>
      </c>
      <c r="G311" s="9" t="str">
        <f>_xlfn.XLOOKUP(C:C,'Price List'!C:C,'Price List'!F:F)</f>
        <v>805 GR</v>
      </c>
      <c r="H311" s="6" t="s">
        <v>4873</v>
      </c>
      <c r="I311" s="2" t="s">
        <v>4874</v>
      </c>
      <c r="J311" s="2" t="s">
        <v>5139</v>
      </c>
      <c r="K311" s="6" t="s">
        <v>4763</v>
      </c>
      <c r="L311" s="14">
        <v>46308</v>
      </c>
      <c r="M311" s="15">
        <v>160</v>
      </c>
      <c r="N311" t="str">
        <f t="shared" si="31"/>
        <v>10100282_2910</v>
      </c>
      <c r="O311" s="6">
        <f>_xlfn.XLOOKUP(N311,Allocation!H:H,Allocation!E:E,0)</f>
        <v>0</v>
      </c>
      <c r="P311" s="38">
        <f t="shared" si="35"/>
        <v>160</v>
      </c>
    </row>
    <row r="312" spans="1:16">
      <c r="A312" t="str">
        <f>_xlfn.XLOOKUP(C:C,'Price List'!C:C,'Price List'!A:A)</f>
        <v>NISA DELEON</v>
      </c>
      <c r="B312" s="2" t="s">
        <v>2385</v>
      </c>
      <c r="C312" s="9">
        <v>10050613</v>
      </c>
      <c r="D312" s="2" t="s">
        <v>478</v>
      </c>
      <c r="E312" s="9">
        <f>_xlfn.XLOOKUP(C:C,'Price List'!C:C,'Price List'!K:K)</f>
        <v>0</v>
      </c>
      <c r="F312" s="9">
        <f>_xlfn.XLOOKUP(C:C,'Price List'!C:C,'Price List'!E:E)</f>
        <v>12</v>
      </c>
      <c r="G312" s="9" t="str">
        <f>_xlfn.XLOOKUP(C:C,'Price List'!C:C,'Price List'!F:F)</f>
        <v>68 GR</v>
      </c>
      <c r="H312" s="6" t="s">
        <v>3</v>
      </c>
      <c r="I312" s="2" t="s">
        <v>4864</v>
      </c>
      <c r="J312" s="2" t="s">
        <v>5140</v>
      </c>
      <c r="K312" s="6" t="s">
        <v>4763</v>
      </c>
      <c r="L312" s="14">
        <v>46309</v>
      </c>
      <c r="M312" s="15">
        <v>107</v>
      </c>
      <c r="N312" t="str">
        <f t="shared" si="31"/>
        <v>10050613_2910</v>
      </c>
      <c r="O312" s="6">
        <f>_xlfn.XLOOKUP(N312,Allocation!H:H,Allocation!B:B,0)</f>
        <v>0</v>
      </c>
    </row>
    <row r="313" spans="1:16">
      <c r="A313" t="str">
        <f>_xlfn.XLOOKUP(C:C,'Price List'!C:C,'Price List'!A:A)</f>
        <v>TRACEY LAWRENCE</v>
      </c>
      <c r="B313" s="2" t="s">
        <v>1261</v>
      </c>
      <c r="C313" s="9">
        <v>10018677</v>
      </c>
      <c r="D313" s="2" t="s">
        <v>4989</v>
      </c>
      <c r="E313" s="9">
        <f>_xlfn.XLOOKUP(C:C,'Price List'!C:C,'Price List'!K:K)</f>
        <v>0</v>
      </c>
      <c r="F313" s="9">
        <f>_xlfn.XLOOKUP(C:C,'Price List'!C:C,'Price List'!E:E)</f>
        <v>12</v>
      </c>
      <c r="G313" s="9" t="str">
        <f>_xlfn.XLOOKUP(C:C,'Price List'!C:C,'Price List'!F:F)</f>
        <v>340 GR</v>
      </c>
      <c r="H313" s="6" t="s">
        <v>6</v>
      </c>
      <c r="I313" s="2" t="s">
        <v>4877</v>
      </c>
      <c r="J313" s="2" t="s">
        <v>5141</v>
      </c>
      <c r="K313" s="6" t="s">
        <v>4763</v>
      </c>
      <c r="L313" s="14">
        <v>46312</v>
      </c>
      <c r="M313" s="15">
        <v>197</v>
      </c>
      <c r="N313" t="str">
        <f t="shared" si="31"/>
        <v>10018677_2910</v>
      </c>
      <c r="O313" s="6">
        <f>_xlfn.XLOOKUP(N313,Allocation!H:H,Allocation!E:E,0)</f>
        <v>0</v>
      </c>
      <c r="P313" s="38">
        <f>M313-O313</f>
        <v>197</v>
      </c>
    </row>
    <row r="314" spans="1:16">
      <c r="A314" t="str">
        <f>_xlfn.XLOOKUP(C:C,'Price List'!C:C,'Price List'!A:A)</f>
        <v>ASIF AHMAD GB</v>
      </c>
      <c r="B314" s="2" t="s">
        <v>1947</v>
      </c>
      <c r="C314" s="9">
        <v>10039433</v>
      </c>
      <c r="D314" s="2" t="s">
        <v>5142</v>
      </c>
      <c r="E314" s="9">
        <f>_xlfn.XLOOKUP(C:C,'Price List'!C:C,'Price List'!K:K)</f>
        <v>0</v>
      </c>
      <c r="F314" s="9">
        <f>_xlfn.XLOOKUP(C:C,'Price List'!C:C,'Price List'!E:E)</f>
        <v>6</v>
      </c>
      <c r="G314" s="9" t="str">
        <f>_xlfn.XLOOKUP(C:C,'Price List'!C:C,'Price List'!F:F)</f>
        <v>400 GR</v>
      </c>
      <c r="H314" s="6" t="s">
        <v>4</v>
      </c>
      <c r="I314" s="2" t="s">
        <v>4764</v>
      </c>
      <c r="J314" s="2" t="s">
        <v>5143</v>
      </c>
      <c r="K314" s="6" t="s">
        <v>4763</v>
      </c>
      <c r="L314" s="14">
        <v>46313</v>
      </c>
      <c r="M314" s="15">
        <v>10</v>
      </c>
      <c r="N314" t="str">
        <f t="shared" si="31"/>
        <v>10039433_2910</v>
      </c>
      <c r="O314" s="6">
        <f>_xlfn.XLOOKUP(N314,Allocation!H:H,Allocation!C:C,0)</f>
        <v>0</v>
      </c>
      <c r="P314" s="38">
        <f>M314-O314</f>
        <v>10</v>
      </c>
    </row>
    <row r="315" spans="1:16">
      <c r="A315" t="str">
        <f>_xlfn.XLOOKUP(C:C,'Price List'!C:C,'Price List'!A:A)</f>
        <v>AMOL PRAKASH</v>
      </c>
      <c r="B315" s="2" t="s">
        <v>664</v>
      </c>
      <c r="C315" s="9">
        <v>10100342</v>
      </c>
      <c r="D315" s="2" t="s">
        <v>5144</v>
      </c>
      <c r="E315" s="9">
        <f>_xlfn.XLOOKUP(C:C,'Price List'!C:C,'Price List'!K:K)</f>
        <v>0</v>
      </c>
      <c r="F315" s="9">
        <f>_xlfn.XLOOKUP(C:C,'Price List'!C:C,'Price List'!E:E)</f>
        <v>12</v>
      </c>
      <c r="G315" s="9" t="str">
        <f>_xlfn.XLOOKUP(C:C,'Price List'!C:C,'Price List'!F:F)</f>
        <v>946 ML</v>
      </c>
      <c r="H315" s="6" t="s">
        <v>3</v>
      </c>
      <c r="I315" s="2" t="s">
        <v>4864</v>
      </c>
      <c r="J315" s="2" t="s">
        <v>5145</v>
      </c>
      <c r="K315" s="6" t="s">
        <v>4763</v>
      </c>
      <c r="L315" s="14">
        <v>46314</v>
      </c>
      <c r="M315" s="15">
        <v>6</v>
      </c>
      <c r="N315" t="str">
        <f t="shared" si="31"/>
        <v>10100342_2910</v>
      </c>
      <c r="O315" s="6">
        <f>_xlfn.XLOOKUP(N315,Allocation!H:H,Allocation!B:B,0)</f>
        <v>0</v>
      </c>
    </row>
    <row r="316" spans="1:16">
      <c r="A316" t="str">
        <f>_xlfn.XLOOKUP(C:C,'Price List'!C:C,'Price List'!A:A)</f>
        <v>AMOL PRAKASH</v>
      </c>
      <c r="B316" s="2" t="s">
        <v>664</v>
      </c>
      <c r="C316" s="9">
        <v>10100342</v>
      </c>
      <c r="D316" s="2" t="s">
        <v>5144</v>
      </c>
      <c r="E316" s="9">
        <f>_xlfn.XLOOKUP(C:C,'Price List'!C:C,'Price List'!K:K)</f>
        <v>0</v>
      </c>
      <c r="F316" s="9">
        <f>_xlfn.XLOOKUP(C:C,'Price List'!C:C,'Price List'!E:E)</f>
        <v>12</v>
      </c>
      <c r="G316" s="9" t="str">
        <f>_xlfn.XLOOKUP(C:C,'Price List'!C:C,'Price List'!F:F)</f>
        <v>946 ML</v>
      </c>
      <c r="H316" s="6" t="s">
        <v>6</v>
      </c>
      <c r="I316" s="2" t="s">
        <v>4877</v>
      </c>
      <c r="J316" s="2" t="s">
        <v>5145</v>
      </c>
      <c r="K316" s="6" t="s">
        <v>4763</v>
      </c>
      <c r="L316" s="14">
        <v>46314</v>
      </c>
      <c r="M316" s="15">
        <v>8</v>
      </c>
      <c r="N316" t="str">
        <f t="shared" si="31"/>
        <v>10100342_2910</v>
      </c>
      <c r="O316" s="6">
        <f>_xlfn.XLOOKUP(N316,Allocation!H:H,Allocation!E:E,0)</f>
        <v>0</v>
      </c>
      <c r="P316" s="38">
        <f>M316-O316</f>
        <v>8</v>
      </c>
    </row>
    <row r="317" spans="1:16">
      <c r="A317" t="str">
        <f>_xlfn.XLOOKUP(C:C,'Price List'!C:C,'Price List'!A:A)</f>
        <v>TRACEY LAWRENCE</v>
      </c>
      <c r="B317" s="2" t="s">
        <v>1501</v>
      </c>
      <c r="C317" s="9">
        <v>10100033</v>
      </c>
      <c r="D317" s="2" t="s">
        <v>5146</v>
      </c>
      <c r="E317" s="9">
        <f>_xlfn.XLOOKUP(C:C,'Price List'!C:C,'Price List'!K:K)</f>
        <v>0</v>
      </c>
      <c r="F317" s="9">
        <f>_xlfn.XLOOKUP(C:C,'Price List'!C:C,'Price List'!E:E)</f>
        <v>60</v>
      </c>
      <c r="G317" s="9" t="str">
        <f>_xlfn.XLOOKUP(C:C,'Price List'!C:C,'Price List'!F:F)</f>
        <v>SHIPPER</v>
      </c>
      <c r="H317" s="6" t="s">
        <v>3</v>
      </c>
      <c r="I317" s="2" t="s">
        <v>4864</v>
      </c>
      <c r="J317" s="2" t="s">
        <v>5147</v>
      </c>
      <c r="K317" s="6" t="s">
        <v>4763</v>
      </c>
      <c r="L317" s="14">
        <v>46319</v>
      </c>
      <c r="M317" s="15">
        <v>13</v>
      </c>
      <c r="N317" t="str">
        <f t="shared" si="31"/>
        <v>10100033_2910</v>
      </c>
      <c r="O317" s="6">
        <f>_xlfn.XLOOKUP(N317,Allocation!H:H,Allocation!B:B,0)</f>
        <v>0</v>
      </c>
    </row>
    <row r="318" spans="1:16">
      <c r="A318" t="str">
        <f>_xlfn.XLOOKUP(C:C,'Price List'!C:C,'Price List'!A:A)</f>
        <v>TRACEY LAWRENCE</v>
      </c>
      <c r="B318" s="2" t="s">
        <v>1261</v>
      </c>
      <c r="C318" s="9">
        <v>10018646</v>
      </c>
      <c r="D318" s="2" t="s">
        <v>369</v>
      </c>
      <c r="E318" s="9">
        <f>_xlfn.XLOOKUP(C:C,'Price List'!C:C,'Price List'!K:K)</f>
        <v>0</v>
      </c>
      <c r="F318" s="9">
        <f>_xlfn.XLOOKUP(C:C,'Price List'!C:C,'Price List'!E:E)</f>
        <v>12</v>
      </c>
      <c r="G318" s="9" t="str">
        <f>_xlfn.XLOOKUP(C:C,'Price List'!C:C,'Price List'!F:F)</f>
        <v>240 GR</v>
      </c>
      <c r="H318" s="6" t="s">
        <v>3</v>
      </c>
      <c r="I318" s="2" t="s">
        <v>4864</v>
      </c>
      <c r="J318" s="2" t="s">
        <v>5148</v>
      </c>
      <c r="K318" s="6" t="s">
        <v>4763</v>
      </c>
      <c r="L318" s="14">
        <v>46319</v>
      </c>
      <c r="M318" s="15">
        <v>180</v>
      </c>
      <c r="N318" t="str">
        <f t="shared" si="31"/>
        <v>10018646_2910</v>
      </c>
      <c r="O318" s="6">
        <f>_xlfn.XLOOKUP(N318,Allocation!H:H,Allocation!B:B,0)</f>
        <v>0</v>
      </c>
    </row>
    <row r="319" spans="1:16">
      <c r="A319" t="str">
        <f>_xlfn.XLOOKUP(C:C,'Price List'!C:C,'Price List'!A:A)</f>
        <v>AMOL PRAKASH</v>
      </c>
      <c r="B319" s="2" t="s">
        <v>3173</v>
      </c>
      <c r="C319" s="9">
        <v>10065013</v>
      </c>
      <c r="D319" s="2" t="s">
        <v>364</v>
      </c>
      <c r="E319" s="9">
        <f>_xlfn.XLOOKUP(C:C,'Price List'!C:C,'Price List'!K:K)</f>
        <v>0</v>
      </c>
      <c r="F319" s="9">
        <f>_xlfn.XLOOKUP(C:C,'Price List'!C:C,'Price List'!E:E)</f>
        <v>12</v>
      </c>
      <c r="G319" s="9" t="str">
        <f>_xlfn.XLOOKUP(C:C,'Price List'!C:C,'Price List'!F:F)</f>
        <v>227 GR</v>
      </c>
      <c r="H319" s="6" t="s">
        <v>6</v>
      </c>
      <c r="I319" s="2" t="s">
        <v>4877</v>
      </c>
      <c r="J319" s="2" t="s">
        <v>5149</v>
      </c>
      <c r="K319" s="6" t="s">
        <v>4763</v>
      </c>
      <c r="L319" s="14">
        <v>46320</v>
      </c>
      <c r="M319" s="15">
        <v>2</v>
      </c>
      <c r="N319" t="str">
        <f t="shared" si="31"/>
        <v>10065013_2910</v>
      </c>
      <c r="O319" s="6">
        <f>_xlfn.XLOOKUP(N319,Allocation!H:H,Allocation!E:E,0)</f>
        <v>0</v>
      </c>
      <c r="P319" s="38">
        <f>M319-O319</f>
        <v>2</v>
      </c>
    </row>
    <row r="320" spans="1:16">
      <c r="A320" t="str">
        <f>_xlfn.XLOOKUP(C:C,'Price List'!C:C,'Price List'!A:A)</f>
        <v>Asif Ahmad PR</v>
      </c>
      <c r="B320" s="2" t="s">
        <v>3947</v>
      </c>
      <c r="C320" s="9">
        <v>10100264</v>
      </c>
      <c r="D320" s="2" t="s">
        <v>5150</v>
      </c>
      <c r="E320" s="9">
        <f>_xlfn.XLOOKUP(C:C,'Price List'!C:C,'Price List'!K:K)</f>
        <v>0</v>
      </c>
      <c r="F320" s="9">
        <f>_xlfn.XLOOKUP(C:C,'Price List'!C:C,'Price List'!E:E)</f>
        <v>14</v>
      </c>
      <c r="G320" s="9" t="str">
        <f>_xlfn.XLOOKUP(C:C,'Price List'!C:C,'Price List'!F:F)</f>
        <v>740 GR</v>
      </c>
      <c r="H320" s="6" t="s">
        <v>3</v>
      </c>
      <c r="I320" s="2" t="s">
        <v>4864</v>
      </c>
      <c r="J320" s="2" t="s">
        <v>5151</v>
      </c>
      <c r="K320" s="6" t="s">
        <v>4763</v>
      </c>
      <c r="L320" s="14">
        <v>46321</v>
      </c>
      <c r="M320" s="15">
        <v>214</v>
      </c>
      <c r="N320" t="str">
        <f t="shared" si="31"/>
        <v>10100264_2910</v>
      </c>
      <c r="O320" s="6">
        <f>_xlfn.XLOOKUP(N320,Allocation!H:H,Allocation!B:B,0)</f>
        <v>0</v>
      </c>
    </row>
    <row r="321" spans="1:16">
      <c r="A321" t="str">
        <f>_xlfn.XLOOKUP(C:C,'Price List'!C:C,'Price List'!A:A)</f>
        <v>Asif Ahmad PR</v>
      </c>
      <c r="B321" s="2" t="s">
        <v>3947</v>
      </c>
      <c r="C321" s="9">
        <v>10100264</v>
      </c>
      <c r="D321" s="2" t="s">
        <v>5150</v>
      </c>
      <c r="E321" s="9">
        <f>_xlfn.XLOOKUP(C:C,'Price List'!C:C,'Price List'!K:K)</f>
        <v>0</v>
      </c>
      <c r="F321" s="9">
        <f>_xlfn.XLOOKUP(C:C,'Price List'!C:C,'Price List'!E:E)</f>
        <v>14</v>
      </c>
      <c r="G321" s="9" t="str">
        <f>_xlfn.XLOOKUP(C:C,'Price List'!C:C,'Price List'!F:F)</f>
        <v>740 GR</v>
      </c>
      <c r="H321" s="6" t="s">
        <v>4873</v>
      </c>
      <c r="I321" s="2" t="s">
        <v>4874</v>
      </c>
      <c r="J321" s="2" t="s">
        <v>5151</v>
      </c>
      <c r="K321" s="6" t="s">
        <v>4763</v>
      </c>
      <c r="L321" s="14">
        <v>46321</v>
      </c>
      <c r="M321" s="15">
        <v>18</v>
      </c>
      <c r="N321" t="str">
        <f t="shared" si="31"/>
        <v>10100264_2910</v>
      </c>
      <c r="O321" s="6">
        <f>_xlfn.XLOOKUP(N321,Allocation!H:H,Allocation!E:E,0)</f>
        <v>0</v>
      </c>
      <c r="P321" s="38">
        <f>M321-O321</f>
        <v>18</v>
      </c>
    </row>
    <row r="322" spans="1:16">
      <c r="A322" t="str">
        <f>_xlfn.XLOOKUP(C:C,'Price List'!C:C,'Price List'!A:A)</f>
        <v>NISA DELEON</v>
      </c>
      <c r="B322" s="2" t="s">
        <v>2385</v>
      </c>
      <c r="C322" s="9">
        <v>10056789</v>
      </c>
      <c r="D322" s="2" t="s">
        <v>5152</v>
      </c>
      <c r="E322" s="9">
        <f>_xlfn.XLOOKUP(C:C,'Price List'!C:C,'Price List'!K:K)</f>
        <v>0</v>
      </c>
      <c r="F322" s="9">
        <f>_xlfn.XLOOKUP(C:C,'Price List'!C:C,'Price List'!E:E)</f>
        <v>12</v>
      </c>
      <c r="G322" s="9" t="str">
        <f>_xlfn.XLOOKUP(C:C,'Price List'!C:C,'Price List'!F:F)</f>
        <v>68 GR</v>
      </c>
      <c r="H322" s="6" t="s">
        <v>3</v>
      </c>
      <c r="I322" s="2" t="s">
        <v>4864</v>
      </c>
      <c r="J322" s="2" t="s">
        <v>5153</v>
      </c>
      <c r="K322" s="6" t="s">
        <v>4763</v>
      </c>
      <c r="L322" s="14">
        <v>46322</v>
      </c>
      <c r="M322" s="15">
        <v>49</v>
      </c>
      <c r="N322" t="str">
        <f t="shared" ref="N322:N370" si="36">C322 &amp; "_" &amp; 2910</f>
        <v>10056789_2910</v>
      </c>
      <c r="O322" s="6">
        <f>_xlfn.XLOOKUP(N322,Allocation!H:H,Allocation!B:B,0)</f>
        <v>0</v>
      </c>
    </row>
    <row r="323" spans="1:16">
      <c r="A323" t="str">
        <f>_xlfn.XLOOKUP(C:C,'Price List'!C:C,'Price List'!A:A)</f>
        <v>ANABELA NEVES PR</v>
      </c>
      <c r="B323" s="2" t="s">
        <v>977</v>
      </c>
      <c r="C323" s="9">
        <v>10018016</v>
      </c>
      <c r="D323" s="2" t="s">
        <v>305</v>
      </c>
      <c r="E323" s="9" t="s">
        <v>4795</v>
      </c>
      <c r="F323" s="9">
        <f>_xlfn.XLOOKUP(C:C,'Price List'!C:C,'Price List'!E:E)</f>
        <v>2</v>
      </c>
      <c r="G323" s="9" t="str">
        <f>_xlfn.XLOOKUP(C:C,'Price List'!C:C,'Price List'!F:F)</f>
        <v>1.6 KG</v>
      </c>
      <c r="H323" s="6" t="s">
        <v>6</v>
      </c>
      <c r="I323" s="2" t="s">
        <v>4877</v>
      </c>
      <c r="J323" s="2" t="s">
        <v>5154</v>
      </c>
      <c r="K323" s="6" t="s">
        <v>4763</v>
      </c>
      <c r="L323" s="14">
        <v>46323</v>
      </c>
      <c r="M323" s="15">
        <v>21</v>
      </c>
      <c r="N323" t="str">
        <f t="shared" si="36"/>
        <v>10018016_2910</v>
      </c>
      <c r="O323" s="6">
        <f>_xlfn.XLOOKUP(N323,Allocation!H:H,Allocation!E:E,0)</f>
        <v>0</v>
      </c>
      <c r="P323" s="38">
        <f t="shared" ref="P323:P325" si="37">M323-O323</f>
        <v>21</v>
      </c>
    </row>
    <row r="324" spans="1:16">
      <c r="A324" t="str">
        <f>_xlfn.XLOOKUP(C:C,'Price List'!C:C,'Price List'!A:A)</f>
        <v>Asif Ahmad PR</v>
      </c>
      <c r="B324" s="2" t="s">
        <v>3947</v>
      </c>
      <c r="C324" s="9">
        <v>10100262</v>
      </c>
      <c r="D324" s="2" t="s">
        <v>5155</v>
      </c>
      <c r="E324" s="9">
        <f>_xlfn.XLOOKUP(C:C,'Price List'!C:C,'Price List'!K:K)</f>
        <v>0</v>
      </c>
      <c r="F324" s="9">
        <f>_xlfn.XLOOKUP(C:C,'Price List'!C:C,'Price List'!E:E)</f>
        <v>14</v>
      </c>
      <c r="G324" s="9" t="str">
        <f>_xlfn.XLOOKUP(C:C,'Price List'!C:C,'Price List'!F:F)</f>
        <v>875 GR</v>
      </c>
      <c r="H324" s="6" t="s">
        <v>4873</v>
      </c>
      <c r="I324" s="2" t="s">
        <v>4874</v>
      </c>
      <c r="J324" s="2" t="s">
        <v>5156</v>
      </c>
      <c r="K324" s="6" t="s">
        <v>4763</v>
      </c>
      <c r="L324" s="14">
        <v>46323</v>
      </c>
      <c r="M324" s="15">
        <v>240</v>
      </c>
      <c r="N324" t="str">
        <f t="shared" si="36"/>
        <v>10100262_2910</v>
      </c>
      <c r="O324" s="6">
        <f>_xlfn.XLOOKUP(N324,Allocation!H:H,Allocation!E:E,0)</f>
        <v>0</v>
      </c>
      <c r="P324" s="38">
        <f t="shared" si="37"/>
        <v>240</v>
      </c>
    </row>
    <row r="325" spans="1:16">
      <c r="A325" t="str">
        <f>_xlfn.XLOOKUP(C:C,'Price List'!C:C,'Price List'!A:A)</f>
        <v>ASIF AHMAD GB</v>
      </c>
      <c r="B325" s="2" t="s">
        <v>1947</v>
      </c>
      <c r="C325" s="9">
        <v>10039435</v>
      </c>
      <c r="D325" s="2" t="s">
        <v>5157</v>
      </c>
      <c r="E325" s="9">
        <f>_xlfn.XLOOKUP(C:C,'Price List'!C:C,'Price List'!K:K)</f>
        <v>0</v>
      </c>
      <c r="F325" s="9">
        <f>_xlfn.XLOOKUP(C:C,'Price List'!C:C,'Price List'!E:E)</f>
        <v>6</v>
      </c>
      <c r="G325" s="9" t="str">
        <f>_xlfn.XLOOKUP(C:C,'Price List'!C:C,'Price List'!F:F)</f>
        <v>400 GR</v>
      </c>
      <c r="H325" s="6" t="s">
        <v>6</v>
      </c>
      <c r="I325" s="2" t="s">
        <v>4877</v>
      </c>
      <c r="J325" s="2" t="s">
        <v>5158</v>
      </c>
      <c r="K325" s="6" t="s">
        <v>4763</v>
      </c>
      <c r="L325" s="14">
        <v>46324</v>
      </c>
      <c r="M325" s="15">
        <v>2</v>
      </c>
      <c r="N325" t="str">
        <f t="shared" si="36"/>
        <v>10039435_2910</v>
      </c>
      <c r="O325" s="6">
        <f>_xlfn.XLOOKUP(N325,Allocation!H:H,Allocation!E:E,0)</f>
        <v>0</v>
      </c>
      <c r="P325" s="38">
        <f t="shared" si="37"/>
        <v>2</v>
      </c>
    </row>
    <row r="326" spans="1:16">
      <c r="A326" t="str">
        <f>_xlfn.XLOOKUP(C:C,'Price List'!C:C,'Price List'!A:A)</f>
        <v>SAMANTHA RODRIGUES GB</v>
      </c>
      <c r="B326" s="2" t="s">
        <v>3441</v>
      </c>
      <c r="C326" s="9">
        <v>10079023</v>
      </c>
      <c r="D326" s="2" t="s">
        <v>479</v>
      </c>
      <c r="E326" s="9">
        <f>_xlfn.XLOOKUP(C:C,'Price List'!C:C,'Price List'!K:K)</f>
        <v>0</v>
      </c>
      <c r="F326" s="9">
        <f>_xlfn.XLOOKUP(C:C,'Price List'!C:C,'Price List'!E:E)</f>
        <v>120</v>
      </c>
      <c r="G326" s="9" t="str">
        <f>_xlfn.XLOOKUP(C:C,'Price List'!C:C,'Price List'!F:F)</f>
        <v>40 GR</v>
      </c>
      <c r="H326" s="6" t="s">
        <v>4</v>
      </c>
      <c r="I326" s="2" t="s">
        <v>4764</v>
      </c>
      <c r="J326" s="2" t="s">
        <v>5159</v>
      </c>
      <c r="K326" s="6" t="s">
        <v>4763</v>
      </c>
      <c r="L326" s="14">
        <v>46325</v>
      </c>
      <c r="M326" s="15">
        <v>17</v>
      </c>
      <c r="N326" t="str">
        <f t="shared" si="36"/>
        <v>10079023_2910</v>
      </c>
      <c r="O326" s="6">
        <f>_xlfn.XLOOKUP(N326,Allocation!H:H,Allocation!C:C,0)</f>
        <v>0</v>
      </c>
      <c r="P326" s="38">
        <f t="shared" ref="P326:P337" si="38">M326-O326</f>
        <v>17</v>
      </c>
    </row>
    <row r="327" spans="1:16">
      <c r="A327" t="str">
        <f>_xlfn.XLOOKUP(C:C,'Price List'!C:C,'Price List'!A:A)</f>
        <v>SAMANTHA RODRIGUES GB</v>
      </c>
      <c r="B327" s="2" t="s">
        <v>3441</v>
      </c>
      <c r="C327" s="9">
        <v>30076528</v>
      </c>
      <c r="D327" s="2" t="s">
        <v>5160</v>
      </c>
      <c r="E327" s="9">
        <f>_xlfn.XLOOKUP(C:C,'Price List'!C:C,'Price List'!K:K)</f>
        <v>0</v>
      </c>
      <c r="F327" s="9">
        <f>_xlfn.XLOOKUP(C:C,'Price List'!C:C,'Price List'!E:E)</f>
        <v>60</v>
      </c>
      <c r="G327" s="9" t="str">
        <f>_xlfn.XLOOKUP(C:C,'Price List'!C:C,'Price List'!F:F)</f>
        <v>SHIPPER</v>
      </c>
      <c r="H327" s="6" t="s">
        <v>4</v>
      </c>
      <c r="I327" s="2" t="s">
        <v>4764</v>
      </c>
      <c r="J327" s="2" t="s">
        <v>5161</v>
      </c>
      <c r="K327" s="6" t="s">
        <v>4763</v>
      </c>
      <c r="L327" s="14">
        <v>46325</v>
      </c>
      <c r="M327" s="15">
        <v>2</v>
      </c>
      <c r="N327" t="str">
        <f t="shared" si="36"/>
        <v>30076528_2910</v>
      </c>
      <c r="O327" s="6">
        <f>_xlfn.XLOOKUP(N327,Allocation!H:H,Allocation!C:C,0)</f>
        <v>0</v>
      </c>
      <c r="P327" s="38">
        <f t="shared" si="38"/>
        <v>2</v>
      </c>
    </row>
    <row r="328" spans="1:16">
      <c r="A328" t="str">
        <f>_xlfn.XLOOKUP(C:C,'Price List'!C:C,'Price List'!A:A)</f>
        <v>SAMANTHA RODRIGUES GB</v>
      </c>
      <c r="B328" s="2" t="s">
        <v>3441</v>
      </c>
      <c r="C328" s="9">
        <v>10076520</v>
      </c>
      <c r="D328" s="2" t="s">
        <v>519</v>
      </c>
      <c r="E328" s="9">
        <f>_xlfn.XLOOKUP(C:C,'Price List'!C:C,'Price List'!K:K)</f>
        <v>0</v>
      </c>
      <c r="F328" s="9">
        <f>_xlfn.XLOOKUP(C:C,'Price List'!C:C,'Price List'!E:E)</f>
        <v>24</v>
      </c>
      <c r="G328" s="9" t="str">
        <f>_xlfn.XLOOKUP(C:C,'Price List'!C:C,'Price List'!F:F)</f>
        <v>150 GR</v>
      </c>
      <c r="H328" s="6" t="s">
        <v>6</v>
      </c>
      <c r="I328" s="2" t="s">
        <v>4877</v>
      </c>
      <c r="J328" s="2" t="s">
        <v>5162</v>
      </c>
      <c r="K328" s="6" t="s">
        <v>4763</v>
      </c>
      <c r="L328" s="14">
        <v>46325</v>
      </c>
      <c r="M328" s="15">
        <v>46</v>
      </c>
      <c r="N328" t="str">
        <f t="shared" si="36"/>
        <v>10076520_2910</v>
      </c>
      <c r="O328" s="6">
        <f>_xlfn.XLOOKUP(N328,Allocation!H:H,Allocation!E:E,0)</f>
        <v>0</v>
      </c>
      <c r="P328" s="38">
        <f t="shared" si="38"/>
        <v>46</v>
      </c>
    </row>
    <row r="329" spans="1:16">
      <c r="A329" t="str">
        <f>_xlfn.XLOOKUP(C:C,'Price List'!C:C,'Price List'!A:A)</f>
        <v>SAMANTHA RODRIGUES GB</v>
      </c>
      <c r="B329" s="2" t="s">
        <v>3441</v>
      </c>
      <c r="C329" s="9">
        <v>10079023</v>
      </c>
      <c r="D329" s="2" t="s">
        <v>479</v>
      </c>
      <c r="E329" s="9">
        <f>_xlfn.XLOOKUP(C:C,'Price List'!C:C,'Price List'!K:K)</f>
        <v>0</v>
      </c>
      <c r="F329" s="9">
        <f>_xlfn.XLOOKUP(C:C,'Price List'!C:C,'Price List'!E:E)</f>
        <v>120</v>
      </c>
      <c r="G329" s="9" t="str">
        <f>_xlfn.XLOOKUP(C:C,'Price List'!C:C,'Price List'!F:F)</f>
        <v>40 GR</v>
      </c>
      <c r="H329" s="6" t="s">
        <v>6</v>
      </c>
      <c r="I329" s="2" t="s">
        <v>4877</v>
      </c>
      <c r="J329" s="2" t="s">
        <v>5159</v>
      </c>
      <c r="K329" s="6" t="s">
        <v>4763</v>
      </c>
      <c r="L329" s="14">
        <v>46325</v>
      </c>
      <c r="M329" s="15">
        <v>1</v>
      </c>
      <c r="N329" t="str">
        <f t="shared" si="36"/>
        <v>10079023_2910</v>
      </c>
      <c r="O329" s="6">
        <f>_xlfn.XLOOKUP(N329,Allocation!H:H,Allocation!E:E,0)</f>
        <v>0</v>
      </c>
      <c r="P329" s="38">
        <f t="shared" si="38"/>
        <v>1</v>
      </c>
    </row>
    <row r="330" spans="1:16">
      <c r="A330" t="str">
        <f>_xlfn.XLOOKUP(C:C,'Price List'!C:C,'Price List'!A:A)</f>
        <v>TRACEY LAWRENCE</v>
      </c>
      <c r="B330" s="2" t="s">
        <v>3214</v>
      </c>
      <c r="C330" s="9">
        <v>10066217</v>
      </c>
      <c r="D330" s="2" t="s">
        <v>228</v>
      </c>
      <c r="E330" s="9">
        <f>_xlfn.XLOOKUP(C:C,'Price List'!C:C,'Price List'!K:K)</f>
        <v>0</v>
      </c>
      <c r="F330" s="9">
        <f>_xlfn.XLOOKUP(C:C,'Price List'!C:C,'Price List'!E:E)</f>
        <v>24</v>
      </c>
      <c r="G330" s="9" t="str">
        <f>_xlfn.XLOOKUP(C:C,'Price List'!C:C,'Price List'!F:F)</f>
        <v>56 GR</v>
      </c>
      <c r="H330" s="6" t="s">
        <v>6</v>
      </c>
      <c r="I330" s="2" t="s">
        <v>4877</v>
      </c>
      <c r="J330" s="2" t="s">
        <v>5163</v>
      </c>
      <c r="K330" s="6" t="s">
        <v>4763</v>
      </c>
      <c r="L330" s="14">
        <v>46326</v>
      </c>
      <c r="M330" s="15">
        <v>11</v>
      </c>
      <c r="N330" t="str">
        <f t="shared" si="36"/>
        <v>10066217_2910</v>
      </c>
      <c r="O330" s="6">
        <f>_xlfn.XLOOKUP(N330,Allocation!H:H,Allocation!E:E,0)</f>
        <v>0</v>
      </c>
      <c r="P330" s="38">
        <f t="shared" si="38"/>
        <v>11</v>
      </c>
    </row>
    <row r="331" spans="1:16">
      <c r="A331" t="str">
        <f>_xlfn.XLOOKUP(C:C,'Price List'!C:C,'Price List'!A:A)</f>
        <v>Asif Ahmad PR</v>
      </c>
      <c r="B331" s="2" t="s">
        <v>3947</v>
      </c>
      <c r="C331" s="9">
        <v>10100276</v>
      </c>
      <c r="D331" s="2" t="s">
        <v>5164</v>
      </c>
      <c r="E331" s="9">
        <f>_xlfn.XLOOKUP(C:C,'Price List'!C:C,'Price List'!K:K)</f>
        <v>0</v>
      </c>
      <c r="F331" s="9">
        <f>_xlfn.XLOOKUP(C:C,'Price List'!C:C,'Price List'!E:E)</f>
        <v>12</v>
      </c>
      <c r="G331" s="9" t="str">
        <f>_xlfn.XLOOKUP(C:C,'Price List'!C:C,'Price List'!F:F)</f>
        <v>326 GR</v>
      </c>
      <c r="H331" s="6" t="s">
        <v>4873</v>
      </c>
      <c r="I331" s="2" t="s">
        <v>4874</v>
      </c>
      <c r="J331" s="2" t="s">
        <v>5165</v>
      </c>
      <c r="K331" s="6" t="s">
        <v>4763</v>
      </c>
      <c r="L331" s="14">
        <v>46326</v>
      </c>
      <c r="M331" s="15">
        <v>82</v>
      </c>
      <c r="N331" t="str">
        <f t="shared" si="36"/>
        <v>10100276_2910</v>
      </c>
      <c r="O331" s="6">
        <f>_xlfn.XLOOKUP(N331,Allocation!H:H,Allocation!E:E,0)</f>
        <v>0</v>
      </c>
      <c r="P331" s="38">
        <f t="shared" si="38"/>
        <v>82</v>
      </c>
    </row>
    <row r="332" spans="1:16">
      <c r="A332" t="str">
        <f>_xlfn.XLOOKUP(C:C,'Price List'!C:C,'Price List'!A:A)</f>
        <v>Asif Ahmad PR</v>
      </c>
      <c r="B332" s="2" t="s">
        <v>3947</v>
      </c>
      <c r="C332" s="9">
        <v>10100282</v>
      </c>
      <c r="D332" s="2" t="s">
        <v>516</v>
      </c>
      <c r="E332" s="9">
        <f>_xlfn.XLOOKUP(C:C,'Price List'!C:C,'Price List'!K:K)</f>
        <v>0</v>
      </c>
      <c r="F332" s="9">
        <f>_xlfn.XLOOKUP(C:C,'Price List'!C:C,'Price List'!E:E)</f>
        <v>14</v>
      </c>
      <c r="G332" s="9" t="str">
        <f>_xlfn.XLOOKUP(C:C,'Price List'!C:C,'Price List'!F:F)</f>
        <v>805 GR</v>
      </c>
      <c r="H332" s="6" t="s">
        <v>4873</v>
      </c>
      <c r="I332" s="2" t="s">
        <v>4874</v>
      </c>
      <c r="J332" s="2" t="s">
        <v>5166</v>
      </c>
      <c r="K332" s="6" t="s">
        <v>4763</v>
      </c>
      <c r="L332" s="14">
        <v>46326</v>
      </c>
      <c r="M332" s="15">
        <v>283</v>
      </c>
      <c r="N332" t="str">
        <f t="shared" si="36"/>
        <v>10100282_2910</v>
      </c>
      <c r="O332" s="6">
        <f>_xlfn.XLOOKUP(N332,Allocation!H:H,Allocation!E:E,0)</f>
        <v>0</v>
      </c>
      <c r="P332" s="38">
        <f t="shared" si="38"/>
        <v>283</v>
      </c>
    </row>
    <row r="333" spans="1:16">
      <c r="A333" t="str">
        <f>_xlfn.XLOOKUP(C:C,'Price List'!C:C,'Price List'!A:A)</f>
        <v>TRACEY LAWRENCE</v>
      </c>
      <c r="B333" s="2" t="s">
        <v>3130</v>
      </c>
      <c r="C333" s="9">
        <v>10063101</v>
      </c>
      <c r="D333" s="2" t="s">
        <v>438</v>
      </c>
      <c r="E333" s="9">
        <f>_xlfn.XLOOKUP(C:C,'Price List'!C:C,'Price List'!K:K)</f>
        <v>0</v>
      </c>
      <c r="F333" s="9">
        <f>_xlfn.XLOOKUP(C:C,'Price List'!C:C,'Price List'!E:E)</f>
        <v>12</v>
      </c>
      <c r="G333" s="9" t="str">
        <f>_xlfn.XLOOKUP(C:C,'Price List'!C:C,'Price List'!F:F)</f>
        <v>220 GR</v>
      </c>
      <c r="H333" s="6" t="s">
        <v>6</v>
      </c>
      <c r="I333" s="2" t="s">
        <v>4877</v>
      </c>
      <c r="J333" s="2" t="s">
        <v>5167</v>
      </c>
      <c r="K333" s="6" t="s">
        <v>4763</v>
      </c>
      <c r="L333" s="14">
        <v>46333</v>
      </c>
      <c r="M333" s="15">
        <v>297</v>
      </c>
      <c r="N333" t="str">
        <f t="shared" si="36"/>
        <v>10063101_2910</v>
      </c>
      <c r="O333" s="6">
        <f>_xlfn.XLOOKUP(N333,Allocation!H:H,Allocation!E:E,0)</f>
        <v>0</v>
      </c>
      <c r="P333" s="38">
        <f t="shared" si="38"/>
        <v>297</v>
      </c>
    </row>
    <row r="334" spans="1:16">
      <c r="A334" t="str">
        <f>_xlfn.XLOOKUP(C:C,'Price List'!C:C,'Price List'!A:A)</f>
        <v>TRACEY LAWRENCE</v>
      </c>
      <c r="B334" s="2" t="s">
        <v>3130</v>
      </c>
      <c r="C334" s="9">
        <v>10063104</v>
      </c>
      <c r="D334" s="2" t="s">
        <v>5067</v>
      </c>
      <c r="E334" s="9">
        <f>_xlfn.XLOOKUP(C:C,'Price List'!C:C,'Price List'!K:K)</f>
        <v>0</v>
      </c>
      <c r="F334" s="9">
        <f>_xlfn.XLOOKUP(C:C,'Price List'!C:C,'Price List'!E:E)</f>
        <v>12</v>
      </c>
      <c r="G334" s="9" t="str">
        <f>_xlfn.XLOOKUP(C:C,'Price List'!C:C,'Price List'!F:F)</f>
        <v>220 GR</v>
      </c>
      <c r="H334" s="6" t="s">
        <v>6</v>
      </c>
      <c r="I334" s="2" t="s">
        <v>4877</v>
      </c>
      <c r="J334" s="2" t="s">
        <v>5168</v>
      </c>
      <c r="K334" s="6" t="s">
        <v>4763</v>
      </c>
      <c r="L334" s="14">
        <v>46333</v>
      </c>
      <c r="M334" s="15">
        <v>252</v>
      </c>
      <c r="N334" t="str">
        <f t="shared" si="36"/>
        <v>10063104_2910</v>
      </c>
      <c r="O334" s="6">
        <f>_xlfn.XLOOKUP(N334,Allocation!H:H,Allocation!E:E,0)</f>
        <v>0</v>
      </c>
      <c r="P334" s="38">
        <f t="shared" si="38"/>
        <v>252</v>
      </c>
    </row>
    <row r="335" spans="1:16">
      <c r="A335" t="str">
        <f>_xlfn.XLOOKUP(C:C,'Price List'!C:C,'Price List'!A:A)</f>
        <v>TRACEY LAWRENCE</v>
      </c>
      <c r="B335" s="2" t="s">
        <v>3130</v>
      </c>
      <c r="C335" s="9">
        <v>10063102</v>
      </c>
      <c r="D335" s="2" t="s">
        <v>237</v>
      </c>
      <c r="E335" s="9">
        <f>_xlfn.XLOOKUP(C:C,'Price List'!C:C,'Price List'!K:K)</f>
        <v>0</v>
      </c>
      <c r="F335" s="9">
        <f>_xlfn.XLOOKUP(C:C,'Price List'!C:C,'Price List'!E:E)</f>
        <v>12</v>
      </c>
      <c r="G335" s="9" t="str">
        <f>_xlfn.XLOOKUP(C:C,'Price List'!C:C,'Price List'!F:F)</f>
        <v>220 GR</v>
      </c>
      <c r="H335" s="6" t="s">
        <v>6</v>
      </c>
      <c r="I335" s="2" t="s">
        <v>4877</v>
      </c>
      <c r="J335" s="2" t="s">
        <v>5169</v>
      </c>
      <c r="K335" s="6" t="s">
        <v>4763</v>
      </c>
      <c r="L335" s="14">
        <v>46340</v>
      </c>
      <c r="M335" s="15">
        <v>140</v>
      </c>
      <c r="N335" t="str">
        <f t="shared" si="36"/>
        <v>10063102_2910</v>
      </c>
      <c r="O335" s="6">
        <f>_xlfn.XLOOKUP(N335,Allocation!H:H,Allocation!E:E,0)</f>
        <v>0</v>
      </c>
      <c r="P335" s="38">
        <f t="shared" si="38"/>
        <v>140</v>
      </c>
    </row>
    <row r="336" spans="1:16">
      <c r="A336" t="str">
        <f>_xlfn.XLOOKUP(C:C,'Price List'!C:C,'Price List'!A:A)</f>
        <v>NANCY QUISPE PT</v>
      </c>
      <c r="B336" s="2" t="s">
        <v>1048</v>
      </c>
      <c r="C336" s="9">
        <v>10013784</v>
      </c>
      <c r="D336" s="2" t="s">
        <v>5170</v>
      </c>
      <c r="E336" s="9">
        <f>_xlfn.XLOOKUP(C:C,'Price List'!C:C,'Price List'!K:K)</f>
        <v>0</v>
      </c>
      <c r="F336" s="9">
        <f>_xlfn.XLOOKUP(C:C,'Price List'!C:C,'Price List'!E:E)</f>
        <v>12</v>
      </c>
      <c r="G336" s="9" t="str">
        <f>_xlfn.XLOOKUP(C:C,'Price List'!C:C,'Price List'!F:F)</f>
        <v>520 ML</v>
      </c>
      <c r="H336" s="6" t="s">
        <v>6</v>
      </c>
      <c r="I336" s="2" t="s">
        <v>4877</v>
      </c>
      <c r="J336" s="2" t="s">
        <v>5171</v>
      </c>
      <c r="K336" s="6" t="s">
        <v>4763</v>
      </c>
      <c r="L336" s="14">
        <v>46345</v>
      </c>
      <c r="M336" s="15">
        <v>114</v>
      </c>
      <c r="N336" t="str">
        <f t="shared" si="36"/>
        <v>10013784_2910</v>
      </c>
      <c r="O336" s="6">
        <f>_xlfn.XLOOKUP(N336,Allocation!H:H,Allocation!E:E,0)</f>
        <v>0</v>
      </c>
      <c r="P336" s="38">
        <f t="shared" si="38"/>
        <v>114</v>
      </c>
    </row>
    <row r="337" spans="1:16">
      <c r="A337" t="str">
        <f>_xlfn.XLOOKUP(C:C,'Price List'!C:C,'Price List'!A:A)</f>
        <v>ASIF AHMAD GB</v>
      </c>
      <c r="B337" s="2" t="s">
        <v>1947</v>
      </c>
      <c r="C337" s="9">
        <v>10039434</v>
      </c>
      <c r="D337" s="2" t="s">
        <v>5172</v>
      </c>
      <c r="E337" s="9">
        <f>_xlfn.XLOOKUP(C:C,'Price List'!C:C,'Price List'!K:K)</f>
        <v>0</v>
      </c>
      <c r="F337" s="9">
        <f>_xlfn.XLOOKUP(C:C,'Price List'!C:C,'Price List'!E:E)</f>
        <v>6</v>
      </c>
      <c r="G337" s="9" t="str">
        <f>_xlfn.XLOOKUP(C:C,'Price List'!C:C,'Price List'!F:F)</f>
        <v>400 GR</v>
      </c>
      <c r="H337" s="6" t="s">
        <v>6</v>
      </c>
      <c r="I337" s="2" t="s">
        <v>4877</v>
      </c>
      <c r="J337" s="2" t="s">
        <v>5143</v>
      </c>
      <c r="K337" s="6" t="s">
        <v>4763</v>
      </c>
      <c r="L337" s="14">
        <v>46374</v>
      </c>
      <c r="M337" s="15">
        <v>8</v>
      </c>
      <c r="N337" t="str">
        <f t="shared" si="36"/>
        <v>10039434_2910</v>
      </c>
      <c r="O337" s="6">
        <f>_xlfn.XLOOKUP(N337,Allocation!H:H,Allocation!E:E,0)</f>
        <v>0</v>
      </c>
      <c r="P337" s="38">
        <f t="shared" si="38"/>
        <v>8</v>
      </c>
    </row>
    <row r="338" spans="1:16">
      <c r="A338" t="str">
        <f>_xlfn.XLOOKUP(C:C,'Price List'!C:C,'Price List'!A:A)</f>
        <v>SERENA LEE PR</v>
      </c>
      <c r="B338" s="2" t="s">
        <v>1320</v>
      </c>
      <c r="C338" s="9">
        <v>10019778</v>
      </c>
      <c r="D338" s="2" t="s">
        <v>164</v>
      </c>
      <c r="E338" s="9">
        <f>_xlfn.XLOOKUP(C:C,'Price List'!C:C,'Price List'!K:K)</f>
        <v>0</v>
      </c>
      <c r="F338" s="9">
        <f>_xlfn.XLOOKUP(C:C,'Price List'!C:C,'Price List'!E:E)</f>
        <v>6</v>
      </c>
      <c r="G338" s="9" t="str">
        <f>_xlfn.XLOOKUP(C:C,'Price List'!C:C,'Price List'!F:F)</f>
        <v>200 GR</v>
      </c>
      <c r="H338" s="6" t="s">
        <v>3</v>
      </c>
      <c r="I338" s="2" t="s">
        <v>4864</v>
      </c>
      <c r="J338" s="2" t="s">
        <v>5173</v>
      </c>
      <c r="K338" s="6" t="s">
        <v>4763</v>
      </c>
      <c r="L338" s="14">
        <v>46405</v>
      </c>
      <c r="M338" s="15">
        <v>7</v>
      </c>
      <c r="N338" t="str">
        <f t="shared" si="36"/>
        <v>10019778_2910</v>
      </c>
      <c r="O338" s="6">
        <f>_xlfn.XLOOKUP(N338,Allocation!H:H,Allocation!B:B,0)</f>
        <v>0</v>
      </c>
    </row>
    <row r="339" spans="1:16">
      <c r="A339" t="str">
        <f>_xlfn.XLOOKUP(C:C,'Price List'!C:C,'Price List'!A:A)</f>
        <v>JEREMY MAINGOT PR</v>
      </c>
      <c r="B339" s="2" t="s">
        <v>3584</v>
      </c>
      <c r="C339" s="9">
        <v>10081347</v>
      </c>
      <c r="D339" s="2" t="s">
        <v>5174</v>
      </c>
      <c r="E339" s="9">
        <f>_xlfn.XLOOKUP(C:C,'Price List'!C:C,'Price List'!K:K)</f>
        <v>0</v>
      </c>
      <c r="F339" s="9">
        <f>_xlfn.XLOOKUP(C:C,'Price List'!C:C,'Price List'!E:E)</f>
        <v>4</v>
      </c>
      <c r="G339" s="9" t="str">
        <f>_xlfn.XLOOKUP(C:C,'Price List'!C:C,'Price List'!F:F)</f>
        <v>30 CT PODS</v>
      </c>
      <c r="H339" s="6" t="s">
        <v>6</v>
      </c>
      <c r="I339" s="2" t="s">
        <v>4877</v>
      </c>
      <c r="J339" s="2" t="s">
        <v>5175</v>
      </c>
      <c r="K339" s="6" t="s">
        <v>4763</v>
      </c>
      <c r="L339" s="14">
        <v>46430</v>
      </c>
      <c r="M339" s="15">
        <v>80</v>
      </c>
      <c r="N339" t="str">
        <f t="shared" si="36"/>
        <v>10081347_2910</v>
      </c>
      <c r="O339" s="6">
        <f>_xlfn.XLOOKUP(N339,Allocation!H:H,Allocation!E:E,0)</f>
        <v>0</v>
      </c>
      <c r="P339" s="38">
        <f>M339-O339</f>
        <v>80</v>
      </c>
    </row>
    <row r="340" spans="1:16">
      <c r="A340" t="str">
        <f>_xlfn.XLOOKUP(C:C,'Price List'!C:C,'Price List'!A:A)</f>
        <v>ASIF AHMAD GB</v>
      </c>
      <c r="B340" s="2" t="s">
        <v>1947</v>
      </c>
      <c r="C340" s="9">
        <v>10039435</v>
      </c>
      <c r="D340" s="2" t="s">
        <v>5157</v>
      </c>
      <c r="E340" s="9">
        <f>_xlfn.XLOOKUP(C:C,'Price List'!C:C,'Price List'!K:K)</f>
        <v>0</v>
      </c>
      <c r="F340" s="9">
        <f>_xlfn.XLOOKUP(C:C,'Price List'!C:C,'Price List'!E:E)</f>
        <v>6</v>
      </c>
      <c r="G340" s="9" t="str">
        <f>_xlfn.XLOOKUP(C:C,'Price List'!C:C,'Price List'!F:F)</f>
        <v>400 GR</v>
      </c>
      <c r="H340" s="6" t="s">
        <v>3</v>
      </c>
      <c r="I340" s="2" t="s">
        <v>4864</v>
      </c>
      <c r="J340" s="2" t="s">
        <v>5176</v>
      </c>
      <c r="K340" s="6" t="s">
        <v>4763</v>
      </c>
      <c r="L340" s="14">
        <v>46463</v>
      </c>
      <c r="M340" s="15">
        <v>1</v>
      </c>
      <c r="N340" t="str">
        <f t="shared" si="36"/>
        <v>10039435_2910</v>
      </c>
      <c r="O340" s="6">
        <f>_xlfn.XLOOKUP(N340,Allocation!H:H,Allocation!B:B,0)</f>
        <v>0</v>
      </c>
    </row>
    <row r="341" spans="1:16">
      <c r="A341" t="str">
        <f>_xlfn.XLOOKUP(C:C,'Price List'!C:C,'Price List'!A:A)</f>
        <v>AMOL PRAKASH</v>
      </c>
      <c r="B341" s="2" t="s">
        <v>664</v>
      </c>
      <c r="C341" s="9">
        <v>10003035</v>
      </c>
      <c r="D341" s="2" t="s">
        <v>5177</v>
      </c>
      <c r="E341" s="9">
        <f>_xlfn.XLOOKUP(C:C,'Price List'!C:C,'Price List'!K:K)</f>
        <v>0</v>
      </c>
      <c r="F341" s="9">
        <f>_xlfn.XLOOKUP(C:C,'Price List'!C:C,'Price List'!E:E)</f>
        <v>12</v>
      </c>
      <c r="G341" s="9" t="str">
        <f>_xlfn.XLOOKUP(C:C,'Price List'!C:C,'Price List'!F:F)</f>
        <v>946 ML</v>
      </c>
      <c r="H341" s="6" t="s">
        <v>6</v>
      </c>
      <c r="I341" s="2" t="s">
        <v>4877</v>
      </c>
      <c r="J341" s="2" t="s">
        <v>5178</v>
      </c>
      <c r="K341" s="6" t="s">
        <v>4763</v>
      </c>
      <c r="L341" s="14">
        <v>46466</v>
      </c>
      <c r="M341" s="15">
        <v>22</v>
      </c>
      <c r="N341" t="str">
        <f t="shared" si="36"/>
        <v>10003035_2910</v>
      </c>
      <c r="O341" s="6">
        <f>_xlfn.XLOOKUP(N341,Allocation!H:H,Allocation!E:E,0)</f>
        <v>0</v>
      </c>
      <c r="P341" s="38">
        <f t="shared" ref="P341:P344" si="39">M341-O341</f>
        <v>22</v>
      </c>
    </row>
    <row r="342" spans="1:16">
      <c r="A342" t="str">
        <f>_xlfn.XLOOKUP(C:C,'Price List'!C:C,'Price List'!A:A)</f>
        <v>ANABELA NEVES PR</v>
      </c>
      <c r="B342" s="2" t="s">
        <v>1810</v>
      </c>
      <c r="C342" s="9">
        <v>10033060</v>
      </c>
      <c r="D342" s="2" t="s">
        <v>5179</v>
      </c>
      <c r="E342" s="9">
        <f>_xlfn.XLOOKUP(C:C,'Price List'!C:C,'Price List'!K:K)</f>
        <v>0</v>
      </c>
      <c r="F342" s="9">
        <f>_xlfn.XLOOKUP(C:C,'Price List'!C:C,'Price List'!E:E)</f>
        <v>20</v>
      </c>
      <c r="G342" s="9" t="str">
        <f>_xlfn.XLOOKUP(C:C,'Price List'!C:C,'Price List'!F:F)</f>
        <v>250 GR</v>
      </c>
      <c r="H342" s="6" t="s">
        <v>6</v>
      </c>
      <c r="I342" s="2" t="s">
        <v>4877</v>
      </c>
      <c r="J342" s="2" t="s">
        <v>5180</v>
      </c>
      <c r="K342" s="6" t="s">
        <v>4763</v>
      </c>
      <c r="L342" s="14">
        <v>46473</v>
      </c>
      <c r="M342" s="15">
        <v>1</v>
      </c>
      <c r="N342" t="str">
        <f t="shared" si="36"/>
        <v>10033060_2910</v>
      </c>
      <c r="O342" s="6">
        <f>_xlfn.XLOOKUP(N342,Allocation!H:H,Allocation!E:E,0)</f>
        <v>0</v>
      </c>
      <c r="P342" s="38">
        <f t="shared" si="39"/>
        <v>1</v>
      </c>
    </row>
    <row r="343" spans="1:16">
      <c r="A343" t="str">
        <f>_xlfn.XLOOKUP(C:C,'Price List'!C:C,'Price List'!A:A)</f>
        <v>ASIF AHMAD GB</v>
      </c>
      <c r="B343" s="2" t="s">
        <v>1947</v>
      </c>
      <c r="C343" s="9">
        <v>10039439</v>
      </c>
      <c r="D343" s="2" t="s">
        <v>5181</v>
      </c>
      <c r="E343" s="9">
        <f>_xlfn.XLOOKUP(C:C,'Price List'!C:C,'Price List'!K:K)</f>
        <v>0</v>
      </c>
      <c r="F343" s="9">
        <f>_xlfn.XLOOKUP(C:C,'Price List'!C:C,'Price List'!E:E)</f>
        <v>6</v>
      </c>
      <c r="G343" s="9" t="str">
        <f>_xlfn.XLOOKUP(C:C,'Price List'!C:C,'Price List'!F:F)</f>
        <v>400 GR</v>
      </c>
      <c r="H343" s="6" t="s">
        <v>6</v>
      </c>
      <c r="I343" s="2" t="s">
        <v>4877</v>
      </c>
      <c r="J343" s="2" t="s">
        <v>5182</v>
      </c>
      <c r="K343" s="6" t="s">
        <v>4763</v>
      </c>
      <c r="L343" s="14">
        <v>46535</v>
      </c>
      <c r="M343" s="15">
        <v>367</v>
      </c>
      <c r="N343" t="str">
        <f t="shared" si="36"/>
        <v>10039439_2910</v>
      </c>
      <c r="O343" s="6">
        <f>_xlfn.XLOOKUP(N343,Allocation!H:H,Allocation!E:E,0)</f>
        <v>0</v>
      </c>
      <c r="P343" s="38">
        <f t="shared" si="39"/>
        <v>367</v>
      </c>
    </row>
    <row r="344" spans="1:16">
      <c r="A344" t="str">
        <f>_xlfn.XLOOKUP(C:C,'Price List'!C:C,'Price List'!A:A)</f>
        <v>ASIF AHMAD GB</v>
      </c>
      <c r="B344" s="2" t="s">
        <v>1947</v>
      </c>
      <c r="C344" s="9">
        <v>10039450</v>
      </c>
      <c r="D344" s="2" t="s">
        <v>5183</v>
      </c>
      <c r="E344" s="9">
        <f>_xlfn.XLOOKUP(C:C,'Price List'!C:C,'Price List'!K:K)</f>
        <v>0</v>
      </c>
      <c r="F344" s="9">
        <f>_xlfn.XLOOKUP(C:C,'Price List'!C:C,'Price List'!E:E)</f>
        <v>6</v>
      </c>
      <c r="G344" s="9" t="str">
        <f>_xlfn.XLOOKUP(C:C,'Price List'!C:C,'Price List'!F:F)</f>
        <v>120 GR</v>
      </c>
      <c r="H344" s="6" t="s">
        <v>6</v>
      </c>
      <c r="I344" s="2" t="s">
        <v>4877</v>
      </c>
      <c r="J344" s="2" t="s">
        <v>5184</v>
      </c>
      <c r="K344" s="6" t="s">
        <v>4763</v>
      </c>
      <c r="L344" s="14">
        <v>46572</v>
      </c>
      <c r="M344" s="15">
        <v>4</v>
      </c>
      <c r="N344" t="str">
        <f t="shared" si="36"/>
        <v>10039450_2910</v>
      </c>
      <c r="O344" s="6">
        <f>_xlfn.XLOOKUP(N344,Allocation!H:H,Allocation!E:E,0)</f>
        <v>0</v>
      </c>
      <c r="P344" s="38">
        <f t="shared" si="39"/>
        <v>4</v>
      </c>
    </row>
    <row r="345" spans="1:16">
      <c r="A345" t="str">
        <f>_xlfn.XLOOKUP(C:C,'Price List'!C:C,'Price List'!A:A)</f>
        <v>ASIF AHMAD GB</v>
      </c>
      <c r="B345" s="2" t="s">
        <v>1947</v>
      </c>
      <c r="C345" s="9">
        <v>10039446</v>
      </c>
      <c r="D345" s="2" t="s">
        <v>5185</v>
      </c>
      <c r="E345" s="9">
        <f>_xlfn.XLOOKUP(C:C,'Price List'!C:C,'Price List'!K:K)</f>
        <v>0</v>
      </c>
      <c r="F345" s="9">
        <f>_xlfn.XLOOKUP(C:C,'Price List'!C:C,'Price List'!E:E)</f>
        <v>6</v>
      </c>
      <c r="G345" s="9" t="str">
        <f>_xlfn.XLOOKUP(C:C,'Price List'!C:C,'Price List'!F:F)</f>
        <v>255 GR</v>
      </c>
      <c r="H345" s="6" t="s">
        <v>4</v>
      </c>
      <c r="I345" s="2" t="s">
        <v>4764</v>
      </c>
      <c r="J345" s="2" t="s">
        <v>5186</v>
      </c>
      <c r="K345" s="6" t="s">
        <v>4763</v>
      </c>
      <c r="L345" s="14">
        <v>46610</v>
      </c>
      <c r="M345" s="15">
        <v>7</v>
      </c>
      <c r="N345" t="str">
        <f t="shared" si="36"/>
        <v>10039446_2910</v>
      </c>
      <c r="O345" s="6">
        <f>_xlfn.XLOOKUP(N345,Allocation!H:H,Allocation!C:C,0)</f>
        <v>0</v>
      </c>
      <c r="P345" s="38">
        <f t="shared" ref="P345:P346" si="40">M345-O345</f>
        <v>7</v>
      </c>
    </row>
    <row r="346" spans="1:16">
      <c r="A346" t="str">
        <f>_xlfn.XLOOKUP(C:C,'Price List'!C:C,'Price List'!A:A)</f>
        <v>ASIF AHMAD GB</v>
      </c>
      <c r="B346" s="2" t="s">
        <v>1947</v>
      </c>
      <c r="C346" s="9">
        <v>10039446</v>
      </c>
      <c r="D346" s="2" t="s">
        <v>5185</v>
      </c>
      <c r="E346" s="9">
        <f>_xlfn.XLOOKUP(C:C,'Price List'!C:C,'Price List'!K:K)</f>
        <v>0</v>
      </c>
      <c r="F346" s="9">
        <f>_xlfn.XLOOKUP(C:C,'Price List'!C:C,'Price List'!E:E)</f>
        <v>6</v>
      </c>
      <c r="G346" s="9" t="str">
        <f>_xlfn.XLOOKUP(C:C,'Price List'!C:C,'Price List'!F:F)</f>
        <v>255 GR</v>
      </c>
      <c r="H346" s="6" t="s">
        <v>4</v>
      </c>
      <c r="I346" s="2" t="s">
        <v>4764</v>
      </c>
      <c r="J346" s="2" t="s">
        <v>5187</v>
      </c>
      <c r="K346" s="6" t="s">
        <v>4763</v>
      </c>
      <c r="L346" s="14">
        <v>46612</v>
      </c>
      <c r="M346" s="15">
        <v>38</v>
      </c>
      <c r="N346" t="str">
        <f t="shared" si="36"/>
        <v>10039446_2910</v>
      </c>
      <c r="O346" s="6">
        <f>_xlfn.XLOOKUP(N346,Allocation!H:H,Allocation!C:C,0)</f>
        <v>0</v>
      </c>
      <c r="P346" s="38">
        <f t="shared" si="40"/>
        <v>38</v>
      </c>
    </row>
    <row r="347" spans="1:16">
      <c r="A347" t="str">
        <f>_xlfn.XLOOKUP(C:C,'Price List'!C:C,'Price List'!A:A)</f>
        <v>ASIF AHMAD GB</v>
      </c>
      <c r="B347" s="2" t="s">
        <v>1300</v>
      </c>
      <c r="C347" s="9">
        <v>10019134</v>
      </c>
      <c r="D347" s="2" t="s">
        <v>5188</v>
      </c>
      <c r="E347" s="9">
        <f>_xlfn.XLOOKUP(C:C,'Price List'!C:C,'Price List'!K:K)</f>
        <v>0</v>
      </c>
      <c r="F347" s="9">
        <f>_xlfn.XLOOKUP(C:C,'Price List'!C:C,'Price List'!E:E)</f>
        <v>12</v>
      </c>
      <c r="G347" s="9" t="str">
        <f>_xlfn.XLOOKUP(C:C,'Price List'!C:C,'Price List'!F:F)</f>
        <v>750 ML</v>
      </c>
      <c r="H347" s="6" t="s">
        <v>6</v>
      </c>
      <c r="I347" s="2" t="s">
        <v>4877</v>
      </c>
      <c r="J347" s="2" t="s">
        <v>5189</v>
      </c>
      <c r="K347" s="6" t="s">
        <v>4763</v>
      </c>
      <c r="L347" s="14">
        <v>46612</v>
      </c>
      <c r="M347" s="15">
        <v>12</v>
      </c>
      <c r="N347" t="str">
        <f t="shared" si="36"/>
        <v>10019134_2910</v>
      </c>
      <c r="O347" s="6">
        <f>_xlfn.XLOOKUP(N347,Allocation!H:H,Allocation!E:E,0)</f>
        <v>0</v>
      </c>
      <c r="P347" s="38">
        <f>M347-O347</f>
        <v>12</v>
      </c>
    </row>
    <row r="348" spans="1:16">
      <c r="A348" t="str">
        <f>_xlfn.XLOOKUP(C:C,'Price List'!C:C,'Price List'!A:A)</f>
        <v>ASIF AHMAD GB</v>
      </c>
      <c r="B348" s="2" t="s">
        <v>1947</v>
      </c>
      <c r="C348" s="9">
        <v>10039446</v>
      </c>
      <c r="D348" s="2" t="s">
        <v>5185</v>
      </c>
      <c r="E348" s="9">
        <f>_xlfn.XLOOKUP(C:C,'Price List'!C:C,'Price List'!K:K)</f>
        <v>0</v>
      </c>
      <c r="F348" s="9">
        <f>_xlfn.XLOOKUP(C:C,'Price List'!C:C,'Price List'!E:E)</f>
        <v>6</v>
      </c>
      <c r="G348" s="9" t="str">
        <f>_xlfn.XLOOKUP(C:C,'Price List'!C:C,'Price List'!F:F)</f>
        <v>255 GR</v>
      </c>
      <c r="H348" s="6" t="s">
        <v>3</v>
      </c>
      <c r="I348" s="2" t="s">
        <v>4864</v>
      </c>
      <c r="J348" s="2" t="s">
        <v>5190</v>
      </c>
      <c r="K348" s="6" t="s">
        <v>4763</v>
      </c>
      <c r="L348" s="14">
        <v>46613</v>
      </c>
      <c r="M348" s="15">
        <v>44</v>
      </c>
      <c r="N348" t="str">
        <f t="shared" si="36"/>
        <v>10039446_2910</v>
      </c>
      <c r="O348" s="6">
        <f>_xlfn.XLOOKUP(N348,Allocation!H:H,Allocation!B:B,0)</f>
        <v>0</v>
      </c>
    </row>
    <row r="349" spans="1:16">
      <c r="A349" t="str">
        <f>_xlfn.XLOOKUP(C:C,'Price List'!C:C,'Price List'!A:A)</f>
        <v>ANNA MARIA D'ANGELA</v>
      </c>
      <c r="B349" s="2" t="s">
        <v>2026</v>
      </c>
      <c r="C349" s="9">
        <v>10040699</v>
      </c>
      <c r="D349" s="2" t="s">
        <v>589</v>
      </c>
      <c r="E349" s="9">
        <f>_xlfn.XLOOKUP(C:C,'Price List'!C:C,'Price List'!K:K)</f>
        <v>0</v>
      </c>
      <c r="F349" s="9">
        <f>_xlfn.XLOOKUP(C:C,'Price List'!C:C,'Price List'!E:E)</f>
        <v>12</v>
      </c>
      <c r="G349" s="9" t="str">
        <f>_xlfn.XLOOKUP(C:C,'Price List'!C:C,'Price List'!F:F)</f>
        <v>750 ML</v>
      </c>
      <c r="H349" s="6" t="s">
        <v>4</v>
      </c>
      <c r="I349" s="2" t="s">
        <v>4764</v>
      </c>
      <c r="J349" s="2" t="s">
        <v>5191</v>
      </c>
      <c r="K349" s="6" t="s">
        <v>4763</v>
      </c>
      <c r="L349" s="14">
        <v>46613</v>
      </c>
      <c r="M349" s="15">
        <v>24</v>
      </c>
      <c r="N349" t="str">
        <f t="shared" si="36"/>
        <v>10040699_2910</v>
      </c>
      <c r="O349" s="6">
        <f>_xlfn.XLOOKUP(N349,Allocation!H:H,Allocation!C:C,0)</f>
        <v>23</v>
      </c>
      <c r="P349" s="38">
        <f t="shared" ref="P349:P351" si="41">M349-O349</f>
        <v>1</v>
      </c>
    </row>
    <row r="350" spans="1:16">
      <c r="A350" t="str">
        <f>_xlfn.XLOOKUP(C:C,'Price List'!C:C,'Price List'!A:A)</f>
        <v>ASIF AHMAD GB</v>
      </c>
      <c r="B350" s="2" t="s">
        <v>1947</v>
      </c>
      <c r="C350" s="9">
        <v>10039447</v>
      </c>
      <c r="D350" s="2" t="s">
        <v>5192</v>
      </c>
      <c r="E350" s="9">
        <f>_xlfn.XLOOKUP(C:C,'Price List'!C:C,'Price List'!K:K)</f>
        <v>0</v>
      </c>
      <c r="F350" s="9">
        <f>_xlfn.XLOOKUP(C:C,'Price List'!C:C,'Price List'!E:E)</f>
        <v>6</v>
      </c>
      <c r="G350" s="9" t="str">
        <f>_xlfn.XLOOKUP(C:C,'Price List'!C:C,'Price List'!F:F)</f>
        <v>255 GR</v>
      </c>
      <c r="H350" s="6" t="s">
        <v>4</v>
      </c>
      <c r="I350" s="2" t="s">
        <v>4764</v>
      </c>
      <c r="J350" s="2" t="s">
        <v>5193</v>
      </c>
      <c r="K350" s="6" t="s">
        <v>4763</v>
      </c>
      <c r="L350" s="14">
        <v>46615</v>
      </c>
      <c r="M350" s="15">
        <v>59</v>
      </c>
      <c r="N350" t="str">
        <f t="shared" si="36"/>
        <v>10039447_2910</v>
      </c>
      <c r="O350" s="6">
        <f>_xlfn.XLOOKUP(N350,Allocation!H:H,Allocation!C:C,0)</f>
        <v>0</v>
      </c>
      <c r="P350" s="38">
        <f t="shared" si="41"/>
        <v>59</v>
      </c>
    </row>
    <row r="351" spans="1:16">
      <c r="A351" t="str">
        <f>_xlfn.XLOOKUP(C:C,'Price List'!C:C,'Price List'!A:A)</f>
        <v>ASIF AHMAD GB</v>
      </c>
      <c r="B351" s="2" t="s">
        <v>1947</v>
      </c>
      <c r="C351" s="9">
        <v>10039447</v>
      </c>
      <c r="D351" s="2" t="s">
        <v>5192</v>
      </c>
      <c r="E351" s="9">
        <f>_xlfn.XLOOKUP(C:C,'Price List'!C:C,'Price List'!K:K)</f>
        <v>0</v>
      </c>
      <c r="F351" s="9">
        <f>_xlfn.XLOOKUP(C:C,'Price List'!C:C,'Price List'!E:E)</f>
        <v>6</v>
      </c>
      <c r="G351" s="9" t="str">
        <f>_xlfn.XLOOKUP(C:C,'Price List'!C:C,'Price List'!F:F)</f>
        <v>255 GR</v>
      </c>
      <c r="H351" s="6" t="s">
        <v>4</v>
      </c>
      <c r="I351" s="2" t="s">
        <v>4764</v>
      </c>
      <c r="J351" s="2" t="s">
        <v>5194</v>
      </c>
      <c r="K351" s="6" t="s">
        <v>4763</v>
      </c>
      <c r="L351" s="14">
        <v>46616</v>
      </c>
      <c r="M351" s="15">
        <v>12</v>
      </c>
      <c r="N351" t="str">
        <f t="shared" si="36"/>
        <v>10039447_2910</v>
      </c>
      <c r="O351" s="6">
        <f>_xlfn.XLOOKUP(N351,Allocation!H:H,Allocation!C:C,0)</f>
        <v>0</v>
      </c>
      <c r="P351" s="38">
        <f t="shared" si="41"/>
        <v>12</v>
      </c>
    </row>
    <row r="352" spans="1:16">
      <c r="A352" t="str">
        <f>_xlfn.XLOOKUP(C:C,'Price List'!C:C,'Price List'!A:A)</f>
        <v>ASIF AHMAD GB</v>
      </c>
      <c r="B352" s="2" t="s">
        <v>1947</v>
      </c>
      <c r="C352" s="9">
        <v>10039447</v>
      </c>
      <c r="D352" s="2" t="s">
        <v>5192</v>
      </c>
      <c r="E352" s="9">
        <f>_xlfn.XLOOKUP(C:C,'Price List'!C:C,'Price List'!K:K)</f>
        <v>0</v>
      </c>
      <c r="F352" s="9">
        <f>_xlfn.XLOOKUP(C:C,'Price List'!C:C,'Price List'!E:E)</f>
        <v>6</v>
      </c>
      <c r="G352" s="9" t="str">
        <f>_xlfn.XLOOKUP(C:C,'Price List'!C:C,'Price List'!F:F)</f>
        <v>255 GR</v>
      </c>
      <c r="H352" s="6" t="s">
        <v>3</v>
      </c>
      <c r="I352" s="2" t="s">
        <v>4864</v>
      </c>
      <c r="J352" s="2" t="s">
        <v>5195</v>
      </c>
      <c r="K352" s="6" t="s">
        <v>4763</v>
      </c>
      <c r="L352" s="14">
        <v>46617</v>
      </c>
      <c r="M352" s="15">
        <v>29</v>
      </c>
      <c r="N352" t="str">
        <f t="shared" si="36"/>
        <v>10039447_2910</v>
      </c>
      <c r="O352" s="6">
        <f>_xlfn.XLOOKUP(N352,Allocation!H:H,Allocation!B:B,0)</f>
        <v>0</v>
      </c>
    </row>
    <row r="353" spans="1:16">
      <c r="A353" t="str">
        <f>_xlfn.XLOOKUP(C:C,'Price List'!C:C,'Price List'!A:A)</f>
        <v>JAMES TYSON</v>
      </c>
      <c r="B353" s="2" t="s">
        <v>739</v>
      </c>
      <c r="C353" s="9">
        <v>10012720</v>
      </c>
      <c r="D353" s="2" t="s">
        <v>5196</v>
      </c>
      <c r="E353" s="9">
        <f>_xlfn.XLOOKUP(C:C,'Price List'!C:C,'Price List'!K:K)</f>
        <v>0</v>
      </c>
      <c r="F353" s="9">
        <f>_xlfn.XLOOKUP(C:C,'Price List'!C:C,'Price List'!E:E)</f>
        <v>6</v>
      </c>
      <c r="G353" s="9" t="str">
        <f>_xlfn.XLOOKUP(C:C,'Price List'!C:C,'Price List'!F:F)</f>
        <v>454 GR</v>
      </c>
      <c r="H353" s="6" t="s">
        <v>3</v>
      </c>
      <c r="I353" s="2" t="s">
        <v>4864</v>
      </c>
      <c r="J353" s="2" t="s">
        <v>5197</v>
      </c>
      <c r="K353" s="6" t="s">
        <v>4763</v>
      </c>
      <c r="L353" s="14">
        <v>46658</v>
      </c>
      <c r="M353" s="15">
        <v>9</v>
      </c>
      <c r="N353" t="str">
        <f t="shared" si="36"/>
        <v>10012720_2910</v>
      </c>
      <c r="O353" s="6">
        <f>_xlfn.XLOOKUP(N353,Allocation!H:H,Allocation!B:B,0)</f>
        <v>0</v>
      </c>
    </row>
    <row r="354" spans="1:16">
      <c r="A354" t="str">
        <f>_xlfn.XLOOKUP(C:C,'Price List'!C:C,'Price List'!A:A)</f>
        <v>ASIF AHMAD GB</v>
      </c>
      <c r="B354" s="2" t="s">
        <v>1947</v>
      </c>
      <c r="C354" s="9">
        <v>10039449</v>
      </c>
      <c r="D354" s="2" t="s">
        <v>5198</v>
      </c>
      <c r="E354" s="9">
        <f>_xlfn.XLOOKUP(C:C,'Price List'!C:C,'Price List'!K:K)</f>
        <v>0</v>
      </c>
      <c r="F354" s="9">
        <f>_xlfn.XLOOKUP(C:C,'Price List'!C:C,'Price List'!E:E)</f>
        <v>6</v>
      </c>
      <c r="G354" s="9" t="str">
        <f>_xlfn.XLOOKUP(C:C,'Price List'!C:C,'Price List'!F:F)</f>
        <v>120 GR</v>
      </c>
      <c r="H354" s="6" t="s">
        <v>6</v>
      </c>
      <c r="I354" s="2" t="s">
        <v>4877</v>
      </c>
      <c r="J354" s="2" t="s">
        <v>5199</v>
      </c>
      <c r="K354" s="6" t="s">
        <v>4763</v>
      </c>
      <c r="L354" s="14">
        <v>46669</v>
      </c>
      <c r="M354" s="15">
        <v>5</v>
      </c>
      <c r="N354" t="str">
        <f t="shared" si="36"/>
        <v>10039449_2910</v>
      </c>
      <c r="O354" s="6">
        <f>_xlfn.XLOOKUP(N354,Allocation!H:H,Allocation!E:E,0)</f>
        <v>0</v>
      </c>
      <c r="P354" s="38">
        <f>M354-O354</f>
        <v>5</v>
      </c>
    </row>
    <row r="355" spans="1:16">
      <c r="A355" t="str">
        <f>_xlfn.XLOOKUP(C:C,'Price List'!C:C,'Price List'!A:A)</f>
        <v>ASIF AHMAD GB</v>
      </c>
      <c r="B355" s="2" t="s">
        <v>1947</v>
      </c>
      <c r="C355" s="9">
        <v>10040092</v>
      </c>
      <c r="D355" s="2" t="s">
        <v>5200</v>
      </c>
      <c r="E355" s="9">
        <f>_xlfn.XLOOKUP(C:C,'Price List'!C:C,'Price List'!K:K)</f>
        <v>0</v>
      </c>
      <c r="F355" s="9">
        <f>_xlfn.XLOOKUP(C:C,'Price List'!C:C,'Price List'!E:E)</f>
        <v>6</v>
      </c>
      <c r="G355" s="9" t="str">
        <f>_xlfn.XLOOKUP(C:C,'Price List'!C:C,'Price List'!F:F)</f>
        <v>200 GR</v>
      </c>
      <c r="H355" s="6" t="s">
        <v>3</v>
      </c>
      <c r="I355" s="2" t="s">
        <v>4864</v>
      </c>
      <c r="J355" s="2" t="s">
        <v>5201</v>
      </c>
      <c r="K355" s="6" t="s">
        <v>4763</v>
      </c>
      <c r="L355" s="14">
        <v>46675</v>
      </c>
      <c r="M355" s="15">
        <v>51</v>
      </c>
      <c r="N355" t="str">
        <f t="shared" si="36"/>
        <v>10040092_2910</v>
      </c>
      <c r="O355" s="6">
        <f>_xlfn.XLOOKUP(N355,Allocation!H:H,Allocation!B:B,0)</f>
        <v>0</v>
      </c>
    </row>
    <row r="356" spans="1:16">
      <c r="A356" t="str">
        <f>_xlfn.XLOOKUP(C:C,'Price List'!C:C,'Price List'!A:A)</f>
        <v>ASIF AHMAD GB</v>
      </c>
      <c r="B356" s="2" t="s">
        <v>1947</v>
      </c>
      <c r="C356" s="9">
        <v>10040092</v>
      </c>
      <c r="D356" s="2" t="s">
        <v>5200</v>
      </c>
      <c r="E356" s="9">
        <f>_xlfn.XLOOKUP(C:C,'Price List'!C:C,'Price List'!K:K)</f>
        <v>0</v>
      </c>
      <c r="F356" s="9">
        <f>_xlfn.XLOOKUP(C:C,'Price List'!C:C,'Price List'!E:E)</f>
        <v>6</v>
      </c>
      <c r="G356" s="9" t="str">
        <f>_xlfn.XLOOKUP(C:C,'Price List'!C:C,'Price List'!F:F)</f>
        <v>200 GR</v>
      </c>
      <c r="H356" s="6" t="s">
        <v>4</v>
      </c>
      <c r="I356" s="2" t="s">
        <v>4764</v>
      </c>
      <c r="J356" s="2" t="s">
        <v>5201</v>
      </c>
      <c r="K356" s="6" t="s">
        <v>4763</v>
      </c>
      <c r="L356" s="14">
        <v>46675</v>
      </c>
      <c r="M356" s="15">
        <v>16</v>
      </c>
      <c r="N356" t="str">
        <f t="shared" si="36"/>
        <v>10040092_2910</v>
      </c>
      <c r="O356" s="6">
        <f>_xlfn.XLOOKUP(N356,Allocation!H:H,Allocation!C:C,0)</f>
        <v>0</v>
      </c>
      <c r="P356" s="38">
        <f t="shared" ref="P356:P359" si="42">M356-O356</f>
        <v>16</v>
      </c>
    </row>
    <row r="357" spans="1:16">
      <c r="A357" t="str">
        <f>_xlfn.XLOOKUP(C:C,'Price List'!C:C,'Price List'!A:A)</f>
        <v>ASIF AHMAD GB</v>
      </c>
      <c r="B357" s="2" t="s">
        <v>1947</v>
      </c>
      <c r="C357" s="9">
        <v>10040088</v>
      </c>
      <c r="D357" s="2" t="s">
        <v>5202</v>
      </c>
      <c r="E357" s="9">
        <f>_xlfn.XLOOKUP(C:C,'Price List'!C:C,'Price List'!K:K)</f>
        <v>0</v>
      </c>
      <c r="F357" s="9">
        <f>_xlfn.XLOOKUP(C:C,'Price List'!C:C,'Price List'!E:E)</f>
        <v>6</v>
      </c>
      <c r="G357" s="9" t="str">
        <f>_xlfn.XLOOKUP(C:C,'Price List'!C:C,'Price List'!F:F)</f>
        <v>200 GR</v>
      </c>
      <c r="H357" s="6" t="s">
        <v>4</v>
      </c>
      <c r="I357" s="2" t="s">
        <v>4764</v>
      </c>
      <c r="J357" s="2" t="s">
        <v>5203</v>
      </c>
      <c r="K357" s="6" t="s">
        <v>4763</v>
      </c>
      <c r="L357" s="14">
        <v>46676</v>
      </c>
      <c r="M357" s="15">
        <v>50</v>
      </c>
      <c r="N357" t="str">
        <f t="shared" si="36"/>
        <v>10040088_2910</v>
      </c>
      <c r="O357" s="6">
        <f>_xlfn.XLOOKUP(N357,Allocation!H:H,Allocation!C:C,0)</f>
        <v>0</v>
      </c>
      <c r="P357" s="38">
        <f t="shared" si="42"/>
        <v>50</v>
      </c>
    </row>
    <row r="358" spans="1:16">
      <c r="A358" t="str">
        <f>_xlfn.XLOOKUP(C:C,'Price List'!C:C,'Price List'!A:A)</f>
        <v>ASIF AHMAD GB</v>
      </c>
      <c r="B358" s="2" t="s">
        <v>1947</v>
      </c>
      <c r="C358" s="9">
        <v>10040088</v>
      </c>
      <c r="D358" s="2" t="s">
        <v>5202</v>
      </c>
      <c r="E358" s="9">
        <f>_xlfn.XLOOKUP(C:C,'Price List'!C:C,'Price List'!K:K)</f>
        <v>0</v>
      </c>
      <c r="F358" s="9">
        <f>_xlfn.XLOOKUP(C:C,'Price List'!C:C,'Price List'!E:E)</f>
        <v>6</v>
      </c>
      <c r="G358" s="9" t="str">
        <f>_xlfn.XLOOKUP(C:C,'Price List'!C:C,'Price List'!F:F)</f>
        <v>200 GR</v>
      </c>
      <c r="H358" s="6" t="s">
        <v>6</v>
      </c>
      <c r="I358" s="2" t="s">
        <v>4877</v>
      </c>
      <c r="J358" s="2" t="s">
        <v>5203</v>
      </c>
      <c r="K358" s="6" t="s">
        <v>4763</v>
      </c>
      <c r="L358" s="14">
        <v>46676</v>
      </c>
      <c r="M358" s="15">
        <v>25</v>
      </c>
      <c r="N358" t="str">
        <f t="shared" si="36"/>
        <v>10040088_2910</v>
      </c>
      <c r="O358" s="6">
        <f>_xlfn.XLOOKUP(N358,Allocation!H:H,Allocation!E:E,0)</f>
        <v>0</v>
      </c>
      <c r="P358" s="38">
        <f t="shared" si="42"/>
        <v>25</v>
      </c>
    </row>
    <row r="359" spans="1:16">
      <c r="A359" t="str">
        <f>_xlfn.XLOOKUP(C:C,'Price List'!C:C,'Price List'!A:A)</f>
        <v>ASIF AHMAD GB</v>
      </c>
      <c r="B359" s="2" t="s">
        <v>1947</v>
      </c>
      <c r="C359" s="9">
        <v>10040089</v>
      </c>
      <c r="D359" s="2" t="s">
        <v>5204</v>
      </c>
      <c r="E359" s="9">
        <f>_xlfn.XLOOKUP(C:C,'Price List'!C:C,'Price List'!K:K)</f>
        <v>0</v>
      </c>
      <c r="F359" s="9">
        <f>_xlfn.XLOOKUP(C:C,'Price List'!C:C,'Price List'!E:E)</f>
        <v>6</v>
      </c>
      <c r="G359" s="9" t="str">
        <f>_xlfn.XLOOKUP(C:C,'Price List'!C:C,'Price List'!F:F)</f>
        <v>200 GR</v>
      </c>
      <c r="H359" s="6" t="s">
        <v>6</v>
      </c>
      <c r="I359" s="2" t="s">
        <v>4877</v>
      </c>
      <c r="J359" s="2" t="s">
        <v>5203</v>
      </c>
      <c r="K359" s="6" t="s">
        <v>4763</v>
      </c>
      <c r="L359" s="14">
        <v>46676</v>
      </c>
      <c r="M359" s="15">
        <v>10</v>
      </c>
      <c r="N359" t="str">
        <f t="shared" si="36"/>
        <v>10040089_2910</v>
      </c>
      <c r="O359" s="6">
        <f>_xlfn.XLOOKUP(N359,Allocation!H:H,Allocation!E:E,0)</f>
        <v>0</v>
      </c>
      <c r="P359" s="38">
        <f t="shared" si="42"/>
        <v>10</v>
      </c>
    </row>
    <row r="360" spans="1:16">
      <c r="A360" t="str">
        <f>_xlfn.XLOOKUP(C:C,'Price List'!C:C,'Price List'!A:A)</f>
        <v>ASIF AHMAD GB</v>
      </c>
      <c r="B360" s="2" t="s">
        <v>1947</v>
      </c>
      <c r="C360" s="9">
        <v>10039450</v>
      </c>
      <c r="D360" s="2" t="s">
        <v>5183</v>
      </c>
      <c r="E360" s="9">
        <f>_xlfn.XLOOKUP(C:C,'Price List'!C:C,'Price List'!K:K)</f>
        <v>0</v>
      </c>
      <c r="F360" s="9">
        <f>_xlfn.XLOOKUP(C:C,'Price List'!C:C,'Price List'!E:E)</f>
        <v>6</v>
      </c>
      <c r="G360" s="9" t="str">
        <f>_xlfn.XLOOKUP(C:C,'Price List'!C:C,'Price List'!F:F)</f>
        <v>120 GR</v>
      </c>
      <c r="H360" s="6" t="s">
        <v>4</v>
      </c>
      <c r="I360" s="2" t="s">
        <v>4764</v>
      </c>
      <c r="J360" s="2" t="s">
        <v>5205</v>
      </c>
      <c r="K360" s="6" t="s">
        <v>4763</v>
      </c>
      <c r="L360" s="14">
        <v>46689</v>
      </c>
      <c r="M360" s="15">
        <v>7</v>
      </c>
      <c r="N360" t="str">
        <f t="shared" si="36"/>
        <v>10039450_2910</v>
      </c>
      <c r="O360" s="6">
        <f>_xlfn.XLOOKUP(N360,Allocation!H:H,Allocation!C:C,0)</f>
        <v>0</v>
      </c>
      <c r="P360" s="38">
        <f t="shared" ref="P360:P361" si="43">M360-O360</f>
        <v>7</v>
      </c>
    </row>
    <row r="361" spans="1:16">
      <c r="A361" t="str">
        <f>_xlfn.XLOOKUP(C:C,'Price List'!C:C,'Price List'!A:A)</f>
        <v>AMOL PRAKASH</v>
      </c>
      <c r="B361" s="2" t="s">
        <v>2362</v>
      </c>
      <c r="C361" s="9">
        <v>10049137</v>
      </c>
      <c r="D361" s="2" t="s">
        <v>5206</v>
      </c>
      <c r="E361" s="9">
        <f>_xlfn.XLOOKUP(C:C,'Price List'!C:C,'Price List'!K:K)</f>
        <v>0</v>
      </c>
      <c r="F361" s="9">
        <f>_xlfn.XLOOKUP(C:C,'Price List'!C:C,'Price List'!E:E)</f>
        <v>12</v>
      </c>
      <c r="G361" s="9" t="str">
        <f>_xlfn.XLOOKUP(C:C,'Price List'!C:C,'Price List'!F:F)</f>
        <v>20 BG</v>
      </c>
      <c r="H361" s="6" t="s">
        <v>4</v>
      </c>
      <c r="I361" s="2" t="s">
        <v>4764</v>
      </c>
      <c r="J361" s="2" t="s">
        <v>5207</v>
      </c>
      <c r="K361" s="6" t="s">
        <v>4763</v>
      </c>
      <c r="L361" s="14">
        <v>46705</v>
      </c>
      <c r="M361" s="15">
        <v>72</v>
      </c>
      <c r="N361" t="str">
        <f t="shared" si="36"/>
        <v>10049137_2910</v>
      </c>
      <c r="O361" s="6">
        <f>_xlfn.XLOOKUP(N361,Allocation!H:H,Allocation!C:C,0)</f>
        <v>0</v>
      </c>
      <c r="P361" s="38">
        <f t="shared" si="43"/>
        <v>72</v>
      </c>
    </row>
    <row r="362" spans="1:16">
      <c r="A362" t="str">
        <f>_xlfn.XLOOKUP(C:C,'Price List'!C:C,'Price List'!A:A)</f>
        <v>JAMES TYSON</v>
      </c>
      <c r="B362" s="2" t="s">
        <v>739</v>
      </c>
      <c r="C362" s="9">
        <v>10012650</v>
      </c>
      <c r="D362" s="2" t="s">
        <v>5208</v>
      </c>
      <c r="E362" s="9">
        <f>_xlfn.XLOOKUP(C:C,'Price List'!C:C,'Price List'!K:K)</f>
        <v>0</v>
      </c>
      <c r="F362" s="9">
        <f>_xlfn.XLOOKUP(C:C,'Price List'!C:C,'Price List'!E:E)</f>
        <v>6</v>
      </c>
      <c r="G362" s="9" t="str">
        <f>_xlfn.XLOOKUP(C:C,'Price List'!C:C,'Price List'!F:F)</f>
        <v>454 GR</v>
      </c>
      <c r="H362" s="6" t="s">
        <v>6</v>
      </c>
      <c r="I362" s="2" t="s">
        <v>4877</v>
      </c>
      <c r="J362" s="2" t="s">
        <v>5209</v>
      </c>
      <c r="K362" s="6" t="s">
        <v>4763</v>
      </c>
      <c r="L362" s="14">
        <v>46719</v>
      </c>
      <c r="M362" s="15">
        <v>12</v>
      </c>
      <c r="N362" t="str">
        <f t="shared" si="36"/>
        <v>10012650_2910</v>
      </c>
      <c r="O362" s="6">
        <f>_xlfn.XLOOKUP(N362,Allocation!H:H,Allocation!E:E,0)</f>
        <v>0</v>
      </c>
      <c r="P362" s="38">
        <f>M362-O362</f>
        <v>12</v>
      </c>
    </row>
    <row r="363" spans="1:16">
      <c r="A363" t="str">
        <f>_xlfn.XLOOKUP(C:C,'Price List'!C:C,'Price List'!A:A)</f>
        <v>ASIF AHMAD GB</v>
      </c>
      <c r="B363" s="2" t="s">
        <v>1947</v>
      </c>
      <c r="C363" s="9">
        <v>10040089</v>
      </c>
      <c r="D363" s="2" t="s">
        <v>5204</v>
      </c>
      <c r="E363" s="9">
        <f>_xlfn.XLOOKUP(C:C,'Price List'!C:C,'Price List'!K:K)</f>
        <v>0</v>
      </c>
      <c r="F363" s="9">
        <f>_xlfn.XLOOKUP(C:C,'Price List'!C:C,'Price List'!E:E)</f>
        <v>6</v>
      </c>
      <c r="G363" s="9" t="str">
        <f>_xlfn.XLOOKUP(C:C,'Price List'!C:C,'Price List'!F:F)</f>
        <v>200 GR</v>
      </c>
      <c r="H363" s="6" t="s">
        <v>3</v>
      </c>
      <c r="I363" s="2" t="s">
        <v>4864</v>
      </c>
      <c r="J363" s="2" t="s">
        <v>5210</v>
      </c>
      <c r="K363" s="6" t="s">
        <v>4763</v>
      </c>
      <c r="L363" s="14">
        <v>46737</v>
      </c>
      <c r="M363" s="15">
        <v>55</v>
      </c>
      <c r="N363" t="str">
        <f t="shared" si="36"/>
        <v>10040089_2910</v>
      </c>
      <c r="O363" s="6">
        <f>_xlfn.XLOOKUP(N363,Allocation!H:H,Allocation!B:B,0)</f>
        <v>0</v>
      </c>
    </row>
    <row r="364" spans="1:16">
      <c r="A364" t="str">
        <f>_xlfn.XLOOKUP(C:C,'Price List'!C:C,'Price List'!A:A)</f>
        <v>ASIF AHMAD GB</v>
      </c>
      <c r="B364" s="2" t="s">
        <v>1947</v>
      </c>
      <c r="C364" s="9">
        <v>10040089</v>
      </c>
      <c r="D364" s="2" t="s">
        <v>5204</v>
      </c>
      <c r="E364" s="9">
        <f>_xlfn.XLOOKUP(C:C,'Price List'!C:C,'Price List'!K:K)</f>
        <v>0</v>
      </c>
      <c r="F364" s="9">
        <f>_xlfn.XLOOKUP(C:C,'Price List'!C:C,'Price List'!E:E)</f>
        <v>6</v>
      </c>
      <c r="G364" s="9" t="str">
        <f>_xlfn.XLOOKUP(C:C,'Price List'!C:C,'Price List'!F:F)</f>
        <v>200 GR</v>
      </c>
      <c r="H364" s="6" t="s">
        <v>4</v>
      </c>
      <c r="I364" s="2" t="s">
        <v>4764</v>
      </c>
      <c r="J364" s="2" t="s">
        <v>5210</v>
      </c>
      <c r="K364" s="6" t="s">
        <v>4763</v>
      </c>
      <c r="L364" s="14">
        <v>46737</v>
      </c>
      <c r="M364" s="15">
        <v>28</v>
      </c>
      <c r="N364" t="str">
        <f t="shared" si="36"/>
        <v>10040089_2910</v>
      </c>
      <c r="O364" s="6">
        <f>_xlfn.XLOOKUP(N364,Allocation!H:H,Allocation!C:C,0)</f>
        <v>0</v>
      </c>
      <c r="P364" s="38">
        <f>M364-O364</f>
        <v>28</v>
      </c>
    </row>
    <row r="365" spans="1:16">
      <c r="A365" t="str">
        <f>_xlfn.XLOOKUP(C:C,'Price List'!C:C,'Price List'!A:A)</f>
        <v>ASIF AHMAD GB</v>
      </c>
      <c r="B365" s="2" t="s">
        <v>1947</v>
      </c>
      <c r="C365" s="9">
        <v>10040089</v>
      </c>
      <c r="D365" s="2" t="s">
        <v>5204</v>
      </c>
      <c r="E365" s="9">
        <f>_xlfn.XLOOKUP(C:C,'Price List'!C:C,'Price List'!K:K)</f>
        <v>0</v>
      </c>
      <c r="F365" s="9">
        <f>_xlfn.XLOOKUP(C:C,'Price List'!C:C,'Price List'!E:E)</f>
        <v>6</v>
      </c>
      <c r="G365" s="9" t="str">
        <f>_xlfn.XLOOKUP(C:C,'Price List'!C:C,'Price List'!F:F)</f>
        <v>200 GR</v>
      </c>
      <c r="H365" s="6" t="s">
        <v>6</v>
      </c>
      <c r="I365" s="2" t="s">
        <v>4877</v>
      </c>
      <c r="J365" s="2" t="s">
        <v>5210</v>
      </c>
      <c r="K365" s="6" t="s">
        <v>4763</v>
      </c>
      <c r="L365" s="14">
        <v>46737</v>
      </c>
      <c r="M365" s="15">
        <v>138</v>
      </c>
      <c r="N365" t="str">
        <f t="shared" si="36"/>
        <v>10040089_2910</v>
      </c>
      <c r="O365" s="6">
        <f>_xlfn.XLOOKUP(N365,Allocation!H:H,Allocation!E:E,0)</f>
        <v>0</v>
      </c>
      <c r="P365" s="38">
        <f>M365-O365</f>
        <v>138</v>
      </c>
    </row>
    <row r="366" spans="1:16">
      <c r="A366" t="str">
        <f>_xlfn.XLOOKUP(C:C,'Price List'!C:C,'Price List'!A:A)</f>
        <v>ASIF AHMAD GB</v>
      </c>
      <c r="B366" s="2" t="s">
        <v>1947</v>
      </c>
      <c r="C366" s="9">
        <v>10039449</v>
      </c>
      <c r="D366" s="2" t="s">
        <v>5198</v>
      </c>
      <c r="E366" s="9">
        <f>_xlfn.XLOOKUP(C:C,'Price List'!C:C,'Price List'!K:K)</f>
        <v>0</v>
      </c>
      <c r="F366" s="9">
        <f>_xlfn.XLOOKUP(C:C,'Price List'!C:C,'Price List'!E:E)</f>
        <v>6</v>
      </c>
      <c r="G366" s="9" t="str">
        <f>_xlfn.XLOOKUP(C:C,'Price List'!C:C,'Price List'!F:F)</f>
        <v>120 GR</v>
      </c>
      <c r="H366" s="6" t="s">
        <v>4</v>
      </c>
      <c r="I366" s="2" t="s">
        <v>4764</v>
      </c>
      <c r="J366" s="2" t="s">
        <v>5211</v>
      </c>
      <c r="K366" s="6" t="s">
        <v>4763</v>
      </c>
      <c r="L366" s="14">
        <v>46813</v>
      </c>
      <c r="M366" s="15">
        <v>17</v>
      </c>
      <c r="N366" t="str">
        <f t="shared" si="36"/>
        <v>10039449_2910</v>
      </c>
      <c r="O366" s="6">
        <f>_xlfn.XLOOKUP(N366,Allocation!H:H,Allocation!C:C,0)</f>
        <v>0</v>
      </c>
      <c r="P366" s="38">
        <f t="shared" ref="P366:P370" si="44">M366-O366</f>
        <v>17</v>
      </c>
    </row>
    <row r="367" spans="1:16">
      <c r="A367" t="str">
        <f>_xlfn.XLOOKUP(C:C,'Price List'!C:C,'Price List'!A:A)</f>
        <v>ASIF AHMAD GB</v>
      </c>
      <c r="B367" s="2" t="s">
        <v>1947</v>
      </c>
      <c r="C367" s="9">
        <v>10039450</v>
      </c>
      <c r="D367" s="2" t="s">
        <v>5183</v>
      </c>
      <c r="E367" s="9">
        <f>_xlfn.XLOOKUP(C:C,'Price List'!C:C,'Price List'!K:K)</f>
        <v>0</v>
      </c>
      <c r="F367" s="9">
        <f>_xlfn.XLOOKUP(C:C,'Price List'!C:C,'Price List'!E:E)</f>
        <v>6</v>
      </c>
      <c r="G367" s="9" t="str">
        <f>_xlfn.XLOOKUP(C:C,'Price List'!C:C,'Price List'!F:F)</f>
        <v>120 GR</v>
      </c>
      <c r="H367" s="6" t="s">
        <v>4</v>
      </c>
      <c r="I367" s="2" t="s">
        <v>4764</v>
      </c>
      <c r="J367" s="2" t="s">
        <v>5211</v>
      </c>
      <c r="K367" s="6" t="s">
        <v>4763</v>
      </c>
      <c r="L367" s="14">
        <v>46813</v>
      </c>
      <c r="M367" s="15">
        <v>40</v>
      </c>
      <c r="N367" t="str">
        <f t="shared" si="36"/>
        <v>10039450_2910</v>
      </c>
      <c r="O367" s="6">
        <f>_xlfn.XLOOKUP(N367,Allocation!H:H,Allocation!C:C,0)</f>
        <v>0</v>
      </c>
      <c r="P367" s="38">
        <f t="shared" si="44"/>
        <v>40</v>
      </c>
    </row>
    <row r="368" spans="1:16">
      <c r="A368" t="str">
        <f>_xlfn.XLOOKUP(C:C,'Price List'!C:C,'Price List'!A:A)</f>
        <v>ASIF AHMAD GB</v>
      </c>
      <c r="B368" s="2" t="s">
        <v>1947</v>
      </c>
      <c r="C368" s="9">
        <v>10039451</v>
      </c>
      <c r="D368" s="2" t="s">
        <v>5212</v>
      </c>
      <c r="E368" s="9">
        <f>_xlfn.XLOOKUP(C:C,'Price List'!C:C,'Price List'!K:K)</f>
        <v>0</v>
      </c>
      <c r="F368" s="9">
        <f>_xlfn.XLOOKUP(C:C,'Price List'!C:C,'Price List'!E:E)</f>
        <v>6</v>
      </c>
      <c r="G368" s="9" t="str">
        <f>_xlfn.XLOOKUP(C:C,'Price List'!C:C,'Price List'!F:F)</f>
        <v>120 GR</v>
      </c>
      <c r="H368" s="6" t="s">
        <v>4</v>
      </c>
      <c r="I368" s="2" t="s">
        <v>4764</v>
      </c>
      <c r="J368" s="2" t="s">
        <v>5213</v>
      </c>
      <c r="K368" s="6" t="s">
        <v>4763</v>
      </c>
      <c r="L368" s="14">
        <v>46823</v>
      </c>
      <c r="M368" s="15">
        <v>2</v>
      </c>
      <c r="N368" t="str">
        <f t="shared" si="36"/>
        <v>10039451_2910</v>
      </c>
      <c r="O368" s="6">
        <f>_xlfn.XLOOKUP(N368,Allocation!H:H,Allocation!C:C,0)</f>
        <v>0</v>
      </c>
      <c r="P368" s="38">
        <f t="shared" si="44"/>
        <v>2</v>
      </c>
    </row>
    <row r="369" spans="1:16">
      <c r="A369" t="str">
        <f>_xlfn.XLOOKUP(C:C,'Price List'!C:C,'Price List'!A:A)</f>
        <v>ASIF AHMAD GB</v>
      </c>
      <c r="B369" s="2" t="s">
        <v>1947</v>
      </c>
      <c r="C369" s="9">
        <v>10039451</v>
      </c>
      <c r="D369" s="2" t="s">
        <v>5212</v>
      </c>
      <c r="E369" s="9">
        <f>_xlfn.XLOOKUP(C:C,'Price List'!C:C,'Price List'!K:K)</f>
        <v>0</v>
      </c>
      <c r="F369" s="9">
        <f>_xlfn.XLOOKUP(C:C,'Price List'!C:C,'Price List'!E:E)</f>
        <v>6</v>
      </c>
      <c r="G369" s="9" t="str">
        <f>_xlfn.XLOOKUP(C:C,'Price List'!C:C,'Price List'!F:F)</f>
        <v>120 GR</v>
      </c>
      <c r="H369" s="6" t="s">
        <v>6</v>
      </c>
      <c r="I369" s="2" t="s">
        <v>4877</v>
      </c>
      <c r="J369" s="2" t="s">
        <v>5213</v>
      </c>
      <c r="K369" s="6" t="s">
        <v>4763</v>
      </c>
      <c r="L369" s="14">
        <v>46823</v>
      </c>
      <c r="M369" s="15">
        <v>3</v>
      </c>
      <c r="N369" t="str">
        <f t="shared" si="36"/>
        <v>10039451_2910</v>
      </c>
      <c r="O369" s="6">
        <f>_xlfn.XLOOKUP(N369,Allocation!H:H,Allocation!E:E,0)</f>
        <v>0</v>
      </c>
      <c r="P369" s="38">
        <f t="shared" si="44"/>
        <v>3</v>
      </c>
    </row>
    <row r="370" spans="1:16">
      <c r="A370" t="str">
        <f>_xlfn.XLOOKUP(C:C,'Price List'!C:C,'Price List'!A:A)</f>
        <v>JAMES TYSON</v>
      </c>
      <c r="B370" s="2" t="s">
        <v>739</v>
      </c>
      <c r="C370" s="9">
        <v>10012746</v>
      </c>
      <c r="D370" s="2" t="s">
        <v>5214</v>
      </c>
      <c r="E370" s="9">
        <f>_xlfn.XLOOKUP(C:C,'Price List'!C:C,'Price List'!K:K)</f>
        <v>0</v>
      </c>
      <c r="F370" s="9">
        <f>_xlfn.XLOOKUP(C:C,'Price List'!C:C,'Price List'!E:E)</f>
        <v>12</v>
      </c>
      <c r="G370" s="9" t="str">
        <f>_xlfn.XLOOKUP(C:C,'Price List'!C:C,'Price List'!F:F)</f>
        <v>355 ML</v>
      </c>
      <c r="H370" s="6" t="s">
        <v>6</v>
      </c>
      <c r="I370" s="2" t="s">
        <v>4877</v>
      </c>
      <c r="J370" s="2" t="s">
        <v>5215</v>
      </c>
      <c r="K370" s="6" t="s">
        <v>4763</v>
      </c>
      <c r="L370" s="14">
        <v>46901</v>
      </c>
      <c r="M370" s="15">
        <v>2</v>
      </c>
      <c r="N370" t="str">
        <f t="shared" si="36"/>
        <v>10012746_2910</v>
      </c>
      <c r="O370" s="6">
        <f>_xlfn.XLOOKUP(N370,Allocation!H:H,Allocation!E:E,0)</f>
        <v>0</v>
      </c>
      <c r="P370" s="38">
        <f t="shared" si="44"/>
        <v>2</v>
      </c>
    </row>
  </sheetData>
  <autoFilter ref="A1:M370" xr:uid="{FCAEF55E-ABFB-4F1A-A544-6727F1FB252F}"/>
  <sortState xmlns:xlrd2="http://schemas.microsoft.com/office/spreadsheetml/2017/richdata2" ref="A2:O370">
    <sortCondition ref="L1:L37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SAP SE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subject/>
  <dc:creator>SAP UI5 Document Export</dc:creator>
  <cp:keywords>SAP UI5 EXPORT</cp:keywords>
  <dc:description/>
  <cp:lastModifiedBy/>
  <cp:revision/>
  <dcterms:created xsi:type="dcterms:W3CDTF">2026-08-04T11:23:46Z</dcterms:created>
  <dcterms:modified xsi:type="dcterms:W3CDTF">2026-08-12T14:52:56Z</dcterms:modified>
  <cp:category/>
  <cp:contentStatus/>
</cp:coreProperties>
</file>